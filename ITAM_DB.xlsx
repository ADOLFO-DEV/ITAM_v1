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sc-my.sharepoint.com/personal/18505_virtual_utsc_edu_mx/Documents/ITAM/Documentos/"/>
    </mc:Choice>
  </mc:AlternateContent>
  <xr:revisionPtr revIDLastSave="16" documentId="8_{C7A20CC1-B4F3-984D-A234-AFA304BD6B20}" xr6:coauthVersionLast="47" xr6:coauthVersionMax="47" xr10:uidLastSave="{0B18669C-9EDA-AC4A-802A-51DC35BEE0EB}"/>
  <bookViews>
    <workbookView xWindow="540" yWindow="1100" windowWidth="26340" windowHeight="15820" xr2:uid="{F8DD75D4-FA66-5944-8F3D-D274FB93B93C}"/>
  </bookViews>
  <sheets>
    <sheet name="JAGG" sheetId="1" r:id="rId1"/>
  </sheets>
  <definedNames>
    <definedName name="A">JAGG!$AH$507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19" i="1" l="1"/>
  <c r="AD1719" i="1"/>
  <c r="AK1718" i="1"/>
  <c r="AD1718" i="1"/>
  <c r="AK1717" i="1"/>
  <c r="AD1717" i="1"/>
  <c r="AK1716" i="1"/>
  <c r="AD1716" i="1"/>
  <c r="AK1715" i="1"/>
  <c r="AD1715" i="1"/>
  <c r="AK1714" i="1"/>
  <c r="AD1714" i="1"/>
  <c r="AK1713" i="1"/>
  <c r="AD1713" i="1"/>
  <c r="AK1712" i="1"/>
  <c r="AD1712" i="1"/>
  <c r="AK1711" i="1"/>
  <c r="AD1711" i="1"/>
  <c r="AK1710" i="1"/>
  <c r="AD1710" i="1"/>
  <c r="AK1709" i="1"/>
  <c r="AD1709" i="1"/>
  <c r="AK1708" i="1"/>
  <c r="AD1708" i="1"/>
  <c r="AK1707" i="1"/>
  <c r="AD1707" i="1"/>
  <c r="AK1706" i="1"/>
  <c r="AD1706" i="1"/>
  <c r="AK1705" i="1"/>
  <c r="AD1705" i="1"/>
  <c r="AK1704" i="1"/>
  <c r="AD1704" i="1"/>
  <c r="AK1703" i="1"/>
  <c r="AD1703" i="1"/>
  <c r="AK1702" i="1"/>
  <c r="AD1702" i="1"/>
  <c r="AK1701" i="1"/>
  <c r="AD1701" i="1"/>
  <c r="AK1700" i="1"/>
  <c r="AD1700" i="1"/>
  <c r="AK1699" i="1"/>
  <c r="AD1699" i="1"/>
  <c r="AK1698" i="1"/>
  <c r="AD1698" i="1"/>
  <c r="AK1697" i="1"/>
  <c r="AD1697" i="1"/>
  <c r="AK1696" i="1"/>
  <c r="AD1696" i="1"/>
  <c r="AK1695" i="1"/>
  <c r="AD1695" i="1"/>
  <c r="AK1694" i="1"/>
  <c r="AD1694" i="1"/>
  <c r="AK1693" i="1"/>
  <c r="AD1693" i="1"/>
  <c r="AK1692" i="1"/>
  <c r="AD1692" i="1"/>
  <c r="AK1691" i="1"/>
  <c r="AD1691" i="1"/>
  <c r="AK1690" i="1"/>
  <c r="AD1690" i="1"/>
  <c r="AK1689" i="1"/>
  <c r="AD1689" i="1"/>
  <c r="AK1688" i="1"/>
  <c r="AD1688" i="1"/>
  <c r="AK1687" i="1"/>
  <c r="AD1687" i="1"/>
  <c r="AK1686" i="1"/>
  <c r="AD1686" i="1"/>
  <c r="AK1685" i="1"/>
  <c r="AD1685" i="1"/>
  <c r="AK1684" i="1"/>
  <c r="AD1684" i="1"/>
  <c r="AK1683" i="1"/>
  <c r="AD1683" i="1"/>
  <c r="AK1682" i="1"/>
  <c r="AD1682" i="1"/>
  <c r="AK1681" i="1"/>
  <c r="AD1681" i="1"/>
  <c r="AK1680" i="1"/>
  <c r="AD1680" i="1"/>
  <c r="AK1679" i="1"/>
  <c r="AD1679" i="1"/>
  <c r="AK1678" i="1"/>
  <c r="AD1678" i="1"/>
  <c r="AK1677" i="1"/>
  <c r="AD1677" i="1"/>
  <c r="AK1676" i="1"/>
  <c r="AD1676" i="1"/>
  <c r="AK1675" i="1"/>
  <c r="AD1675" i="1"/>
  <c r="AK1674" i="1"/>
  <c r="AD1674" i="1"/>
  <c r="AK1673" i="1"/>
  <c r="AD1673" i="1"/>
  <c r="AK1672" i="1"/>
  <c r="AD1672" i="1"/>
  <c r="AK1671" i="1"/>
  <c r="AD1671" i="1"/>
  <c r="AK1670" i="1"/>
  <c r="AD1670" i="1"/>
  <c r="AK1669" i="1"/>
  <c r="AD1669" i="1"/>
  <c r="AK1668" i="1"/>
  <c r="AD1668" i="1"/>
  <c r="AK1667" i="1"/>
  <c r="AD1667" i="1"/>
  <c r="AK1666" i="1"/>
  <c r="AD1666" i="1"/>
  <c r="AK1665" i="1"/>
  <c r="AD1665" i="1"/>
  <c r="AK1664" i="1"/>
  <c r="AD1664" i="1"/>
  <c r="AK1663" i="1"/>
  <c r="AD1663" i="1"/>
  <c r="AK1662" i="1"/>
  <c r="AD1662" i="1"/>
  <c r="AK1661" i="1"/>
  <c r="AD1661" i="1"/>
  <c r="AK1660" i="1"/>
  <c r="AD1660" i="1"/>
  <c r="AK1659" i="1"/>
  <c r="AD1659" i="1"/>
  <c r="AK1658" i="1"/>
  <c r="AD1658" i="1"/>
  <c r="AK1657" i="1"/>
  <c r="AD1657" i="1"/>
  <c r="AK1656" i="1"/>
  <c r="AD1656" i="1"/>
  <c r="AK1655" i="1"/>
  <c r="AD1655" i="1"/>
  <c r="AK1654" i="1"/>
  <c r="AD1654" i="1"/>
  <c r="AK1653" i="1"/>
  <c r="AD1653" i="1"/>
  <c r="AK1652" i="1"/>
  <c r="AD1652" i="1"/>
  <c r="AK1651" i="1"/>
  <c r="AD1651" i="1"/>
  <c r="AK1650" i="1"/>
  <c r="AD1650" i="1"/>
  <c r="AK1649" i="1"/>
  <c r="AD1649" i="1"/>
  <c r="AK1648" i="1"/>
  <c r="AD1648" i="1"/>
  <c r="AK1647" i="1"/>
  <c r="AD1647" i="1"/>
  <c r="AK1646" i="1"/>
  <c r="AD1646" i="1"/>
  <c r="AK1645" i="1"/>
  <c r="AD1645" i="1"/>
  <c r="AK1644" i="1"/>
  <c r="AD1644" i="1"/>
  <c r="AK1643" i="1"/>
  <c r="AD1643" i="1"/>
  <c r="AK1642" i="1"/>
  <c r="AD1642" i="1"/>
  <c r="AK1641" i="1"/>
  <c r="AD1641" i="1"/>
  <c r="AK1640" i="1"/>
  <c r="AD1640" i="1"/>
  <c r="AK1639" i="1"/>
  <c r="AD1639" i="1"/>
  <c r="AK1638" i="1"/>
  <c r="AD1638" i="1"/>
  <c r="AK1637" i="1"/>
  <c r="AD1637" i="1"/>
  <c r="AK1636" i="1"/>
  <c r="AD1636" i="1"/>
  <c r="AK1635" i="1"/>
  <c r="AD1635" i="1"/>
  <c r="AK1634" i="1"/>
  <c r="AD1634" i="1"/>
  <c r="AK1633" i="1"/>
  <c r="AD1633" i="1"/>
  <c r="AK1632" i="1"/>
  <c r="AD1632" i="1"/>
  <c r="AK1631" i="1"/>
  <c r="AD1631" i="1"/>
  <c r="AK1630" i="1"/>
  <c r="AD1630" i="1"/>
  <c r="AK1629" i="1"/>
  <c r="AD1629" i="1"/>
  <c r="AK1628" i="1"/>
  <c r="AD1628" i="1"/>
  <c r="AK1627" i="1"/>
  <c r="AD1627" i="1"/>
  <c r="AK1626" i="1"/>
  <c r="AD1626" i="1"/>
  <c r="AK1625" i="1"/>
  <c r="AD1625" i="1"/>
  <c r="AK1624" i="1"/>
  <c r="AD1624" i="1"/>
  <c r="AK1623" i="1"/>
  <c r="AD1623" i="1"/>
  <c r="AK1622" i="1"/>
  <c r="AD1622" i="1"/>
  <c r="AK1621" i="1"/>
  <c r="AD1621" i="1"/>
  <c r="AK1620" i="1"/>
  <c r="AD1620" i="1"/>
  <c r="AK1619" i="1"/>
  <c r="AD1619" i="1"/>
  <c r="AS1618" i="1"/>
  <c r="AK1618" i="1"/>
  <c r="AD1618" i="1"/>
  <c r="AK1617" i="1"/>
  <c r="AD1617" i="1"/>
  <c r="AK1616" i="1"/>
  <c r="AD1616" i="1"/>
  <c r="AK1615" i="1"/>
  <c r="AD1615" i="1"/>
  <c r="AK1614" i="1"/>
  <c r="AD1614" i="1"/>
  <c r="AK1613" i="1"/>
  <c r="AD1613" i="1"/>
  <c r="AK1612" i="1"/>
  <c r="AD1612" i="1"/>
  <c r="AK1611" i="1"/>
  <c r="AD1611" i="1"/>
  <c r="AK1610" i="1"/>
  <c r="AD1610" i="1"/>
  <c r="AK1609" i="1"/>
  <c r="AD1609" i="1"/>
  <c r="AK1608" i="1"/>
  <c r="AD1608" i="1"/>
  <c r="AK1607" i="1"/>
  <c r="AD1607" i="1"/>
  <c r="AK1606" i="1"/>
  <c r="AD1606" i="1"/>
  <c r="AK1605" i="1"/>
  <c r="AD1605" i="1"/>
  <c r="AK1604" i="1"/>
  <c r="AD1604" i="1"/>
  <c r="AK1603" i="1"/>
  <c r="AD1603" i="1"/>
  <c r="AK1602" i="1"/>
  <c r="AD1602" i="1"/>
  <c r="AK1601" i="1"/>
  <c r="AD1601" i="1"/>
  <c r="AK1600" i="1"/>
  <c r="AD1600" i="1"/>
  <c r="AK1599" i="1"/>
  <c r="AD1599" i="1"/>
  <c r="AK1598" i="1"/>
  <c r="AD1598" i="1"/>
  <c r="AK1597" i="1"/>
  <c r="AD1597" i="1"/>
  <c r="AK1596" i="1"/>
  <c r="AD1596" i="1"/>
  <c r="AK1595" i="1"/>
  <c r="AD1595" i="1"/>
  <c r="AK1594" i="1"/>
  <c r="AD1594" i="1"/>
  <c r="AK1593" i="1"/>
  <c r="AD1593" i="1"/>
  <c r="AK1592" i="1"/>
  <c r="AD1592" i="1"/>
  <c r="AK1591" i="1"/>
  <c r="AD1591" i="1"/>
  <c r="AK1590" i="1"/>
  <c r="AD1590" i="1"/>
  <c r="AK1589" i="1"/>
  <c r="AD1589" i="1"/>
  <c r="AK1588" i="1"/>
  <c r="AD1588" i="1"/>
  <c r="AK1587" i="1"/>
  <c r="AD1587" i="1"/>
  <c r="AK1586" i="1"/>
  <c r="AD1586" i="1"/>
  <c r="AK1585" i="1"/>
  <c r="AD1585" i="1"/>
  <c r="AK1584" i="1"/>
  <c r="AD1584" i="1"/>
  <c r="AK1583" i="1"/>
  <c r="AD1583" i="1"/>
  <c r="AK1582" i="1"/>
  <c r="AD1582" i="1"/>
  <c r="AK1581" i="1"/>
  <c r="AD1581" i="1"/>
  <c r="AK1580" i="1"/>
  <c r="AD1580" i="1"/>
  <c r="AK1579" i="1"/>
  <c r="AD1579" i="1"/>
  <c r="AK1578" i="1"/>
  <c r="AD1578" i="1"/>
  <c r="AK1577" i="1"/>
  <c r="AD1577" i="1"/>
  <c r="AK1576" i="1"/>
  <c r="AD1576" i="1"/>
  <c r="AK1575" i="1"/>
  <c r="AD1575" i="1"/>
  <c r="AK1574" i="1"/>
  <c r="AD1574" i="1"/>
  <c r="AK1573" i="1"/>
  <c r="AD1573" i="1"/>
  <c r="AK1572" i="1"/>
  <c r="AD1572" i="1"/>
  <c r="AK1571" i="1"/>
  <c r="AD1571" i="1"/>
  <c r="AK1570" i="1"/>
  <c r="AD1570" i="1"/>
  <c r="AK1569" i="1"/>
  <c r="AD1569" i="1"/>
  <c r="AK1568" i="1"/>
  <c r="AD1568" i="1"/>
  <c r="AK1567" i="1"/>
  <c r="AD1567" i="1"/>
  <c r="AK1566" i="1"/>
  <c r="AD1566" i="1"/>
  <c r="AK1565" i="1"/>
  <c r="AD1565" i="1"/>
  <c r="AK1564" i="1"/>
  <c r="AD1564" i="1"/>
  <c r="AK1563" i="1"/>
  <c r="AD1563" i="1"/>
  <c r="AK1562" i="1"/>
  <c r="AD1562" i="1"/>
  <c r="AK1561" i="1"/>
  <c r="AD1561" i="1"/>
  <c r="AK1560" i="1"/>
  <c r="AD1560" i="1"/>
  <c r="AK1559" i="1"/>
  <c r="AD1559" i="1"/>
  <c r="AK1558" i="1"/>
  <c r="AD1558" i="1"/>
  <c r="AK1557" i="1"/>
  <c r="AD1557" i="1"/>
  <c r="AK1556" i="1"/>
  <c r="AD1556" i="1"/>
  <c r="AK1555" i="1"/>
  <c r="AD1555" i="1"/>
  <c r="AK1554" i="1"/>
  <c r="AD1554" i="1"/>
  <c r="AK1553" i="1"/>
  <c r="AD1553" i="1"/>
  <c r="AK1552" i="1"/>
  <c r="AD1552" i="1"/>
  <c r="AK1551" i="1"/>
  <c r="AD1551" i="1"/>
  <c r="AK1550" i="1"/>
  <c r="AD1550" i="1"/>
  <c r="AK1549" i="1"/>
  <c r="AD1549" i="1"/>
  <c r="AK1548" i="1"/>
  <c r="AD1548" i="1"/>
  <c r="AK1547" i="1"/>
  <c r="AD1547" i="1"/>
  <c r="AK1546" i="1"/>
  <c r="AD1546" i="1"/>
  <c r="AK1545" i="1"/>
  <c r="AD1545" i="1"/>
  <c r="AK1544" i="1"/>
  <c r="AD1544" i="1"/>
  <c r="AK1543" i="1"/>
  <c r="AD1543" i="1"/>
  <c r="AK1542" i="1"/>
  <c r="AD1542" i="1"/>
  <c r="AK1541" i="1"/>
  <c r="AD1541" i="1"/>
  <c r="AK1540" i="1"/>
  <c r="AD1540" i="1"/>
  <c r="AK1539" i="1"/>
  <c r="AD1539" i="1"/>
  <c r="AK1538" i="1"/>
  <c r="AD1538" i="1"/>
  <c r="AK1537" i="1"/>
  <c r="AD1537" i="1"/>
  <c r="AK1536" i="1"/>
  <c r="AD1536" i="1"/>
  <c r="AK1535" i="1"/>
  <c r="AD1535" i="1"/>
  <c r="AK1534" i="1"/>
  <c r="AD1534" i="1"/>
  <c r="AK1533" i="1"/>
  <c r="AD1533" i="1"/>
  <c r="AK1532" i="1"/>
  <c r="AD1532" i="1"/>
  <c r="AK1531" i="1"/>
  <c r="AD1531" i="1"/>
  <c r="AK1530" i="1"/>
  <c r="AD1530" i="1"/>
  <c r="AK1529" i="1"/>
  <c r="AD1529" i="1"/>
  <c r="AK1528" i="1"/>
  <c r="AD1528" i="1"/>
  <c r="AK1527" i="1"/>
  <c r="AD1527" i="1"/>
  <c r="AK1526" i="1"/>
  <c r="AD1526" i="1"/>
  <c r="AK1525" i="1"/>
  <c r="AD1525" i="1"/>
  <c r="AK1524" i="1"/>
  <c r="AD1524" i="1"/>
  <c r="AK1523" i="1"/>
  <c r="AD1523" i="1"/>
  <c r="AK1522" i="1"/>
  <c r="AD1522" i="1"/>
  <c r="AK1521" i="1"/>
  <c r="AD1521" i="1"/>
  <c r="AK1520" i="1"/>
  <c r="AD1520" i="1"/>
  <c r="AK1519" i="1"/>
  <c r="AD1519" i="1"/>
  <c r="AK1518" i="1"/>
  <c r="AD1518" i="1"/>
  <c r="AK1517" i="1"/>
  <c r="AD1517" i="1"/>
  <c r="AK1516" i="1"/>
  <c r="AD1516" i="1"/>
  <c r="AK1515" i="1"/>
  <c r="AD1515" i="1"/>
  <c r="AK1514" i="1"/>
  <c r="AD1514" i="1"/>
  <c r="AK1513" i="1"/>
  <c r="AD1513" i="1"/>
  <c r="AK1512" i="1"/>
  <c r="AD1512" i="1"/>
  <c r="AK1511" i="1"/>
  <c r="AD1511" i="1"/>
  <c r="AK1510" i="1"/>
  <c r="AD1510" i="1"/>
  <c r="AK1509" i="1"/>
  <c r="AD1509" i="1"/>
  <c r="AK1508" i="1"/>
  <c r="AD1508" i="1"/>
  <c r="AK1507" i="1"/>
  <c r="AD1507" i="1"/>
  <c r="AK1506" i="1"/>
  <c r="AD1506" i="1"/>
  <c r="AK1505" i="1"/>
  <c r="AD1505" i="1"/>
  <c r="AK1504" i="1"/>
  <c r="AD1504" i="1"/>
  <c r="AK1503" i="1"/>
  <c r="AD1503" i="1"/>
  <c r="AK1502" i="1"/>
  <c r="AD1502" i="1"/>
  <c r="AK1501" i="1"/>
  <c r="AD1501" i="1"/>
  <c r="AK1500" i="1"/>
  <c r="AD1500" i="1"/>
  <c r="AK1499" i="1"/>
  <c r="AD1499" i="1"/>
  <c r="AK1498" i="1"/>
  <c r="AD1498" i="1"/>
  <c r="AK1497" i="1"/>
  <c r="AD1497" i="1"/>
  <c r="AK1496" i="1"/>
  <c r="AD1496" i="1"/>
  <c r="AK1495" i="1"/>
  <c r="AD1495" i="1"/>
  <c r="AK1494" i="1"/>
  <c r="AD1494" i="1"/>
  <c r="AK1493" i="1"/>
  <c r="AD1493" i="1"/>
  <c r="AK1492" i="1"/>
  <c r="AD1492" i="1"/>
  <c r="AK1491" i="1"/>
  <c r="AD1491" i="1"/>
  <c r="AK1490" i="1"/>
  <c r="AD1490" i="1"/>
  <c r="AK1489" i="1"/>
  <c r="AD1489" i="1"/>
  <c r="AK1488" i="1"/>
  <c r="AD1488" i="1"/>
  <c r="AK1487" i="1"/>
  <c r="AD1487" i="1"/>
  <c r="AK1486" i="1"/>
  <c r="AD1486" i="1"/>
  <c r="AK1485" i="1"/>
  <c r="AD1485" i="1"/>
  <c r="AK1484" i="1"/>
  <c r="AD1484" i="1"/>
  <c r="AK1483" i="1"/>
  <c r="AD1483" i="1"/>
  <c r="AK1482" i="1"/>
  <c r="AD1482" i="1"/>
  <c r="AK1481" i="1"/>
  <c r="AD1481" i="1"/>
  <c r="AK1480" i="1"/>
  <c r="AD1480" i="1"/>
  <c r="AK1479" i="1"/>
  <c r="AD1479" i="1"/>
  <c r="AK1478" i="1"/>
  <c r="AD1478" i="1"/>
  <c r="AK1477" i="1"/>
  <c r="AD1477" i="1"/>
  <c r="AK1476" i="1"/>
  <c r="AD1476" i="1"/>
  <c r="AK1475" i="1"/>
  <c r="AD1475" i="1"/>
  <c r="AK1474" i="1"/>
  <c r="AD1474" i="1"/>
  <c r="AK1473" i="1"/>
  <c r="AD1473" i="1"/>
  <c r="AK1472" i="1"/>
  <c r="AD1472" i="1"/>
  <c r="AK1471" i="1"/>
  <c r="AD1471" i="1"/>
  <c r="AK1470" i="1"/>
  <c r="AD1470" i="1"/>
  <c r="AK1469" i="1"/>
  <c r="AD1469" i="1"/>
  <c r="AK1468" i="1"/>
  <c r="AD1468" i="1"/>
  <c r="AK1467" i="1"/>
  <c r="AD1467" i="1"/>
  <c r="AK1466" i="1"/>
  <c r="AD1466" i="1"/>
  <c r="AK1465" i="1"/>
  <c r="AD1465" i="1"/>
  <c r="AK1464" i="1"/>
  <c r="AD1464" i="1"/>
  <c r="AK1463" i="1"/>
  <c r="AD1463" i="1"/>
  <c r="AK1462" i="1"/>
  <c r="AD1462" i="1"/>
  <c r="AK1461" i="1"/>
  <c r="AD1461" i="1"/>
  <c r="AK1460" i="1"/>
  <c r="AD1460" i="1"/>
  <c r="AK1459" i="1"/>
  <c r="AD1459" i="1"/>
  <c r="AK1458" i="1"/>
  <c r="AD1458" i="1"/>
  <c r="AK1457" i="1"/>
  <c r="AD1457" i="1"/>
  <c r="AK1456" i="1"/>
  <c r="AD1456" i="1"/>
  <c r="AK1455" i="1"/>
  <c r="AD1455" i="1"/>
  <c r="AK1454" i="1"/>
  <c r="AD1454" i="1"/>
  <c r="AK1453" i="1"/>
  <c r="AD1453" i="1"/>
  <c r="AK1452" i="1"/>
  <c r="AD1452" i="1"/>
  <c r="AK1451" i="1"/>
  <c r="AD1451" i="1"/>
  <c r="AK1450" i="1"/>
  <c r="AD1450" i="1"/>
  <c r="AK1449" i="1"/>
  <c r="AD1449" i="1"/>
  <c r="AK1448" i="1"/>
  <c r="AD1448" i="1"/>
  <c r="AK1447" i="1"/>
  <c r="AD1447" i="1"/>
  <c r="AK1446" i="1"/>
  <c r="AD1446" i="1"/>
  <c r="AK1445" i="1"/>
  <c r="AD1445" i="1"/>
  <c r="AK1444" i="1"/>
  <c r="AD1444" i="1"/>
  <c r="AK1443" i="1"/>
  <c r="AD1443" i="1"/>
  <c r="AK1442" i="1"/>
  <c r="AD1442" i="1"/>
  <c r="AK1441" i="1"/>
  <c r="AD1441" i="1"/>
  <c r="AK1440" i="1"/>
  <c r="AD1440" i="1"/>
  <c r="AK1439" i="1"/>
  <c r="AD1439" i="1"/>
  <c r="AK1438" i="1"/>
  <c r="AD1438" i="1"/>
  <c r="AK1437" i="1"/>
  <c r="AD1437" i="1"/>
  <c r="AK1436" i="1"/>
  <c r="AD1436" i="1"/>
  <c r="AK1435" i="1"/>
  <c r="AD1435" i="1"/>
  <c r="AK1434" i="1"/>
  <c r="AD1434" i="1"/>
  <c r="AK1433" i="1"/>
  <c r="AD1433" i="1"/>
  <c r="AK1432" i="1"/>
  <c r="AD1432" i="1"/>
  <c r="AK1431" i="1"/>
  <c r="AD1431" i="1"/>
  <c r="AK1430" i="1"/>
  <c r="AD1430" i="1"/>
  <c r="AK1429" i="1"/>
  <c r="AD1429" i="1"/>
  <c r="AK1428" i="1"/>
  <c r="AD1428" i="1"/>
  <c r="AK1427" i="1"/>
  <c r="AD1427" i="1"/>
  <c r="AK1426" i="1"/>
  <c r="AD1426" i="1"/>
  <c r="AK1425" i="1"/>
  <c r="AD1425" i="1"/>
  <c r="AK1424" i="1"/>
  <c r="AD1424" i="1"/>
  <c r="AK1423" i="1"/>
  <c r="AD1423" i="1"/>
  <c r="AK1422" i="1"/>
  <c r="AD1422" i="1"/>
  <c r="AK1421" i="1"/>
  <c r="AD1421" i="1"/>
  <c r="AK1420" i="1"/>
  <c r="AD1420" i="1"/>
  <c r="AK1419" i="1"/>
  <c r="AD1419" i="1"/>
  <c r="AK1418" i="1"/>
  <c r="AD1418" i="1"/>
  <c r="AK1417" i="1"/>
  <c r="AD1417" i="1"/>
  <c r="AK1416" i="1"/>
  <c r="AD1416" i="1"/>
  <c r="AK1415" i="1"/>
  <c r="AD1415" i="1"/>
  <c r="AK1414" i="1"/>
  <c r="AD1414" i="1"/>
  <c r="AK1413" i="1"/>
  <c r="AD1413" i="1"/>
  <c r="AK1412" i="1"/>
  <c r="AD1412" i="1"/>
  <c r="AK1411" i="1"/>
  <c r="AD1411" i="1"/>
  <c r="AK1410" i="1"/>
  <c r="AD1410" i="1"/>
  <c r="AK1409" i="1"/>
  <c r="AD1409" i="1"/>
  <c r="AK1408" i="1"/>
  <c r="AD1408" i="1"/>
  <c r="AK1407" i="1"/>
  <c r="AD1407" i="1"/>
  <c r="AK1406" i="1"/>
  <c r="AD1406" i="1"/>
  <c r="AK1405" i="1"/>
  <c r="AD1405" i="1"/>
  <c r="AK1404" i="1"/>
  <c r="AD1404" i="1"/>
  <c r="AK1403" i="1"/>
  <c r="AD1403" i="1"/>
  <c r="AK1402" i="1"/>
  <c r="AD1402" i="1"/>
  <c r="AK1401" i="1"/>
  <c r="AD1401" i="1"/>
  <c r="AK1400" i="1"/>
  <c r="AD1400" i="1"/>
  <c r="AK1399" i="1"/>
  <c r="AD1399" i="1"/>
  <c r="AK1398" i="1"/>
  <c r="AD1398" i="1"/>
  <c r="AK1397" i="1"/>
  <c r="AD1397" i="1"/>
  <c r="AK1396" i="1"/>
  <c r="AD1396" i="1"/>
  <c r="AK1395" i="1"/>
  <c r="AD1395" i="1"/>
  <c r="AK1394" i="1"/>
  <c r="AD1394" i="1"/>
  <c r="AK1393" i="1"/>
  <c r="AD1393" i="1"/>
  <c r="AK1392" i="1"/>
  <c r="AD1392" i="1"/>
  <c r="AK1391" i="1"/>
  <c r="AD1391" i="1"/>
  <c r="AK1390" i="1"/>
  <c r="AD1390" i="1"/>
  <c r="AK1389" i="1"/>
  <c r="AD1389" i="1"/>
  <c r="AK1388" i="1"/>
  <c r="AD1388" i="1"/>
  <c r="AK1387" i="1"/>
  <c r="AD1387" i="1"/>
  <c r="AK1386" i="1"/>
  <c r="AD1386" i="1"/>
  <c r="AK1385" i="1"/>
  <c r="AD1385" i="1"/>
  <c r="AK1384" i="1"/>
  <c r="AD1384" i="1"/>
  <c r="AK1383" i="1"/>
  <c r="AD1383" i="1"/>
  <c r="AK1382" i="1"/>
  <c r="AD1382" i="1"/>
  <c r="AK1381" i="1"/>
  <c r="AD1381" i="1"/>
  <c r="AK1380" i="1"/>
  <c r="AD1380" i="1"/>
  <c r="AK1379" i="1"/>
  <c r="AD1379" i="1"/>
  <c r="AK1378" i="1"/>
  <c r="AD1378" i="1"/>
  <c r="AK1377" i="1"/>
  <c r="AD1377" i="1"/>
  <c r="AK1376" i="1"/>
  <c r="AD1376" i="1"/>
  <c r="AK1375" i="1"/>
  <c r="AD1375" i="1"/>
  <c r="AK1374" i="1"/>
  <c r="AD1374" i="1"/>
  <c r="AK1373" i="1"/>
  <c r="AD1373" i="1"/>
  <c r="AK1372" i="1"/>
  <c r="AD1372" i="1"/>
  <c r="AK1371" i="1"/>
  <c r="AD1371" i="1"/>
  <c r="AK1370" i="1"/>
  <c r="AD1370" i="1"/>
  <c r="AK1369" i="1"/>
  <c r="AD1369" i="1"/>
  <c r="AK1368" i="1"/>
  <c r="AD1368" i="1"/>
  <c r="AK1367" i="1"/>
  <c r="AD1367" i="1"/>
  <c r="AK1366" i="1"/>
  <c r="AD1366" i="1"/>
  <c r="AK1365" i="1"/>
  <c r="AD1365" i="1"/>
  <c r="AK1364" i="1"/>
  <c r="AD1364" i="1"/>
  <c r="AK1363" i="1"/>
  <c r="AD1363" i="1"/>
  <c r="AK1362" i="1"/>
  <c r="AD1362" i="1"/>
  <c r="AK1361" i="1"/>
  <c r="AD1361" i="1"/>
  <c r="AK1360" i="1"/>
  <c r="AD1360" i="1"/>
  <c r="AK1359" i="1"/>
  <c r="AD1359" i="1"/>
  <c r="AK1358" i="1"/>
  <c r="AD1358" i="1"/>
  <c r="AK1357" i="1"/>
  <c r="AD1357" i="1"/>
  <c r="AK1356" i="1"/>
  <c r="AD1356" i="1"/>
  <c r="AK1355" i="1"/>
  <c r="AD1355" i="1"/>
  <c r="AK1354" i="1"/>
  <c r="AD1354" i="1"/>
  <c r="AK1353" i="1"/>
  <c r="AD1353" i="1"/>
  <c r="AK1352" i="1"/>
  <c r="AD1352" i="1"/>
  <c r="AK1351" i="1"/>
  <c r="AD1351" i="1"/>
  <c r="AK1350" i="1"/>
  <c r="AD1350" i="1"/>
  <c r="AK1349" i="1"/>
  <c r="AD1349" i="1"/>
  <c r="AK1348" i="1"/>
  <c r="AD1348" i="1"/>
  <c r="AK1347" i="1"/>
  <c r="AD1347" i="1"/>
  <c r="AK1346" i="1"/>
  <c r="AD1346" i="1"/>
  <c r="AK1345" i="1"/>
  <c r="AD1345" i="1"/>
  <c r="AK1344" i="1"/>
  <c r="AD1344" i="1"/>
  <c r="AK1343" i="1"/>
  <c r="AD1343" i="1"/>
  <c r="AK1342" i="1"/>
  <c r="AD1342" i="1"/>
  <c r="AK1341" i="1"/>
  <c r="AD1341" i="1"/>
  <c r="AK1340" i="1"/>
  <c r="AD1340" i="1"/>
  <c r="AK1339" i="1"/>
  <c r="AD1339" i="1"/>
  <c r="AK1338" i="1"/>
  <c r="AD1338" i="1"/>
  <c r="AK1337" i="1"/>
  <c r="AD1337" i="1"/>
  <c r="AK1336" i="1"/>
  <c r="AD1336" i="1"/>
  <c r="AK1335" i="1"/>
  <c r="AD1335" i="1"/>
  <c r="AK1334" i="1"/>
  <c r="AD1334" i="1"/>
  <c r="AK1333" i="1"/>
  <c r="AD1333" i="1"/>
  <c r="AK1332" i="1"/>
  <c r="AD1332" i="1"/>
  <c r="AK1331" i="1"/>
  <c r="AD1331" i="1"/>
  <c r="AK1330" i="1"/>
  <c r="AD1330" i="1"/>
  <c r="AK1329" i="1"/>
  <c r="AD1329" i="1"/>
  <c r="AK1328" i="1"/>
  <c r="AD1328" i="1"/>
  <c r="AK1327" i="1"/>
  <c r="AD1327" i="1"/>
  <c r="AK1326" i="1"/>
  <c r="AD1326" i="1"/>
  <c r="AK1325" i="1"/>
  <c r="AD1325" i="1"/>
  <c r="AK1324" i="1"/>
  <c r="AD1324" i="1"/>
  <c r="AK1323" i="1"/>
  <c r="AD1323" i="1"/>
  <c r="AK1322" i="1"/>
  <c r="AD1322" i="1"/>
  <c r="AK1321" i="1"/>
  <c r="AD1321" i="1"/>
  <c r="AK1320" i="1"/>
  <c r="AD1320" i="1"/>
  <c r="AK1319" i="1"/>
  <c r="AD1319" i="1"/>
  <c r="AK1318" i="1"/>
  <c r="AD1318" i="1"/>
  <c r="AK1317" i="1"/>
  <c r="AD1317" i="1"/>
  <c r="AK1316" i="1"/>
  <c r="AD1316" i="1"/>
  <c r="AK1315" i="1"/>
  <c r="AD1315" i="1"/>
  <c r="AK1314" i="1"/>
  <c r="AD1314" i="1"/>
  <c r="AK1313" i="1"/>
  <c r="AD1313" i="1"/>
  <c r="AK1312" i="1"/>
  <c r="AD1312" i="1"/>
  <c r="AK1311" i="1"/>
  <c r="AD1311" i="1"/>
  <c r="AK1310" i="1"/>
  <c r="AD1310" i="1"/>
  <c r="AK1309" i="1"/>
  <c r="AD1309" i="1"/>
  <c r="AK1308" i="1"/>
  <c r="AD1308" i="1"/>
  <c r="AK1307" i="1"/>
  <c r="AD1307" i="1"/>
  <c r="AK1306" i="1"/>
  <c r="AD1306" i="1"/>
  <c r="AK1305" i="1"/>
  <c r="AD1305" i="1"/>
  <c r="AK1304" i="1"/>
  <c r="AD1304" i="1"/>
  <c r="AK1303" i="1"/>
  <c r="AD1303" i="1"/>
  <c r="AK1302" i="1"/>
  <c r="AD1302" i="1"/>
  <c r="AK1301" i="1"/>
  <c r="AD1301" i="1"/>
  <c r="AK1300" i="1"/>
  <c r="AD1300" i="1"/>
  <c r="AK1299" i="1"/>
  <c r="AD1299" i="1"/>
  <c r="AK1298" i="1"/>
  <c r="AD1298" i="1"/>
  <c r="AK1297" i="1"/>
  <c r="AD1297" i="1"/>
  <c r="AK1296" i="1"/>
  <c r="AD1296" i="1"/>
  <c r="AK1295" i="1"/>
  <c r="AD1295" i="1"/>
  <c r="AK1294" i="1"/>
  <c r="AD1294" i="1"/>
  <c r="AK1293" i="1"/>
  <c r="AD1293" i="1"/>
  <c r="AK1292" i="1"/>
  <c r="AD1292" i="1"/>
  <c r="AK1291" i="1"/>
  <c r="AD1291" i="1"/>
  <c r="AK1290" i="1"/>
  <c r="AD1290" i="1"/>
  <c r="AK1289" i="1"/>
  <c r="AD1289" i="1"/>
  <c r="AK1288" i="1"/>
  <c r="AD1288" i="1"/>
  <c r="AK1287" i="1"/>
  <c r="AD1287" i="1"/>
  <c r="AK1286" i="1"/>
  <c r="AD1286" i="1"/>
  <c r="AK1285" i="1"/>
  <c r="AD1285" i="1"/>
  <c r="AK1284" i="1"/>
  <c r="AD1284" i="1"/>
  <c r="AK1283" i="1"/>
  <c r="AD1283" i="1"/>
  <c r="AK1282" i="1"/>
  <c r="AD1282" i="1"/>
  <c r="AK1281" i="1"/>
  <c r="AD1281" i="1"/>
  <c r="AK1280" i="1"/>
  <c r="AD1280" i="1"/>
  <c r="AK1279" i="1"/>
  <c r="AD1279" i="1"/>
  <c r="AK1278" i="1"/>
  <c r="AD1278" i="1"/>
  <c r="AK1277" i="1"/>
  <c r="AD1277" i="1"/>
  <c r="AK1276" i="1"/>
  <c r="AD1276" i="1"/>
  <c r="AK1275" i="1"/>
  <c r="AD1275" i="1"/>
  <c r="AK1274" i="1"/>
  <c r="AD1274" i="1"/>
  <c r="AK1273" i="1"/>
  <c r="AD1273" i="1"/>
  <c r="AK1272" i="1"/>
  <c r="AD1272" i="1"/>
  <c r="AK1271" i="1"/>
  <c r="AD1271" i="1"/>
  <c r="AK1270" i="1"/>
  <c r="AD1270" i="1"/>
  <c r="AK1269" i="1"/>
  <c r="AD1269" i="1"/>
  <c r="AK1268" i="1"/>
  <c r="AD1268" i="1"/>
  <c r="AK1267" i="1"/>
  <c r="AD1267" i="1"/>
  <c r="AK1266" i="1"/>
  <c r="AD1266" i="1"/>
  <c r="AK1265" i="1"/>
  <c r="AD1265" i="1"/>
  <c r="AK1264" i="1"/>
  <c r="AD1264" i="1"/>
  <c r="AK1263" i="1"/>
  <c r="AD1263" i="1"/>
  <c r="AK1262" i="1"/>
  <c r="AD1262" i="1"/>
  <c r="AK1261" i="1"/>
  <c r="AD1261" i="1"/>
  <c r="AK1260" i="1"/>
  <c r="AD1260" i="1"/>
  <c r="AK1259" i="1"/>
  <c r="AD1259" i="1"/>
  <c r="AK1258" i="1"/>
  <c r="AD1258" i="1"/>
  <c r="AK1257" i="1"/>
  <c r="AD1257" i="1"/>
  <c r="AK1256" i="1"/>
  <c r="AD1256" i="1"/>
  <c r="AK1255" i="1"/>
  <c r="AD1255" i="1"/>
  <c r="AK1254" i="1"/>
  <c r="AD1254" i="1"/>
  <c r="AK1253" i="1"/>
  <c r="AD1253" i="1"/>
  <c r="AK1252" i="1"/>
  <c r="AD1252" i="1"/>
  <c r="AK1251" i="1"/>
  <c r="AD1251" i="1"/>
  <c r="AK1250" i="1"/>
  <c r="AD1250" i="1"/>
  <c r="AK1249" i="1"/>
  <c r="AD1249" i="1"/>
  <c r="AK1248" i="1"/>
  <c r="AD1248" i="1"/>
  <c r="AK1247" i="1"/>
  <c r="AD1247" i="1"/>
  <c r="AK1246" i="1"/>
  <c r="AD1246" i="1"/>
  <c r="AK1245" i="1"/>
  <c r="AD1245" i="1"/>
  <c r="AK1244" i="1"/>
  <c r="AD1244" i="1"/>
  <c r="AK1243" i="1"/>
  <c r="AD1243" i="1"/>
  <c r="AK1242" i="1"/>
  <c r="AD1242" i="1"/>
  <c r="AK1241" i="1"/>
  <c r="AD1241" i="1"/>
  <c r="AK1240" i="1"/>
  <c r="AD1240" i="1"/>
  <c r="AK1239" i="1"/>
  <c r="AD1239" i="1"/>
  <c r="AK1238" i="1"/>
  <c r="AD1238" i="1"/>
  <c r="AK1237" i="1"/>
  <c r="AD1237" i="1"/>
  <c r="AK1236" i="1"/>
  <c r="AD1236" i="1"/>
  <c r="AK1235" i="1"/>
  <c r="AD1235" i="1"/>
  <c r="AK1234" i="1"/>
  <c r="AD1234" i="1"/>
  <c r="AK1233" i="1"/>
  <c r="AD1233" i="1"/>
  <c r="AK1232" i="1"/>
  <c r="AD1232" i="1"/>
  <c r="AK1231" i="1"/>
  <c r="AD1231" i="1"/>
  <c r="AK1230" i="1"/>
  <c r="AD1230" i="1"/>
  <c r="AK1229" i="1"/>
  <c r="AD1229" i="1"/>
  <c r="AK1228" i="1"/>
  <c r="AD1228" i="1"/>
  <c r="AK1227" i="1"/>
  <c r="AD1227" i="1"/>
  <c r="AK1226" i="1"/>
  <c r="AD1226" i="1"/>
  <c r="AK1225" i="1"/>
  <c r="AD1225" i="1"/>
  <c r="AK1224" i="1"/>
  <c r="AD1224" i="1"/>
  <c r="AK1223" i="1"/>
  <c r="AD1223" i="1"/>
  <c r="AK1222" i="1"/>
  <c r="AD1222" i="1"/>
  <c r="AK1221" i="1"/>
  <c r="AD1221" i="1"/>
  <c r="AK1220" i="1"/>
  <c r="AD1220" i="1"/>
  <c r="AK1219" i="1"/>
  <c r="AD1219" i="1"/>
  <c r="AK1218" i="1"/>
  <c r="AD1218" i="1"/>
  <c r="AK1217" i="1"/>
  <c r="AD1217" i="1"/>
  <c r="AK1216" i="1"/>
  <c r="AD1216" i="1"/>
  <c r="AK1215" i="1"/>
  <c r="AD1215" i="1"/>
  <c r="AK1214" i="1"/>
  <c r="AD1214" i="1"/>
  <c r="AK1213" i="1"/>
  <c r="AD1213" i="1"/>
  <c r="AK1212" i="1"/>
  <c r="AD1212" i="1"/>
  <c r="AK1211" i="1"/>
  <c r="AD1211" i="1"/>
  <c r="AK1210" i="1"/>
  <c r="AD1210" i="1"/>
  <c r="AK1209" i="1"/>
  <c r="AD1209" i="1"/>
  <c r="AK1208" i="1"/>
  <c r="AD1208" i="1"/>
  <c r="AK1207" i="1"/>
  <c r="AD1207" i="1"/>
  <c r="AK1206" i="1"/>
  <c r="AD1206" i="1"/>
  <c r="AK1205" i="1"/>
  <c r="AD1205" i="1"/>
  <c r="AK1204" i="1"/>
  <c r="AD1204" i="1"/>
  <c r="AK1203" i="1"/>
  <c r="AD1203" i="1"/>
  <c r="AK1202" i="1"/>
  <c r="AD1202" i="1"/>
  <c r="AK1201" i="1"/>
  <c r="AD1201" i="1"/>
  <c r="AK1200" i="1"/>
  <c r="AD1200" i="1"/>
  <c r="AK1199" i="1"/>
  <c r="AD1199" i="1"/>
  <c r="AK1198" i="1"/>
  <c r="AD1198" i="1"/>
  <c r="AK1197" i="1"/>
  <c r="AD1197" i="1"/>
  <c r="AK1196" i="1"/>
  <c r="AD1196" i="1"/>
  <c r="AK1195" i="1"/>
  <c r="AD1195" i="1"/>
  <c r="AK1194" i="1"/>
  <c r="AD1194" i="1"/>
  <c r="AK1193" i="1"/>
  <c r="AD1193" i="1"/>
  <c r="AK1192" i="1"/>
  <c r="AD1192" i="1"/>
  <c r="AK1191" i="1"/>
  <c r="AD1191" i="1"/>
  <c r="AK1190" i="1"/>
  <c r="AD1190" i="1"/>
  <c r="AK1189" i="1"/>
  <c r="AD1189" i="1"/>
  <c r="AK1188" i="1"/>
  <c r="AD1188" i="1"/>
  <c r="AK1187" i="1"/>
  <c r="AD1187" i="1"/>
  <c r="AK1186" i="1"/>
  <c r="AD1186" i="1"/>
  <c r="AK1185" i="1"/>
  <c r="AD1185" i="1"/>
  <c r="AK1184" i="1"/>
  <c r="AD1184" i="1"/>
  <c r="AK1183" i="1"/>
  <c r="AD1183" i="1"/>
  <c r="AK1182" i="1"/>
  <c r="AD1182" i="1"/>
  <c r="AK1181" i="1"/>
  <c r="AD1181" i="1"/>
  <c r="AK1180" i="1"/>
  <c r="AD1180" i="1"/>
  <c r="AK1179" i="1"/>
  <c r="AD1179" i="1"/>
  <c r="AK1178" i="1"/>
  <c r="AD1178" i="1"/>
  <c r="AK1177" i="1"/>
  <c r="AD1177" i="1"/>
  <c r="AK1176" i="1"/>
  <c r="AD1176" i="1"/>
  <c r="AK1175" i="1"/>
  <c r="AD1175" i="1"/>
  <c r="AK1174" i="1"/>
  <c r="AD1174" i="1"/>
  <c r="AK1173" i="1"/>
  <c r="AD1173" i="1"/>
  <c r="AK1172" i="1"/>
  <c r="AD1172" i="1"/>
  <c r="AK1171" i="1"/>
  <c r="AD1171" i="1"/>
  <c r="AK1170" i="1"/>
  <c r="AD1170" i="1"/>
  <c r="AK1169" i="1"/>
  <c r="AD1169" i="1"/>
  <c r="AK1168" i="1"/>
  <c r="AD1168" i="1"/>
  <c r="AK1167" i="1"/>
  <c r="AD1167" i="1"/>
  <c r="AK1166" i="1"/>
  <c r="AD1166" i="1"/>
  <c r="AK1165" i="1"/>
  <c r="AD1165" i="1"/>
  <c r="AK1164" i="1"/>
  <c r="AD1164" i="1"/>
  <c r="AK1163" i="1"/>
  <c r="AD1163" i="1"/>
  <c r="AK1162" i="1"/>
  <c r="AD1162" i="1"/>
  <c r="AK1161" i="1"/>
  <c r="AD1161" i="1"/>
  <c r="AK1160" i="1"/>
  <c r="AD1160" i="1"/>
  <c r="AK1159" i="1"/>
  <c r="AD1159" i="1"/>
  <c r="AK1158" i="1"/>
  <c r="AD1158" i="1"/>
  <c r="AK1157" i="1"/>
  <c r="AD1157" i="1"/>
  <c r="AK1156" i="1"/>
  <c r="AD1156" i="1"/>
  <c r="AK1155" i="1"/>
  <c r="AD1155" i="1"/>
  <c r="AK1154" i="1"/>
  <c r="AD1154" i="1"/>
  <c r="AK1153" i="1"/>
  <c r="AD1153" i="1"/>
  <c r="AK1152" i="1"/>
  <c r="AD1152" i="1"/>
  <c r="AK1151" i="1"/>
  <c r="AD1151" i="1"/>
  <c r="AK1150" i="1"/>
  <c r="AD1150" i="1"/>
  <c r="AK1149" i="1"/>
  <c r="AD1149" i="1"/>
  <c r="AK1148" i="1"/>
  <c r="AD1148" i="1"/>
  <c r="AK1147" i="1"/>
  <c r="AD1147" i="1"/>
  <c r="AK1146" i="1"/>
  <c r="AD1146" i="1"/>
  <c r="AK1145" i="1"/>
  <c r="AD1145" i="1"/>
  <c r="AK1144" i="1"/>
  <c r="AD1144" i="1"/>
  <c r="AK1143" i="1"/>
  <c r="AD1143" i="1"/>
  <c r="AK1142" i="1"/>
  <c r="AD1142" i="1"/>
  <c r="AK1141" i="1"/>
  <c r="AD1141" i="1"/>
  <c r="AK1140" i="1"/>
  <c r="AD1140" i="1"/>
  <c r="AK1139" i="1"/>
  <c r="AD1139" i="1"/>
  <c r="AK1138" i="1"/>
  <c r="AD1138" i="1"/>
  <c r="AK1137" i="1"/>
  <c r="AD1137" i="1"/>
  <c r="AK1136" i="1"/>
  <c r="AD1136" i="1"/>
  <c r="AK1135" i="1"/>
  <c r="AD1135" i="1"/>
  <c r="AK1134" i="1"/>
  <c r="AD1134" i="1"/>
  <c r="AK1133" i="1"/>
  <c r="AD1133" i="1"/>
  <c r="AK1132" i="1"/>
  <c r="AD1132" i="1"/>
  <c r="AK1131" i="1"/>
  <c r="AD1131" i="1"/>
  <c r="AK1130" i="1"/>
  <c r="AD1130" i="1"/>
  <c r="AK1129" i="1"/>
  <c r="AD1129" i="1"/>
  <c r="AK1128" i="1"/>
  <c r="AD1128" i="1"/>
  <c r="AK1127" i="1"/>
  <c r="AD1127" i="1"/>
  <c r="AK1126" i="1"/>
  <c r="AD1126" i="1"/>
  <c r="AK1125" i="1"/>
  <c r="AD1125" i="1"/>
  <c r="AK1124" i="1"/>
  <c r="AD1124" i="1"/>
  <c r="AK1123" i="1"/>
  <c r="AD1123" i="1"/>
  <c r="AK1122" i="1"/>
  <c r="AD1122" i="1"/>
  <c r="AK1121" i="1"/>
  <c r="AD1121" i="1"/>
  <c r="AK1120" i="1"/>
  <c r="AD1120" i="1"/>
  <c r="AK1119" i="1"/>
  <c r="AD1119" i="1"/>
  <c r="AK1118" i="1"/>
  <c r="AD1118" i="1"/>
  <c r="AK1117" i="1"/>
  <c r="AD1117" i="1"/>
  <c r="AK1116" i="1"/>
  <c r="AD1116" i="1"/>
  <c r="AK1115" i="1"/>
  <c r="AD1115" i="1"/>
  <c r="AK1114" i="1"/>
  <c r="AD1114" i="1"/>
  <c r="AK1113" i="1"/>
  <c r="AD1113" i="1"/>
  <c r="AK1112" i="1"/>
  <c r="AD1112" i="1"/>
  <c r="AK1111" i="1"/>
  <c r="AD1111" i="1"/>
  <c r="AK1110" i="1"/>
  <c r="AD1110" i="1"/>
  <c r="AK1109" i="1"/>
  <c r="AD1109" i="1"/>
  <c r="AK1108" i="1"/>
  <c r="AD1108" i="1"/>
  <c r="AK1107" i="1"/>
  <c r="AD1107" i="1"/>
  <c r="AK1106" i="1"/>
  <c r="AD1106" i="1"/>
  <c r="AK1105" i="1"/>
  <c r="AD1105" i="1"/>
  <c r="AK1104" i="1"/>
  <c r="AD1104" i="1"/>
  <c r="AK1103" i="1"/>
  <c r="AD1103" i="1"/>
  <c r="AK1102" i="1"/>
  <c r="AD1102" i="1"/>
  <c r="AK1101" i="1"/>
  <c r="AD1101" i="1"/>
  <c r="AK1100" i="1"/>
  <c r="AD1100" i="1"/>
  <c r="AK1099" i="1"/>
  <c r="AD1099" i="1"/>
  <c r="AK1098" i="1"/>
  <c r="AD1098" i="1"/>
  <c r="AK1097" i="1"/>
  <c r="AD1097" i="1"/>
  <c r="AK1096" i="1"/>
  <c r="AD1096" i="1"/>
  <c r="AK1095" i="1"/>
  <c r="AD1095" i="1"/>
  <c r="AK1094" i="1"/>
  <c r="AD1094" i="1"/>
  <c r="AK1093" i="1"/>
  <c r="AD1093" i="1"/>
  <c r="AK1092" i="1"/>
  <c r="AD1092" i="1"/>
  <c r="AK1091" i="1"/>
  <c r="AD1091" i="1"/>
  <c r="AK1090" i="1"/>
  <c r="AD1090" i="1"/>
  <c r="AK1089" i="1"/>
  <c r="AD1089" i="1"/>
  <c r="AK1088" i="1"/>
  <c r="AD1088" i="1"/>
  <c r="AK1087" i="1"/>
  <c r="AD1087" i="1"/>
  <c r="AK1086" i="1"/>
  <c r="AD1086" i="1"/>
  <c r="AK1085" i="1"/>
  <c r="AD1085" i="1"/>
  <c r="AK1084" i="1"/>
  <c r="AD1084" i="1"/>
  <c r="AK1083" i="1"/>
  <c r="AD1083" i="1"/>
  <c r="AK1082" i="1"/>
  <c r="AD1082" i="1"/>
  <c r="AK1081" i="1"/>
  <c r="AD1081" i="1"/>
  <c r="AK1080" i="1"/>
  <c r="AD1080" i="1"/>
  <c r="AK1079" i="1"/>
  <c r="AD1079" i="1"/>
  <c r="AK1078" i="1"/>
  <c r="AD1078" i="1"/>
  <c r="AK1077" i="1"/>
  <c r="AD1077" i="1"/>
  <c r="AK1076" i="1"/>
  <c r="AD1076" i="1"/>
  <c r="AK1075" i="1"/>
  <c r="AD1075" i="1"/>
  <c r="AK1074" i="1"/>
  <c r="AD1074" i="1"/>
  <c r="AK1073" i="1"/>
  <c r="AD1073" i="1"/>
  <c r="AK1072" i="1"/>
  <c r="AD1072" i="1"/>
  <c r="AK1071" i="1"/>
  <c r="AD1071" i="1"/>
  <c r="AK1070" i="1"/>
  <c r="AD1070" i="1"/>
  <c r="AK1069" i="1"/>
  <c r="AD1069" i="1"/>
  <c r="AK1068" i="1"/>
  <c r="AD1068" i="1"/>
  <c r="AK1067" i="1"/>
  <c r="AD1067" i="1"/>
  <c r="AK1066" i="1"/>
  <c r="AD1066" i="1"/>
  <c r="AK1065" i="1"/>
  <c r="AD1065" i="1"/>
  <c r="AK1064" i="1"/>
  <c r="AD1064" i="1"/>
  <c r="AK1063" i="1"/>
  <c r="AD1063" i="1"/>
  <c r="AK1062" i="1"/>
  <c r="AD1062" i="1"/>
  <c r="AK1061" i="1"/>
  <c r="AD1061" i="1"/>
  <c r="AK1060" i="1"/>
  <c r="AD1060" i="1"/>
  <c r="AK1059" i="1"/>
  <c r="AD1059" i="1"/>
  <c r="AK1058" i="1"/>
  <c r="AD1058" i="1"/>
  <c r="AK1057" i="1"/>
  <c r="AD1057" i="1"/>
  <c r="AK1056" i="1"/>
  <c r="AD1056" i="1"/>
  <c r="AK1055" i="1"/>
  <c r="AD1055" i="1"/>
  <c r="AK1054" i="1"/>
  <c r="AD1054" i="1"/>
  <c r="AK1053" i="1"/>
  <c r="AD1053" i="1"/>
  <c r="AK1052" i="1"/>
  <c r="AD1052" i="1"/>
  <c r="AK1051" i="1"/>
  <c r="AD1051" i="1"/>
  <c r="AK1050" i="1"/>
  <c r="AD1050" i="1"/>
  <c r="AK1049" i="1"/>
  <c r="AD1049" i="1"/>
  <c r="AK1048" i="1"/>
  <c r="AD1048" i="1"/>
  <c r="AK1047" i="1"/>
  <c r="AD1047" i="1"/>
  <c r="AK1046" i="1"/>
  <c r="AD1046" i="1"/>
  <c r="AK1045" i="1"/>
  <c r="AD1045" i="1"/>
  <c r="AK1044" i="1"/>
  <c r="AD1044" i="1"/>
  <c r="AK1043" i="1"/>
  <c r="AD1043" i="1"/>
  <c r="AK1042" i="1"/>
  <c r="AD1042" i="1"/>
  <c r="AK1041" i="1"/>
  <c r="AD1041" i="1"/>
  <c r="AK1040" i="1"/>
  <c r="AD1040" i="1"/>
  <c r="AK1039" i="1"/>
  <c r="AD1039" i="1"/>
  <c r="AK1038" i="1"/>
  <c r="AD1038" i="1"/>
  <c r="AK1037" i="1"/>
  <c r="AD1037" i="1"/>
  <c r="AK1036" i="1"/>
  <c r="AD1036" i="1"/>
  <c r="AK1035" i="1"/>
  <c r="AD1035" i="1"/>
  <c r="AK1034" i="1"/>
  <c r="AD1034" i="1"/>
  <c r="AK1033" i="1"/>
  <c r="AD1033" i="1"/>
  <c r="AK1032" i="1"/>
  <c r="AD1032" i="1"/>
  <c r="AK1031" i="1"/>
  <c r="AD1031" i="1"/>
  <c r="AK1030" i="1"/>
  <c r="AD1030" i="1"/>
  <c r="AK1029" i="1"/>
  <c r="AD1029" i="1"/>
  <c r="AK1028" i="1"/>
  <c r="AD1028" i="1"/>
  <c r="AK1027" i="1"/>
  <c r="AD1027" i="1"/>
  <c r="AK1026" i="1"/>
  <c r="AD1026" i="1"/>
  <c r="AK1025" i="1"/>
  <c r="AD1025" i="1"/>
  <c r="AK1024" i="1"/>
  <c r="AD1024" i="1"/>
  <c r="AK1023" i="1"/>
  <c r="AD1023" i="1"/>
  <c r="AK1022" i="1"/>
  <c r="AD1022" i="1"/>
  <c r="AK1021" i="1"/>
  <c r="AD1021" i="1"/>
  <c r="AK1020" i="1"/>
  <c r="AD1020" i="1"/>
  <c r="AK1019" i="1"/>
  <c r="AD1019" i="1"/>
  <c r="AK1018" i="1"/>
  <c r="AD1018" i="1"/>
  <c r="AK1017" i="1"/>
  <c r="AD1017" i="1"/>
  <c r="AK1016" i="1"/>
  <c r="AD1016" i="1"/>
  <c r="AK1015" i="1"/>
  <c r="AD1015" i="1"/>
  <c r="AK1014" i="1"/>
  <c r="AD1014" i="1"/>
  <c r="AK1013" i="1"/>
  <c r="AD1013" i="1"/>
  <c r="AK1012" i="1"/>
  <c r="AD1012" i="1"/>
  <c r="AK1011" i="1"/>
  <c r="AD1011" i="1"/>
  <c r="AK1010" i="1"/>
  <c r="AD1010" i="1"/>
  <c r="AK1009" i="1"/>
  <c r="AD1009" i="1"/>
  <c r="AK1008" i="1"/>
  <c r="AD1008" i="1"/>
  <c r="AK1007" i="1"/>
  <c r="AD1007" i="1"/>
  <c r="AK1006" i="1"/>
  <c r="AD1006" i="1"/>
  <c r="AK1005" i="1"/>
  <c r="AD1005" i="1"/>
  <c r="AK1004" i="1"/>
  <c r="AD1004" i="1"/>
  <c r="AK1003" i="1"/>
  <c r="AD1003" i="1"/>
  <c r="AK1002" i="1"/>
  <c r="AD1002" i="1"/>
  <c r="AK1001" i="1"/>
  <c r="AD1001" i="1"/>
  <c r="AK1000" i="1"/>
  <c r="AD1000" i="1"/>
  <c r="AK999" i="1"/>
  <c r="AD999" i="1"/>
  <c r="AK998" i="1"/>
  <c r="AD998" i="1"/>
  <c r="AK997" i="1"/>
  <c r="AD997" i="1"/>
  <c r="AK996" i="1"/>
  <c r="AD996" i="1"/>
  <c r="AK995" i="1"/>
  <c r="AD995" i="1"/>
  <c r="AK994" i="1"/>
  <c r="AD994" i="1"/>
  <c r="AK993" i="1"/>
  <c r="AD993" i="1"/>
  <c r="AK992" i="1"/>
  <c r="AD992" i="1"/>
  <c r="AK991" i="1"/>
  <c r="AD991" i="1"/>
  <c r="AK990" i="1"/>
  <c r="AD990" i="1"/>
  <c r="AK989" i="1"/>
  <c r="AD989" i="1"/>
  <c r="AK988" i="1"/>
  <c r="AD988" i="1"/>
  <c r="AK987" i="1"/>
  <c r="AD987" i="1"/>
  <c r="AK986" i="1"/>
  <c r="AD986" i="1"/>
  <c r="AK985" i="1"/>
  <c r="AD985" i="1"/>
  <c r="AK984" i="1"/>
  <c r="AD984" i="1"/>
  <c r="AK983" i="1"/>
  <c r="AD983" i="1"/>
  <c r="AK982" i="1"/>
  <c r="AD982" i="1"/>
  <c r="AK981" i="1"/>
  <c r="AD981" i="1"/>
  <c r="AK980" i="1"/>
  <c r="AD980" i="1"/>
  <c r="AK979" i="1"/>
  <c r="AD979" i="1"/>
  <c r="AK978" i="1"/>
  <c r="AD978" i="1"/>
  <c r="AK977" i="1"/>
  <c r="AD977" i="1"/>
  <c r="AK976" i="1"/>
  <c r="AD976" i="1"/>
  <c r="AK975" i="1"/>
  <c r="AD975" i="1"/>
  <c r="AK974" i="1"/>
  <c r="AD974" i="1"/>
  <c r="AK973" i="1"/>
  <c r="AD973" i="1"/>
  <c r="AK972" i="1"/>
  <c r="AD972" i="1"/>
  <c r="AK971" i="1"/>
  <c r="AD971" i="1"/>
  <c r="AK970" i="1"/>
  <c r="AD970" i="1"/>
  <c r="AK969" i="1"/>
  <c r="AD969" i="1"/>
  <c r="AK968" i="1"/>
  <c r="AD968" i="1"/>
  <c r="AK967" i="1"/>
  <c r="AD967" i="1"/>
  <c r="AK966" i="1"/>
  <c r="AD966" i="1"/>
  <c r="AK965" i="1"/>
  <c r="AD965" i="1"/>
  <c r="AK964" i="1"/>
  <c r="AD964" i="1"/>
  <c r="AK963" i="1"/>
  <c r="AD963" i="1"/>
  <c r="AK962" i="1"/>
  <c r="AD962" i="1"/>
  <c r="AK961" i="1"/>
  <c r="AD961" i="1"/>
  <c r="AK960" i="1"/>
  <c r="AD960" i="1"/>
  <c r="AK959" i="1"/>
  <c r="AD959" i="1"/>
  <c r="AK958" i="1"/>
  <c r="AD958" i="1"/>
  <c r="AK957" i="1"/>
  <c r="AD957" i="1"/>
  <c r="AK956" i="1"/>
  <c r="AD956" i="1"/>
  <c r="AK955" i="1"/>
  <c r="AD955" i="1"/>
  <c r="AK954" i="1"/>
  <c r="AD954" i="1"/>
  <c r="AK953" i="1"/>
  <c r="AD953" i="1"/>
  <c r="AK952" i="1"/>
  <c r="AD952" i="1"/>
  <c r="AK951" i="1"/>
  <c r="AD951" i="1"/>
  <c r="AK950" i="1"/>
  <c r="AD950" i="1"/>
  <c r="AK949" i="1"/>
  <c r="AD949" i="1"/>
  <c r="AK948" i="1"/>
  <c r="AD948" i="1"/>
  <c r="AK947" i="1"/>
  <c r="AD947" i="1"/>
  <c r="AK946" i="1"/>
  <c r="AD946" i="1"/>
  <c r="AK945" i="1"/>
  <c r="AD945" i="1"/>
  <c r="AK944" i="1"/>
  <c r="AD944" i="1"/>
  <c r="AK943" i="1"/>
  <c r="AD943" i="1"/>
  <c r="AK942" i="1"/>
  <c r="AD942" i="1"/>
  <c r="AK941" i="1"/>
  <c r="AD941" i="1"/>
  <c r="AK940" i="1"/>
  <c r="AD940" i="1"/>
  <c r="AK939" i="1"/>
  <c r="AD939" i="1"/>
  <c r="AK938" i="1"/>
  <c r="AD938" i="1"/>
  <c r="AK937" i="1"/>
  <c r="AD937" i="1"/>
  <c r="AK936" i="1"/>
  <c r="AD936" i="1"/>
  <c r="AK935" i="1"/>
  <c r="AD935" i="1"/>
  <c r="AK934" i="1"/>
  <c r="AD934" i="1"/>
  <c r="AK933" i="1"/>
  <c r="AD933" i="1"/>
  <c r="AK932" i="1"/>
  <c r="AD932" i="1"/>
  <c r="AK931" i="1"/>
  <c r="AD931" i="1"/>
  <c r="AK930" i="1"/>
  <c r="AD930" i="1"/>
  <c r="AK929" i="1"/>
  <c r="AD929" i="1"/>
  <c r="AK928" i="1"/>
  <c r="AD928" i="1"/>
  <c r="AK927" i="1"/>
  <c r="AD927" i="1"/>
  <c r="AK926" i="1"/>
  <c r="AD926" i="1"/>
  <c r="AK925" i="1"/>
  <c r="AD925" i="1"/>
  <c r="AK924" i="1"/>
  <c r="AD924" i="1"/>
  <c r="AK923" i="1"/>
  <c r="AD923" i="1"/>
  <c r="AK922" i="1"/>
  <c r="AD922" i="1"/>
  <c r="AK921" i="1"/>
  <c r="AD921" i="1"/>
  <c r="AK920" i="1"/>
  <c r="AD920" i="1"/>
  <c r="AK919" i="1"/>
  <c r="AD919" i="1"/>
  <c r="AK918" i="1"/>
  <c r="AD918" i="1"/>
  <c r="AK917" i="1"/>
  <c r="AD917" i="1"/>
  <c r="AK916" i="1"/>
  <c r="AD916" i="1"/>
  <c r="AK915" i="1"/>
  <c r="AD915" i="1"/>
  <c r="AK914" i="1"/>
  <c r="AD914" i="1"/>
  <c r="AK913" i="1"/>
  <c r="AD913" i="1"/>
  <c r="AK912" i="1"/>
  <c r="AD912" i="1"/>
  <c r="AK911" i="1"/>
  <c r="AD911" i="1"/>
  <c r="AK910" i="1"/>
  <c r="AD910" i="1"/>
  <c r="AK909" i="1"/>
  <c r="AD909" i="1"/>
  <c r="AK908" i="1"/>
  <c r="AD908" i="1"/>
  <c r="AK907" i="1"/>
  <c r="AD907" i="1"/>
  <c r="AK906" i="1"/>
  <c r="AD906" i="1"/>
  <c r="AK905" i="1"/>
  <c r="AD905" i="1"/>
  <c r="AK904" i="1"/>
  <c r="AD904" i="1"/>
  <c r="AK903" i="1"/>
  <c r="AD903" i="1"/>
  <c r="AK902" i="1"/>
  <c r="AD902" i="1"/>
  <c r="AK901" i="1"/>
  <c r="AD901" i="1"/>
  <c r="AK900" i="1"/>
  <c r="AD900" i="1"/>
  <c r="AK899" i="1"/>
  <c r="AD899" i="1"/>
  <c r="AK898" i="1"/>
  <c r="AD898" i="1"/>
  <c r="AK897" i="1"/>
  <c r="AD897" i="1"/>
  <c r="AK896" i="1"/>
  <c r="AD896" i="1"/>
  <c r="AK895" i="1"/>
  <c r="AD895" i="1"/>
  <c r="AK894" i="1"/>
  <c r="AD894" i="1"/>
  <c r="AK893" i="1"/>
  <c r="AD893" i="1"/>
  <c r="AK892" i="1"/>
  <c r="AD892" i="1"/>
  <c r="AK891" i="1"/>
  <c r="AD891" i="1"/>
  <c r="AK890" i="1"/>
  <c r="AD890" i="1"/>
  <c r="AK889" i="1"/>
  <c r="AD889" i="1"/>
  <c r="AK888" i="1"/>
  <c r="AD888" i="1"/>
  <c r="AK887" i="1"/>
  <c r="AD887" i="1"/>
  <c r="AK886" i="1"/>
  <c r="AD886" i="1"/>
  <c r="AK885" i="1"/>
  <c r="AD885" i="1"/>
  <c r="AK884" i="1"/>
  <c r="AD884" i="1"/>
  <c r="AK883" i="1"/>
  <c r="AD883" i="1"/>
  <c r="AK882" i="1"/>
  <c r="AD882" i="1"/>
  <c r="AK881" i="1"/>
  <c r="AD881" i="1"/>
  <c r="AK880" i="1"/>
  <c r="AD880" i="1"/>
  <c r="AK879" i="1"/>
  <c r="AD879" i="1"/>
  <c r="AK878" i="1"/>
  <c r="AD878" i="1"/>
  <c r="AK877" i="1"/>
  <c r="AD877" i="1"/>
  <c r="AK876" i="1"/>
  <c r="AD876" i="1"/>
  <c r="AK875" i="1"/>
  <c r="AD875" i="1"/>
  <c r="AK874" i="1"/>
  <c r="AD874" i="1"/>
  <c r="AK873" i="1"/>
  <c r="AD873" i="1"/>
  <c r="AK872" i="1"/>
  <c r="AD872" i="1"/>
  <c r="AK871" i="1"/>
  <c r="AD871" i="1"/>
  <c r="AK870" i="1"/>
  <c r="AD870" i="1"/>
  <c r="AK869" i="1"/>
  <c r="AD869" i="1"/>
  <c r="AK868" i="1"/>
  <c r="AD868" i="1"/>
  <c r="AK867" i="1"/>
  <c r="AD867" i="1"/>
  <c r="AK866" i="1"/>
  <c r="AD866" i="1"/>
  <c r="AK865" i="1"/>
  <c r="AD865" i="1"/>
  <c r="AK864" i="1"/>
  <c r="AD864" i="1"/>
  <c r="AK863" i="1"/>
  <c r="AD863" i="1"/>
  <c r="AK862" i="1"/>
  <c r="AD862" i="1"/>
  <c r="AK861" i="1"/>
  <c r="AD861" i="1"/>
  <c r="AK860" i="1"/>
  <c r="AD860" i="1"/>
  <c r="AK859" i="1"/>
  <c r="AD859" i="1"/>
  <c r="AK858" i="1"/>
  <c r="AD858" i="1"/>
  <c r="AK857" i="1"/>
  <c r="AD857" i="1"/>
  <c r="AK856" i="1"/>
  <c r="AD856" i="1"/>
  <c r="AK855" i="1"/>
  <c r="AD855" i="1"/>
  <c r="AK854" i="1"/>
  <c r="AD854" i="1"/>
  <c r="AK853" i="1"/>
  <c r="AD853" i="1"/>
  <c r="AK852" i="1"/>
  <c r="AD852" i="1"/>
  <c r="AK851" i="1"/>
  <c r="AD851" i="1"/>
  <c r="AK850" i="1"/>
  <c r="AD850" i="1"/>
  <c r="AK849" i="1"/>
  <c r="AD849" i="1"/>
  <c r="AK848" i="1"/>
  <c r="AD848" i="1"/>
  <c r="AK847" i="1"/>
  <c r="AD847" i="1"/>
  <c r="AK846" i="1"/>
  <c r="AD846" i="1"/>
  <c r="AK845" i="1"/>
  <c r="AD845" i="1"/>
  <c r="AK844" i="1"/>
  <c r="AD844" i="1"/>
  <c r="AK843" i="1"/>
  <c r="AD843" i="1"/>
  <c r="AK842" i="1"/>
  <c r="AD842" i="1"/>
  <c r="AK841" i="1"/>
  <c r="AD841" i="1"/>
  <c r="AK840" i="1"/>
  <c r="AD840" i="1"/>
  <c r="AK839" i="1"/>
  <c r="AD839" i="1"/>
  <c r="AK838" i="1"/>
  <c r="AD838" i="1"/>
  <c r="AK837" i="1"/>
  <c r="AD837" i="1"/>
  <c r="AK836" i="1"/>
  <c r="AD836" i="1"/>
  <c r="AK835" i="1"/>
  <c r="AD835" i="1"/>
  <c r="AK834" i="1"/>
  <c r="AD834" i="1"/>
  <c r="AK833" i="1"/>
  <c r="AD833" i="1"/>
  <c r="AK832" i="1"/>
  <c r="AD832" i="1"/>
  <c r="AK831" i="1"/>
  <c r="AD831" i="1"/>
  <c r="AK830" i="1"/>
  <c r="AD830" i="1"/>
  <c r="AK829" i="1"/>
  <c r="AD829" i="1"/>
  <c r="AK828" i="1"/>
  <c r="AD828" i="1"/>
  <c r="AK827" i="1"/>
  <c r="AD827" i="1"/>
  <c r="AK826" i="1"/>
  <c r="AD826" i="1"/>
  <c r="AK825" i="1"/>
  <c r="AD825" i="1"/>
  <c r="AK824" i="1"/>
  <c r="AD824" i="1"/>
  <c r="AK823" i="1"/>
  <c r="AD823" i="1"/>
  <c r="AK822" i="1"/>
  <c r="AD822" i="1"/>
  <c r="AK821" i="1"/>
  <c r="AD821" i="1"/>
  <c r="AK820" i="1"/>
  <c r="AD820" i="1"/>
  <c r="AK819" i="1"/>
  <c r="AD819" i="1"/>
  <c r="AK818" i="1"/>
  <c r="AD818" i="1"/>
  <c r="AK817" i="1"/>
  <c r="AD817" i="1"/>
  <c r="AK816" i="1"/>
  <c r="AD816" i="1"/>
  <c r="AK815" i="1"/>
  <c r="AD815" i="1"/>
  <c r="AK814" i="1"/>
  <c r="AD814" i="1"/>
  <c r="AK813" i="1"/>
  <c r="AD813" i="1"/>
  <c r="AK812" i="1"/>
  <c r="AD812" i="1"/>
  <c r="AK811" i="1"/>
  <c r="AD811" i="1"/>
  <c r="AK810" i="1"/>
  <c r="AD810" i="1"/>
  <c r="AK809" i="1"/>
  <c r="AD809" i="1"/>
  <c r="AK808" i="1"/>
  <c r="AD808" i="1"/>
  <c r="AK807" i="1"/>
  <c r="AD807" i="1"/>
  <c r="AK806" i="1"/>
  <c r="AD806" i="1"/>
  <c r="AK805" i="1"/>
  <c r="AD805" i="1"/>
  <c r="AK804" i="1"/>
  <c r="AD804" i="1"/>
  <c r="AK803" i="1"/>
  <c r="AD803" i="1"/>
  <c r="AK802" i="1"/>
  <c r="AD802" i="1"/>
  <c r="AK801" i="1"/>
  <c r="AD801" i="1"/>
  <c r="AK800" i="1"/>
  <c r="AD800" i="1"/>
  <c r="AK799" i="1"/>
  <c r="AD799" i="1"/>
  <c r="AK798" i="1"/>
  <c r="AD798" i="1"/>
  <c r="AK797" i="1"/>
  <c r="AD797" i="1"/>
  <c r="AK796" i="1"/>
  <c r="AD796" i="1"/>
  <c r="AK795" i="1"/>
  <c r="AD795" i="1"/>
  <c r="AK794" i="1"/>
  <c r="AD794" i="1"/>
  <c r="AK793" i="1"/>
  <c r="AD793" i="1"/>
  <c r="AK792" i="1"/>
  <c r="AD792" i="1"/>
  <c r="AK791" i="1"/>
  <c r="AD791" i="1"/>
  <c r="AK790" i="1"/>
  <c r="AD790" i="1"/>
  <c r="AK789" i="1"/>
  <c r="AD789" i="1"/>
  <c r="AK788" i="1"/>
  <c r="AD788" i="1"/>
  <c r="AK787" i="1"/>
  <c r="AD787" i="1"/>
  <c r="AK786" i="1"/>
  <c r="AD786" i="1"/>
  <c r="AK785" i="1"/>
  <c r="AD785" i="1"/>
  <c r="AK784" i="1"/>
  <c r="AD784" i="1"/>
  <c r="AK783" i="1"/>
  <c r="AD783" i="1"/>
  <c r="AK782" i="1"/>
  <c r="AD782" i="1"/>
  <c r="AK781" i="1"/>
  <c r="AD781" i="1"/>
  <c r="AK780" i="1"/>
  <c r="AD780" i="1"/>
  <c r="AK779" i="1"/>
  <c r="AD779" i="1"/>
  <c r="AK778" i="1"/>
  <c r="AD778" i="1"/>
  <c r="AK777" i="1"/>
  <c r="AD777" i="1"/>
  <c r="AK776" i="1"/>
  <c r="AD776" i="1"/>
  <c r="AK775" i="1"/>
  <c r="AD775" i="1"/>
  <c r="AK774" i="1"/>
  <c r="AD774" i="1"/>
  <c r="AK773" i="1"/>
  <c r="AD773" i="1"/>
  <c r="AK772" i="1"/>
  <c r="AD772" i="1"/>
  <c r="AK771" i="1"/>
  <c r="AD771" i="1"/>
  <c r="AK770" i="1"/>
  <c r="AD770" i="1"/>
  <c r="AK769" i="1"/>
  <c r="AD769" i="1"/>
  <c r="AK768" i="1"/>
  <c r="AD768" i="1"/>
  <c r="AK767" i="1"/>
  <c r="AD767" i="1"/>
  <c r="AK766" i="1"/>
  <c r="AD766" i="1"/>
  <c r="AK765" i="1"/>
  <c r="AD765" i="1"/>
  <c r="AK764" i="1"/>
  <c r="AD764" i="1"/>
  <c r="AK763" i="1"/>
  <c r="AD763" i="1"/>
  <c r="AK762" i="1"/>
  <c r="AD762" i="1"/>
  <c r="AK761" i="1"/>
  <c r="AD761" i="1"/>
  <c r="AK760" i="1"/>
  <c r="AD760" i="1"/>
  <c r="AK759" i="1"/>
  <c r="AD759" i="1"/>
  <c r="AK758" i="1"/>
  <c r="AD758" i="1"/>
  <c r="AK757" i="1"/>
  <c r="AD757" i="1"/>
  <c r="AK756" i="1"/>
  <c r="AD756" i="1"/>
  <c r="AK755" i="1"/>
  <c r="AD755" i="1"/>
  <c r="AK754" i="1"/>
  <c r="AD754" i="1"/>
  <c r="AK753" i="1"/>
  <c r="AD753" i="1"/>
  <c r="AK752" i="1"/>
  <c r="AD752" i="1"/>
  <c r="AK751" i="1"/>
  <c r="AD751" i="1"/>
  <c r="AK750" i="1"/>
  <c r="AD750" i="1"/>
  <c r="AK749" i="1"/>
  <c r="AD749" i="1"/>
  <c r="AK748" i="1"/>
  <c r="AD748" i="1"/>
  <c r="AK747" i="1"/>
  <c r="AD747" i="1"/>
  <c r="AK746" i="1"/>
  <c r="AD746" i="1"/>
  <c r="AK745" i="1"/>
  <c r="AD745" i="1"/>
  <c r="AK744" i="1"/>
  <c r="AD744" i="1"/>
  <c r="AK743" i="1"/>
  <c r="AD743" i="1"/>
  <c r="AK742" i="1"/>
  <c r="AD742" i="1"/>
  <c r="AK741" i="1"/>
  <c r="AD741" i="1"/>
  <c r="AK740" i="1"/>
  <c r="AD740" i="1"/>
  <c r="AK739" i="1"/>
  <c r="AD739" i="1"/>
  <c r="AK738" i="1"/>
  <c r="AD738" i="1"/>
  <c r="AK737" i="1"/>
  <c r="AD737" i="1"/>
  <c r="AK736" i="1"/>
  <c r="AD736" i="1"/>
  <c r="AK735" i="1"/>
  <c r="AD735" i="1"/>
  <c r="AK734" i="1"/>
  <c r="AD734" i="1"/>
  <c r="AK733" i="1"/>
  <c r="AD733" i="1"/>
  <c r="AK732" i="1"/>
  <c r="AD732" i="1"/>
  <c r="AK731" i="1"/>
  <c r="AD731" i="1"/>
  <c r="AK730" i="1"/>
  <c r="AD730" i="1"/>
  <c r="AK729" i="1"/>
  <c r="AD729" i="1"/>
  <c r="AK728" i="1"/>
  <c r="AD728" i="1"/>
  <c r="AK727" i="1"/>
  <c r="AD727" i="1"/>
  <c r="AK726" i="1"/>
  <c r="AD726" i="1"/>
  <c r="AK725" i="1"/>
  <c r="AD725" i="1"/>
  <c r="AK724" i="1"/>
  <c r="AD724" i="1"/>
  <c r="AK723" i="1"/>
  <c r="AD723" i="1"/>
  <c r="AK722" i="1"/>
  <c r="AD722" i="1"/>
  <c r="AK721" i="1"/>
  <c r="AD721" i="1"/>
  <c r="AK720" i="1"/>
  <c r="AD720" i="1"/>
  <c r="AK719" i="1"/>
  <c r="AD719" i="1"/>
  <c r="AK718" i="1"/>
  <c r="AD718" i="1"/>
  <c r="AK717" i="1"/>
  <c r="AD717" i="1"/>
  <c r="AK716" i="1"/>
  <c r="AD716" i="1"/>
  <c r="AK715" i="1"/>
  <c r="AD715" i="1"/>
  <c r="AK714" i="1"/>
  <c r="AD714" i="1"/>
  <c r="AK713" i="1"/>
  <c r="AD713" i="1"/>
  <c r="AK712" i="1"/>
  <c r="AD712" i="1"/>
  <c r="AK711" i="1"/>
  <c r="AD711" i="1"/>
  <c r="AK710" i="1"/>
  <c r="AD710" i="1"/>
  <c r="AK709" i="1"/>
  <c r="AD709" i="1"/>
  <c r="AK708" i="1"/>
  <c r="AD708" i="1"/>
  <c r="AK707" i="1"/>
  <c r="AD707" i="1"/>
  <c r="AK706" i="1"/>
  <c r="AD706" i="1"/>
  <c r="AK705" i="1"/>
  <c r="AD705" i="1"/>
  <c r="AK704" i="1"/>
  <c r="AD704" i="1"/>
  <c r="AK703" i="1"/>
  <c r="AD703" i="1"/>
  <c r="AK702" i="1"/>
  <c r="AD702" i="1"/>
  <c r="AK701" i="1"/>
  <c r="AD701" i="1"/>
  <c r="AK700" i="1"/>
  <c r="AD700" i="1"/>
  <c r="AK699" i="1"/>
  <c r="AD699" i="1"/>
  <c r="AK698" i="1"/>
  <c r="AD698" i="1"/>
  <c r="AK697" i="1"/>
  <c r="AD697" i="1"/>
  <c r="AK696" i="1"/>
  <c r="AD696" i="1"/>
  <c r="AK695" i="1"/>
  <c r="AD695" i="1"/>
  <c r="AK694" i="1"/>
  <c r="AD694" i="1"/>
  <c r="AK693" i="1"/>
  <c r="AD693" i="1"/>
  <c r="AK692" i="1"/>
  <c r="AD692" i="1"/>
  <c r="AK691" i="1"/>
  <c r="AD691" i="1"/>
  <c r="AK690" i="1"/>
  <c r="AD690" i="1"/>
  <c r="AK689" i="1"/>
  <c r="AD689" i="1"/>
  <c r="AK688" i="1"/>
  <c r="AD688" i="1"/>
  <c r="AK687" i="1"/>
  <c r="AD687" i="1"/>
  <c r="AK686" i="1"/>
  <c r="AD686" i="1"/>
  <c r="AK685" i="1"/>
  <c r="AD685" i="1"/>
  <c r="AK684" i="1"/>
  <c r="AD684" i="1"/>
  <c r="AK683" i="1"/>
  <c r="AD683" i="1"/>
  <c r="AK682" i="1"/>
  <c r="AD682" i="1"/>
  <c r="AK681" i="1"/>
  <c r="AD681" i="1"/>
  <c r="AK680" i="1"/>
  <c r="AD680" i="1"/>
  <c r="AK679" i="1"/>
  <c r="AD679" i="1"/>
  <c r="AK678" i="1"/>
  <c r="AD678" i="1"/>
  <c r="AK677" i="1"/>
  <c r="AD677" i="1"/>
  <c r="AK676" i="1"/>
  <c r="AD676" i="1"/>
  <c r="AK675" i="1"/>
  <c r="AD675" i="1"/>
  <c r="AK674" i="1"/>
  <c r="AD674" i="1"/>
  <c r="AK673" i="1"/>
  <c r="AD673" i="1"/>
  <c r="AK672" i="1"/>
  <c r="AD672" i="1"/>
  <c r="AK671" i="1"/>
  <c r="AD671" i="1"/>
  <c r="AK670" i="1"/>
  <c r="AD670" i="1"/>
  <c r="AK669" i="1"/>
  <c r="AD669" i="1"/>
  <c r="AK668" i="1"/>
  <c r="AD668" i="1"/>
  <c r="AK667" i="1"/>
  <c r="AD667" i="1"/>
  <c r="AK666" i="1"/>
  <c r="AD666" i="1"/>
  <c r="AK665" i="1"/>
  <c r="AD665" i="1"/>
  <c r="AK664" i="1"/>
  <c r="AD664" i="1"/>
  <c r="AK663" i="1"/>
  <c r="AD663" i="1"/>
  <c r="AK662" i="1"/>
  <c r="AD662" i="1"/>
  <c r="AK661" i="1"/>
  <c r="AD661" i="1"/>
  <c r="AK660" i="1"/>
  <c r="AD660" i="1"/>
  <c r="AK659" i="1"/>
  <c r="AD659" i="1"/>
  <c r="AK658" i="1"/>
  <c r="AD658" i="1"/>
  <c r="AK657" i="1"/>
  <c r="AD657" i="1"/>
  <c r="AK656" i="1"/>
  <c r="AD656" i="1"/>
  <c r="AK655" i="1"/>
  <c r="AD655" i="1"/>
  <c r="AK654" i="1"/>
  <c r="AD654" i="1"/>
  <c r="AK653" i="1"/>
  <c r="AD653" i="1"/>
  <c r="AK652" i="1"/>
  <c r="AD652" i="1"/>
  <c r="AK651" i="1"/>
  <c r="AD651" i="1"/>
  <c r="AK650" i="1"/>
  <c r="AD650" i="1"/>
  <c r="AK649" i="1"/>
  <c r="AD649" i="1"/>
  <c r="AK648" i="1"/>
  <c r="AD648" i="1"/>
  <c r="AK647" i="1"/>
  <c r="AD647" i="1"/>
  <c r="AK646" i="1"/>
  <c r="AD646" i="1"/>
  <c r="AK645" i="1"/>
  <c r="AD645" i="1"/>
  <c r="AK644" i="1"/>
  <c r="AD644" i="1"/>
  <c r="AK643" i="1"/>
  <c r="AD643" i="1"/>
  <c r="AK642" i="1"/>
  <c r="AD642" i="1"/>
  <c r="AK641" i="1"/>
  <c r="AD641" i="1"/>
  <c r="AK640" i="1"/>
  <c r="AD640" i="1"/>
  <c r="AK639" i="1"/>
  <c r="AD639" i="1"/>
  <c r="AK638" i="1"/>
  <c r="AD638" i="1"/>
  <c r="AK637" i="1"/>
  <c r="AD637" i="1"/>
  <c r="AK636" i="1"/>
  <c r="AD636" i="1"/>
  <c r="AK635" i="1"/>
  <c r="AD635" i="1"/>
  <c r="AK634" i="1"/>
  <c r="AD634" i="1"/>
  <c r="AK633" i="1"/>
  <c r="AD633" i="1"/>
  <c r="AK632" i="1"/>
  <c r="AD632" i="1"/>
  <c r="AK631" i="1"/>
  <c r="AD631" i="1"/>
  <c r="AK630" i="1"/>
  <c r="AD630" i="1"/>
  <c r="AK629" i="1"/>
  <c r="AD629" i="1"/>
  <c r="AK628" i="1"/>
  <c r="AD628" i="1"/>
  <c r="AK627" i="1"/>
  <c r="AD627" i="1"/>
  <c r="AK626" i="1"/>
  <c r="AD626" i="1"/>
  <c r="AK625" i="1"/>
  <c r="AD625" i="1"/>
  <c r="AK624" i="1"/>
  <c r="AD624" i="1"/>
  <c r="AK623" i="1"/>
  <c r="AD623" i="1"/>
  <c r="AK622" i="1"/>
  <c r="AD622" i="1"/>
  <c r="AK621" i="1"/>
  <c r="AD621" i="1"/>
  <c r="AK620" i="1"/>
  <c r="AD620" i="1"/>
  <c r="AK619" i="1"/>
  <c r="AD619" i="1"/>
  <c r="AK618" i="1"/>
  <c r="AD618" i="1"/>
  <c r="AK617" i="1"/>
  <c r="AD617" i="1"/>
  <c r="AK616" i="1"/>
  <c r="AD616" i="1"/>
  <c r="AK615" i="1"/>
  <c r="AD615" i="1"/>
  <c r="AK614" i="1"/>
  <c r="AD614" i="1"/>
  <c r="AK613" i="1"/>
  <c r="AD613" i="1"/>
  <c r="AK612" i="1"/>
  <c r="AD612" i="1"/>
  <c r="AK611" i="1"/>
  <c r="AD611" i="1"/>
  <c r="AK610" i="1"/>
  <c r="AD610" i="1"/>
  <c r="AK609" i="1"/>
  <c r="AD609" i="1"/>
  <c r="AK608" i="1"/>
  <c r="AD608" i="1"/>
  <c r="AK607" i="1"/>
  <c r="AD607" i="1"/>
  <c r="AK606" i="1"/>
  <c r="AD606" i="1"/>
  <c r="AK605" i="1"/>
  <c r="AD605" i="1"/>
  <c r="AK604" i="1"/>
  <c r="AD604" i="1"/>
  <c r="AK603" i="1"/>
  <c r="AD603" i="1"/>
  <c r="AK602" i="1"/>
  <c r="AD602" i="1"/>
  <c r="AK601" i="1"/>
  <c r="AD601" i="1"/>
  <c r="AK600" i="1"/>
  <c r="AD600" i="1"/>
  <c r="AK599" i="1"/>
  <c r="AD599" i="1"/>
  <c r="AK598" i="1"/>
  <c r="AD598" i="1"/>
  <c r="AK597" i="1"/>
  <c r="AD597" i="1"/>
  <c r="AK596" i="1"/>
  <c r="AD596" i="1"/>
  <c r="AK595" i="1"/>
  <c r="AD595" i="1"/>
  <c r="AK594" i="1"/>
  <c r="AD594" i="1"/>
  <c r="AK593" i="1"/>
  <c r="AD593" i="1"/>
  <c r="AK592" i="1"/>
  <c r="AD592" i="1"/>
  <c r="AK591" i="1"/>
  <c r="AD591" i="1"/>
  <c r="AK590" i="1"/>
  <c r="AD590" i="1"/>
  <c r="AK589" i="1"/>
  <c r="AD589" i="1"/>
  <c r="AK588" i="1"/>
  <c r="AD588" i="1"/>
  <c r="AK587" i="1"/>
  <c r="AD587" i="1"/>
  <c r="AK586" i="1"/>
  <c r="AD586" i="1"/>
  <c r="AK585" i="1"/>
  <c r="AD585" i="1"/>
  <c r="AK584" i="1"/>
  <c r="AD584" i="1"/>
  <c r="AK583" i="1"/>
  <c r="AD583" i="1"/>
  <c r="AK582" i="1"/>
  <c r="AD582" i="1"/>
  <c r="AK581" i="1"/>
  <c r="AD581" i="1"/>
  <c r="AK580" i="1"/>
  <c r="AD580" i="1"/>
  <c r="AK579" i="1"/>
  <c r="AD579" i="1"/>
  <c r="AK578" i="1"/>
  <c r="AD578" i="1"/>
  <c r="AK577" i="1"/>
  <c r="AD577" i="1"/>
  <c r="AK576" i="1"/>
  <c r="AD576" i="1"/>
  <c r="AK575" i="1"/>
  <c r="AD575" i="1"/>
  <c r="AK574" i="1"/>
  <c r="AD574" i="1"/>
  <c r="AK573" i="1"/>
  <c r="AD573" i="1"/>
  <c r="AK572" i="1"/>
  <c r="AD572" i="1"/>
  <c r="AK571" i="1"/>
  <c r="AD571" i="1"/>
  <c r="AK570" i="1"/>
  <c r="AD570" i="1"/>
  <c r="AK569" i="1"/>
  <c r="AD569" i="1"/>
  <c r="AK568" i="1"/>
  <c r="AD568" i="1"/>
  <c r="AK567" i="1"/>
  <c r="AD567" i="1"/>
  <c r="AK566" i="1"/>
  <c r="AD566" i="1"/>
  <c r="AK565" i="1"/>
  <c r="AD565" i="1"/>
  <c r="AK564" i="1"/>
  <c r="AD564" i="1"/>
  <c r="AK563" i="1"/>
  <c r="AD563" i="1"/>
  <c r="AK562" i="1"/>
  <c r="AD562" i="1"/>
  <c r="AK561" i="1"/>
  <c r="AD561" i="1"/>
  <c r="AK560" i="1"/>
  <c r="AD560" i="1"/>
  <c r="AK559" i="1"/>
  <c r="AD559" i="1"/>
  <c r="AK558" i="1"/>
  <c r="AD558" i="1"/>
  <c r="AK557" i="1"/>
  <c r="AD557" i="1"/>
  <c r="AK556" i="1"/>
  <c r="AD556" i="1"/>
  <c r="AK555" i="1"/>
  <c r="AD555" i="1"/>
  <c r="AK554" i="1"/>
  <c r="AD554" i="1"/>
  <c r="AK553" i="1"/>
  <c r="AD553" i="1"/>
  <c r="AK552" i="1"/>
  <c r="AD552" i="1"/>
  <c r="AK551" i="1"/>
  <c r="AD551" i="1"/>
  <c r="AK550" i="1"/>
  <c r="AD550" i="1"/>
  <c r="AK549" i="1"/>
  <c r="AD549" i="1"/>
  <c r="AK548" i="1"/>
  <c r="AD548" i="1"/>
  <c r="AK547" i="1"/>
  <c r="AD547" i="1"/>
  <c r="AK546" i="1"/>
  <c r="AD546" i="1"/>
  <c r="AK545" i="1"/>
  <c r="AD545" i="1"/>
  <c r="AK544" i="1"/>
  <c r="AD544" i="1"/>
  <c r="AK543" i="1"/>
  <c r="AD543" i="1"/>
  <c r="AK542" i="1"/>
  <c r="AD542" i="1"/>
  <c r="AK541" i="1"/>
  <c r="AD541" i="1"/>
  <c r="AK540" i="1"/>
  <c r="AD540" i="1"/>
  <c r="AK539" i="1"/>
  <c r="AD539" i="1"/>
  <c r="AK538" i="1"/>
  <c r="AD538" i="1"/>
  <c r="AK537" i="1"/>
  <c r="AD537" i="1"/>
  <c r="AK536" i="1"/>
  <c r="AD536" i="1"/>
  <c r="AK535" i="1"/>
  <c r="AD535" i="1"/>
  <c r="AK534" i="1"/>
  <c r="AD534" i="1"/>
  <c r="AK533" i="1"/>
  <c r="AD533" i="1"/>
  <c r="AK532" i="1"/>
  <c r="AD532" i="1"/>
  <c r="AK531" i="1"/>
  <c r="AD531" i="1"/>
  <c r="AK530" i="1"/>
  <c r="AD530" i="1"/>
  <c r="AK529" i="1"/>
  <c r="AD529" i="1"/>
  <c r="AK528" i="1"/>
  <c r="AD528" i="1"/>
  <c r="AK527" i="1"/>
  <c r="AD527" i="1"/>
  <c r="AK526" i="1"/>
  <c r="AD526" i="1"/>
  <c r="AK525" i="1"/>
  <c r="AD525" i="1"/>
  <c r="AK524" i="1"/>
  <c r="AD524" i="1"/>
  <c r="AK523" i="1"/>
  <c r="AD523" i="1"/>
  <c r="AK522" i="1"/>
  <c r="AD522" i="1"/>
  <c r="AK521" i="1"/>
  <c r="AD521" i="1"/>
  <c r="AK520" i="1"/>
  <c r="AD520" i="1"/>
  <c r="AK519" i="1"/>
  <c r="AD519" i="1"/>
  <c r="AK518" i="1"/>
  <c r="AD518" i="1"/>
  <c r="AK517" i="1"/>
  <c r="AD517" i="1"/>
  <c r="AK516" i="1"/>
  <c r="AD516" i="1"/>
  <c r="AK515" i="1"/>
  <c r="AD515" i="1"/>
  <c r="AK514" i="1"/>
  <c r="AD514" i="1"/>
  <c r="AK513" i="1"/>
  <c r="AD513" i="1"/>
  <c r="AK512" i="1"/>
  <c r="AD512" i="1"/>
  <c r="AK511" i="1"/>
  <c r="AD511" i="1"/>
  <c r="AK510" i="1"/>
  <c r="AD510" i="1"/>
  <c r="AK509" i="1"/>
  <c r="AD509" i="1"/>
  <c r="AK508" i="1"/>
  <c r="AD508" i="1"/>
  <c r="AK507" i="1"/>
  <c r="AD507" i="1"/>
  <c r="AK506" i="1"/>
  <c r="AD506" i="1"/>
  <c r="AK505" i="1"/>
  <c r="AD505" i="1"/>
  <c r="AK504" i="1"/>
  <c r="AD504" i="1"/>
  <c r="AK503" i="1"/>
  <c r="AD503" i="1"/>
  <c r="AK502" i="1"/>
  <c r="AD502" i="1"/>
  <c r="AK501" i="1"/>
  <c r="AD501" i="1"/>
  <c r="AK500" i="1"/>
  <c r="AD500" i="1"/>
  <c r="AK499" i="1"/>
  <c r="AD499" i="1"/>
  <c r="AK498" i="1"/>
  <c r="AD498" i="1"/>
  <c r="AK497" i="1"/>
  <c r="AD497" i="1"/>
  <c r="AK496" i="1"/>
  <c r="AD496" i="1"/>
  <c r="AK495" i="1"/>
  <c r="AD495" i="1"/>
  <c r="AK494" i="1"/>
  <c r="AD494" i="1"/>
  <c r="AK493" i="1"/>
  <c r="AD493" i="1"/>
  <c r="AK492" i="1"/>
  <c r="AD492" i="1"/>
  <c r="AK491" i="1"/>
  <c r="AD491" i="1"/>
  <c r="AK490" i="1"/>
  <c r="AD490" i="1"/>
  <c r="AK489" i="1"/>
  <c r="AD489" i="1"/>
  <c r="AK488" i="1"/>
  <c r="AD488" i="1"/>
  <c r="AK487" i="1"/>
  <c r="AD487" i="1"/>
  <c r="AK486" i="1"/>
  <c r="AD486" i="1"/>
  <c r="AK485" i="1"/>
  <c r="AD485" i="1"/>
  <c r="AK484" i="1"/>
  <c r="AD484" i="1"/>
  <c r="AK483" i="1"/>
  <c r="AD483" i="1"/>
  <c r="AK482" i="1"/>
  <c r="AD482" i="1"/>
  <c r="AK481" i="1"/>
  <c r="AD481" i="1"/>
  <c r="AK480" i="1"/>
  <c r="AD480" i="1"/>
  <c r="AK479" i="1"/>
  <c r="AD479" i="1"/>
  <c r="AK478" i="1"/>
  <c r="AD478" i="1"/>
  <c r="AK477" i="1"/>
  <c r="AD477" i="1"/>
  <c r="AK476" i="1"/>
  <c r="AD476" i="1"/>
  <c r="AK475" i="1"/>
  <c r="AD475" i="1"/>
  <c r="AK474" i="1"/>
  <c r="AD474" i="1"/>
  <c r="AK473" i="1"/>
  <c r="AD473" i="1"/>
  <c r="AK472" i="1"/>
  <c r="AD472" i="1"/>
  <c r="AK471" i="1"/>
  <c r="AD471" i="1"/>
  <c r="AK470" i="1"/>
  <c r="AD470" i="1"/>
  <c r="AK469" i="1"/>
  <c r="AD469" i="1"/>
  <c r="AK468" i="1"/>
  <c r="AD468" i="1"/>
  <c r="AK467" i="1"/>
  <c r="AD467" i="1"/>
  <c r="AK466" i="1"/>
  <c r="AD466" i="1"/>
  <c r="AK465" i="1"/>
  <c r="AD465" i="1"/>
  <c r="AK464" i="1"/>
  <c r="AD464" i="1"/>
  <c r="AK463" i="1"/>
  <c r="AD463" i="1"/>
  <c r="AK462" i="1"/>
  <c r="AD462" i="1"/>
  <c r="AK461" i="1"/>
  <c r="AD461" i="1"/>
  <c r="AK460" i="1"/>
  <c r="AD460" i="1"/>
  <c r="AK459" i="1"/>
  <c r="AD459" i="1"/>
  <c r="AK458" i="1"/>
  <c r="AD458" i="1"/>
  <c r="AK457" i="1"/>
  <c r="AD457" i="1"/>
  <c r="AK456" i="1"/>
  <c r="AD456" i="1"/>
  <c r="AK455" i="1"/>
  <c r="AD455" i="1"/>
  <c r="AK454" i="1"/>
  <c r="AD454" i="1"/>
  <c r="AK453" i="1"/>
  <c r="AD453" i="1"/>
  <c r="AK452" i="1"/>
  <c r="AD452" i="1"/>
  <c r="AK451" i="1"/>
  <c r="AD451" i="1"/>
  <c r="AK450" i="1"/>
  <c r="AD450" i="1"/>
  <c r="AK449" i="1"/>
  <c r="AD449" i="1"/>
  <c r="AK448" i="1"/>
  <c r="AD448" i="1"/>
  <c r="AK447" i="1"/>
  <c r="AD447" i="1"/>
  <c r="AK446" i="1"/>
  <c r="AD446" i="1"/>
  <c r="AK445" i="1"/>
  <c r="AD445" i="1"/>
  <c r="AK444" i="1"/>
  <c r="AD444" i="1"/>
  <c r="AK443" i="1"/>
  <c r="AD443" i="1"/>
  <c r="AK442" i="1"/>
  <c r="AD442" i="1"/>
  <c r="AK441" i="1"/>
  <c r="AD441" i="1"/>
  <c r="AK440" i="1"/>
  <c r="AD440" i="1"/>
  <c r="AK439" i="1"/>
  <c r="AD439" i="1"/>
  <c r="AK438" i="1"/>
  <c r="AD438" i="1"/>
  <c r="AK437" i="1"/>
  <c r="AD437" i="1"/>
  <c r="AK436" i="1"/>
  <c r="AD436" i="1"/>
  <c r="AK435" i="1"/>
  <c r="AD435" i="1"/>
  <c r="AK434" i="1"/>
  <c r="AD434" i="1"/>
  <c r="AK433" i="1"/>
  <c r="AD433" i="1"/>
  <c r="AK432" i="1"/>
  <c r="AD432" i="1"/>
  <c r="AK431" i="1"/>
  <c r="AD431" i="1"/>
  <c r="AK430" i="1"/>
  <c r="AD430" i="1"/>
  <c r="AK429" i="1"/>
  <c r="AD429" i="1"/>
  <c r="AK428" i="1"/>
  <c r="AD428" i="1"/>
  <c r="AK427" i="1"/>
  <c r="AD427" i="1"/>
  <c r="AK426" i="1"/>
  <c r="AD426" i="1"/>
  <c r="AK425" i="1"/>
  <c r="AD425" i="1"/>
  <c r="AK424" i="1"/>
  <c r="AD424" i="1"/>
  <c r="AK423" i="1"/>
  <c r="AD423" i="1"/>
  <c r="AK422" i="1"/>
  <c r="AD422" i="1"/>
  <c r="AK421" i="1"/>
  <c r="AD421" i="1"/>
  <c r="AK420" i="1"/>
  <c r="AD420" i="1"/>
  <c r="AK419" i="1"/>
  <c r="AD419" i="1"/>
  <c r="AK418" i="1"/>
  <c r="AD418" i="1"/>
  <c r="AK417" i="1"/>
  <c r="AD417" i="1"/>
  <c r="AK416" i="1"/>
  <c r="AD416" i="1"/>
  <c r="AK415" i="1"/>
  <c r="AD415" i="1"/>
  <c r="AK414" i="1"/>
  <c r="AD414" i="1"/>
  <c r="AK413" i="1"/>
  <c r="AD413" i="1"/>
  <c r="AK412" i="1"/>
  <c r="AD412" i="1"/>
  <c r="AK411" i="1"/>
  <c r="AD411" i="1"/>
  <c r="AK410" i="1"/>
  <c r="AD410" i="1"/>
  <c r="AK409" i="1"/>
  <c r="AD409" i="1"/>
  <c r="AK408" i="1"/>
  <c r="AD408" i="1"/>
  <c r="AK407" i="1"/>
  <c r="AD407" i="1"/>
  <c r="AK406" i="1"/>
  <c r="AD406" i="1"/>
  <c r="AK405" i="1"/>
  <c r="AD405" i="1"/>
  <c r="AK404" i="1"/>
  <c r="AD404" i="1"/>
  <c r="AK403" i="1"/>
  <c r="AD403" i="1"/>
  <c r="AK402" i="1"/>
  <c r="AD402" i="1"/>
  <c r="AK401" i="1"/>
  <c r="AD401" i="1"/>
  <c r="AK400" i="1"/>
  <c r="AD400" i="1"/>
  <c r="AK399" i="1"/>
  <c r="AD399" i="1"/>
  <c r="AK398" i="1"/>
  <c r="AD398" i="1"/>
  <c r="AK397" i="1"/>
  <c r="AD397" i="1"/>
  <c r="AK396" i="1"/>
  <c r="AD396" i="1"/>
  <c r="AK395" i="1"/>
  <c r="AD395" i="1"/>
  <c r="AK394" i="1"/>
  <c r="AD394" i="1"/>
  <c r="AK393" i="1"/>
  <c r="AD393" i="1"/>
  <c r="AK392" i="1"/>
  <c r="AD392" i="1"/>
  <c r="AK391" i="1"/>
  <c r="AD391" i="1"/>
  <c r="AK390" i="1"/>
  <c r="AD390" i="1"/>
  <c r="AK389" i="1"/>
  <c r="AD389" i="1"/>
  <c r="AK388" i="1"/>
  <c r="AD388" i="1"/>
  <c r="AK387" i="1"/>
  <c r="AD387" i="1"/>
  <c r="AK386" i="1"/>
  <c r="AD386" i="1"/>
  <c r="AK385" i="1"/>
  <c r="AD385" i="1"/>
  <c r="AK384" i="1"/>
  <c r="AD384" i="1"/>
  <c r="AK383" i="1"/>
  <c r="AD383" i="1"/>
  <c r="AK382" i="1"/>
  <c r="AD382" i="1"/>
  <c r="AK381" i="1"/>
  <c r="AD381" i="1"/>
  <c r="AK380" i="1"/>
  <c r="AD380" i="1"/>
  <c r="AK379" i="1"/>
  <c r="AD379" i="1"/>
  <c r="AK378" i="1"/>
  <c r="AD378" i="1"/>
  <c r="AK377" i="1"/>
  <c r="AD377" i="1"/>
  <c r="AK376" i="1"/>
  <c r="AD376" i="1"/>
  <c r="AK375" i="1"/>
  <c r="AD375" i="1"/>
  <c r="AK374" i="1"/>
  <c r="AD374" i="1"/>
  <c r="AK373" i="1"/>
  <c r="AD373" i="1"/>
  <c r="AK372" i="1"/>
  <c r="AD372" i="1"/>
  <c r="AK371" i="1"/>
  <c r="AD371" i="1"/>
  <c r="AK370" i="1"/>
  <c r="AD370" i="1"/>
  <c r="AK369" i="1"/>
  <c r="AD369" i="1"/>
  <c r="AK368" i="1"/>
  <c r="AD368" i="1"/>
  <c r="AK367" i="1"/>
  <c r="AD367" i="1"/>
  <c r="AK366" i="1"/>
  <c r="AD366" i="1"/>
  <c r="AK365" i="1"/>
  <c r="AD365" i="1"/>
  <c r="AK364" i="1"/>
  <c r="AD364" i="1"/>
  <c r="AK363" i="1"/>
  <c r="AD363" i="1"/>
  <c r="AK362" i="1"/>
  <c r="AD362" i="1"/>
  <c r="AK361" i="1"/>
  <c r="AD361" i="1"/>
  <c r="AK360" i="1"/>
  <c r="AD360" i="1"/>
  <c r="AK359" i="1"/>
  <c r="AD359" i="1"/>
  <c r="AK358" i="1"/>
  <c r="AD358" i="1"/>
  <c r="AK357" i="1"/>
  <c r="AD357" i="1"/>
  <c r="AK356" i="1"/>
  <c r="AD356" i="1"/>
  <c r="AK355" i="1"/>
  <c r="AD355" i="1"/>
  <c r="AK354" i="1"/>
  <c r="AD354" i="1"/>
  <c r="AK353" i="1"/>
  <c r="AD353" i="1"/>
  <c r="AK352" i="1"/>
  <c r="AD352" i="1"/>
  <c r="AK351" i="1"/>
  <c r="AD351" i="1"/>
  <c r="AK350" i="1"/>
  <c r="AD350" i="1"/>
  <c r="AK349" i="1"/>
  <c r="AD349" i="1"/>
  <c r="AK348" i="1"/>
  <c r="AD348" i="1"/>
  <c r="AK347" i="1"/>
  <c r="AD347" i="1"/>
  <c r="AK346" i="1"/>
  <c r="AD346" i="1"/>
  <c r="AK345" i="1"/>
  <c r="AD345" i="1"/>
  <c r="AK344" i="1"/>
  <c r="AD344" i="1"/>
  <c r="AK343" i="1"/>
  <c r="AD343" i="1"/>
  <c r="AK342" i="1"/>
  <c r="AD342" i="1"/>
  <c r="AK341" i="1"/>
  <c r="AD341" i="1"/>
  <c r="AK340" i="1"/>
  <c r="AD340" i="1"/>
  <c r="AK339" i="1"/>
  <c r="AD339" i="1"/>
  <c r="AK338" i="1"/>
  <c r="AD338" i="1"/>
  <c r="AK337" i="1"/>
  <c r="AD337" i="1"/>
  <c r="AK336" i="1"/>
  <c r="AD336" i="1"/>
  <c r="AK335" i="1"/>
  <c r="AD335" i="1"/>
  <c r="AK334" i="1"/>
  <c r="AD334" i="1"/>
  <c r="AK333" i="1"/>
  <c r="AD333" i="1"/>
  <c r="AK332" i="1"/>
  <c r="AD332" i="1"/>
  <c r="AK331" i="1"/>
  <c r="AD331" i="1"/>
  <c r="AK330" i="1"/>
  <c r="AD330" i="1"/>
  <c r="AK329" i="1"/>
  <c r="AD329" i="1"/>
  <c r="AK328" i="1"/>
  <c r="AD328" i="1"/>
  <c r="AK327" i="1"/>
  <c r="AD327" i="1"/>
  <c r="AK326" i="1"/>
  <c r="AD326" i="1"/>
  <c r="AK325" i="1"/>
  <c r="AD325" i="1"/>
  <c r="AK324" i="1"/>
  <c r="AD324" i="1"/>
  <c r="AK323" i="1"/>
  <c r="AD323" i="1"/>
  <c r="AK322" i="1"/>
  <c r="AD322" i="1"/>
  <c r="AK321" i="1"/>
  <c r="AD321" i="1"/>
  <c r="AK320" i="1"/>
  <c r="AD320" i="1"/>
  <c r="AK319" i="1"/>
  <c r="AD319" i="1"/>
  <c r="AK318" i="1"/>
  <c r="AD318" i="1"/>
  <c r="AK317" i="1"/>
  <c r="AD317" i="1"/>
  <c r="AK316" i="1"/>
  <c r="AD316" i="1"/>
  <c r="AK315" i="1"/>
  <c r="AD315" i="1"/>
  <c r="AK314" i="1"/>
  <c r="AD314" i="1"/>
  <c r="AK313" i="1"/>
  <c r="AD313" i="1"/>
  <c r="AK312" i="1"/>
  <c r="AD312" i="1"/>
  <c r="AK311" i="1"/>
  <c r="AD311" i="1"/>
  <c r="AK310" i="1"/>
  <c r="AD310" i="1"/>
  <c r="AK309" i="1"/>
  <c r="AD309" i="1"/>
  <c r="AK308" i="1"/>
  <c r="AD308" i="1"/>
  <c r="AK307" i="1"/>
  <c r="AD307" i="1"/>
  <c r="AK306" i="1"/>
  <c r="AD306" i="1"/>
  <c r="AK305" i="1"/>
  <c r="AD305" i="1"/>
  <c r="AK304" i="1"/>
  <c r="AD304" i="1"/>
  <c r="AK303" i="1"/>
  <c r="AD303" i="1"/>
  <c r="AK302" i="1"/>
  <c r="AD302" i="1"/>
  <c r="AK301" i="1"/>
  <c r="AD301" i="1"/>
  <c r="AK300" i="1"/>
  <c r="AD300" i="1"/>
  <c r="AK299" i="1"/>
  <c r="AD299" i="1"/>
  <c r="AK298" i="1"/>
  <c r="AD298" i="1"/>
  <c r="AK297" i="1"/>
  <c r="AD297" i="1"/>
  <c r="AK296" i="1"/>
  <c r="AD296" i="1"/>
  <c r="AK295" i="1"/>
  <c r="AD295" i="1"/>
  <c r="AK294" i="1"/>
  <c r="AD294" i="1"/>
  <c r="AK293" i="1"/>
  <c r="AD293" i="1"/>
  <c r="AK292" i="1"/>
  <c r="AD292" i="1"/>
  <c r="AK291" i="1"/>
  <c r="AD291" i="1"/>
  <c r="AK290" i="1"/>
  <c r="AD290" i="1"/>
  <c r="AK289" i="1"/>
  <c r="AD289" i="1"/>
  <c r="AK288" i="1"/>
  <c r="AD288" i="1"/>
  <c r="AK287" i="1"/>
  <c r="AD287" i="1"/>
  <c r="AK286" i="1"/>
  <c r="AD286" i="1"/>
  <c r="AK285" i="1"/>
  <c r="AD285" i="1"/>
  <c r="AK284" i="1"/>
  <c r="AD284" i="1"/>
  <c r="AK283" i="1"/>
  <c r="AD283" i="1"/>
  <c r="AK282" i="1"/>
  <c r="AD282" i="1"/>
  <c r="AK281" i="1"/>
  <c r="AD281" i="1"/>
  <c r="AK280" i="1"/>
  <c r="AD280" i="1"/>
  <c r="AK279" i="1"/>
  <c r="AD279" i="1"/>
  <c r="AK278" i="1"/>
  <c r="AD278" i="1"/>
  <c r="AK277" i="1"/>
  <c r="AD277" i="1"/>
  <c r="AK276" i="1"/>
  <c r="AD276" i="1"/>
  <c r="AK275" i="1"/>
  <c r="AD275" i="1"/>
  <c r="AK274" i="1"/>
  <c r="AD274" i="1"/>
  <c r="AK273" i="1"/>
  <c r="AD273" i="1"/>
  <c r="AK272" i="1"/>
  <c r="AD272" i="1"/>
  <c r="AK271" i="1"/>
  <c r="AD271" i="1"/>
  <c r="AK270" i="1"/>
  <c r="AD270" i="1"/>
  <c r="AK269" i="1"/>
  <c r="AD269" i="1"/>
  <c r="AK268" i="1"/>
  <c r="AD268" i="1"/>
  <c r="AK267" i="1"/>
  <c r="AD267" i="1"/>
  <c r="AK266" i="1"/>
  <c r="AD266" i="1"/>
  <c r="AK265" i="1"/>
  <c r="AD265" i="1"/>
  <c r="AK264" i="1"/>
  <c r="AD264" i="1"/>
  <c r="AK263" i="1"/>
  <c r="AD263" i="1"/>
  <c r="AK262" i="1"/>
  <c r="AD262" i="1"/>
  <c r="AK261" i="1"/>
  <c r="AD261" i="1"/>
  <c r="AK260" i="1"/>
  <c r="AD260" i="1"/>
  <c r="AK259" i="1"/>
  <c r="AD259" i="1"/>
  <c r="AK258" i="1"/>
  <c r="AD258" i="1"/>
  <c r="AK257" i="1"/>
  <c r="AD257" i="1"/>
  <c r="AK256" i="1"/>
  <c r="AD256" i="1"/>
  <c r="AK255" i="1"/>
  <c r="AD255" i="1"/>
  <c r="AK254" i="1"/>
  <c r="AD254" i="1"/>
  <c r="AK253" i="1"/>
  <c r="AD253" i="1"/>
  <c r="AK252" i="1"/>
  <c r="AD252" i="1"/>
  <c r="AK251" i="1"/>
  <c r="AD251" i="1"/>
  <c r="AK250" i="1"/>
  <c r="AD250" i="1"/>
  <c r="AK249" i="1"/>
  <c r="AD249" i="1"/>
  <c r="AK248" i="1"/>
  <c r="AD248" i="1"/>
  <c r="AK247" i="1"/>
  <c r="AD247" i="1"/>
  <c r="AK246" i="1"/>
  <c r="AD246" i="1"/>
  <c r="AK245" i="1"/>
  <c r="AD245" i="1"/>
  <c r="AK244" i="1"/>
  <c r="AD244" i="1"/>
  <c r="AK243" i="1"/>
  <c r="AD243" i="1"/>
  <c r="AK242" i="1"/>
  <c r="AD242" i="1"/>
  <c r="AK241" i="1"/>
  <c r="AD241" i="1"/>
  <c r="AK240" i="1"/>
  <c r="AD240" i="1"/>
  <c r="AK239" i="1"/>
  <c r="AD239" i="1"/>
  <c r="AK238" i="1"/>
  <c r="AD238" i="1"/>
  <c r="AK237" i="1"/>
  <c r="AD237" i="1"/>
  <c r="AK236" i="1"/>
  <c r="AD236" i="1"/>
  <c r="AK235" i="1"/>
  <c r="AD235" i="1"/>
  <c r="AK234" i="1"/>
  <c r="AD234" i="1"/>
  <c r="AK233" i="1"/>
  <c r="AD233" i="1"/>
  <c r="AK232" i="1"/>
  <c r="AD232" i="1"/>
  <c r="AK231" i="1"/>
  <c r="AD231" i="1"/>
  <c r="AK230" i="1"/>
  <c r="AD230" i="1"/>
  <c r="AK229" i="1"/>
  <c r="AD229" i="1"/>
  <c r="AK228" i="1"/>
  <c r="AD228" i="1"/>
  <c r="AK227" i="1"/>
  <c r="AD227" i="1"/>
  <c r="AK226" i="1"/>
  <c r="AD226" i="1"/>
  <c r="AK225" i="1"/>
  <c r="AD225" i="1"/>
  <c r="AK224" i="1"/>
  <c r="AD224" i="1"/>
  <c r="AK223" i="1"/>
  <c r="AD223" i="1"/>
  <c r="AK222" i="1"/>
  <c r="AD222" i="1"/>
  <c r="AK221" i="1"/>
  <c r="AD221" i="1"/>
  <c r="AK220" i="1"/>
  <c r="AD220" i="1"/>
  <c r="AK219" i="1"/>
  <c r="AD219" i="1"/>
  <c r="AK218" i="1"/>
  <c r="AD218" i="1"/>
  <c r="AK217" i="1"/>
  <c r="AD217" i="1"/>
  <c r="AK216" i="1"/>
  <c r="AD216" i="1"/>
  <c r="AK215" i="1"/>
  <c r="AD215" i="1"/>
  <c r="AK214" i="1"/>
  <c r="AD214" i="1"/>
  <c r="AK213" i="1"/>
  <c r="AD213" i="1"/>
  <c r="AK212" i="1"/>
  <c r="AD212" i="1"/>
  <c r="AK211" i="1"/>
  <c r="AD211" i="1"/>
  <c r="AK210" i="1"/>
  <c r="AD210" i="1"/>
  <c r="AK209" i="1"/>
  <c r="AD209" i="1"/>
  <c r="AK208" i="1"/>
  <c r="AD208" i="1"/>
  <c r="AK207" i="1"/>
  <c r="AD207" i="1"/>
  <c r="AK206" i="1"/>
  <c r="AD206" i="1"/>
  <c r="AK205" i="1"/>
  <c r="AD205" i="1"/>
  <c r="AK204" i="1"/>
  <c r="AD204" i="1"/>
  <c r="AK203" i="1"/>
  <c r="AD203" i="1"/>
  <c r="AK202" i="1"/>
  <c r="AD202" i="1"/>
  <c r="AK201" i="1"/>
  <c r="AD201" i="1"/>
  <c r="AK200" i="1"/>
  <c r="AD200" i="1"/>
  <c r="AK199" i="1"/>
  <c r="AD199" i="1"/>
  <c r="AK198" i="1"/>
  <c r="AD198" i="1"/>
  <c r="AK197" i="1"/>
  <c r="AD197" i="1"/>
  <c r="AK196" i="1"/>
  <c r="AD196" i="1"/>
  <c r="AK195" i="1"/>
  <c r="AD195" i="1"/>
  <c r="AK194" i="1"/>
  <c r="AD194" i="1"/>
  <c r="AK193" i="1"/>
  <c r="AD193" i="1"/>
  <c r="AK192" i="1"/>
  <c r="AD192" i="1"/>
  <c r="AK191" i="1"/>
  <c r="AD191" i="1"/>
  <c r="AK190" i="1"/>
  <c r="AD190" i="1"/>
  <c r="AK189" i="1"/>
  <c r="AD189" i="1"/>
  <c r="AK188" i="1"/>
  <c r="AD188" i="1"/>
  <c r="AK187" i="1"/>
  <c r="AD187" i="1"/>
  <c r="AK186" i="1"/>
  <c r="AD186" i="1"/>
  <c r="AK185" i="1"/>
  <c r="AD185" i="1"/>
  <c r="AK184" i="1"/>
  <c r="AD184" i="1"/>
  <c r="AK183" i="1"/>
  <c r="AD183" i="1"/>
  <c r="AK182" i="1"/>
  <c r="AD182" i="1"/>
  <c r="AK181" i="1"/>
  <c r="AD181" i="1"/>
  <c r="AK180" i="1"/>
  <c r="AD180" i="1"/>
  <c r="AK179" i="1"/>
  <c r="AD179" i="1"/>
  <c r="AK178" i="1"/>
  <c r="AD178" i="1"/>
  <c r="AK177" i="1"/>
  <c r="AD177" i="1"/>
  <c r="AK176" i="1"/>
  <c r="AD176" i="1"/>
  <c r="AK175" i="1"/>
  <c r="AD175" i="1"/>
  <c r="AK174" i="1"/>
  <c r="AD174" i="1"/>
  <c r="AK173" i="1"/>
  <c r="AD173" i="1"/>
  <c r="AK172" i="1"/>
  <c r="AD172" i="1"/>
  <c r="AK171" i="1"/>
  <c r="AD171" i="1"/>
  <c r="AK170" i="1"/>
  <c r="AD170" i="1"/>
  <c r="AK169" i="1"/>
  <c r="AD169" i="1"/>
  <c r="AK168" i="1"/>
  <c r="AD168" i="1"/>
  <c r="AK167" i="1"/>
  <c r="AD167" i="1"/>
  <c r="AK166" i="1"/>
  <c r="AD166" i="1"/>
  <c r="AK165" i="1"/>
  <c r="AD165" i="1"/>
  <c r="AK164" i="1"/>
  <c r="AD164" i="1"/>
  <c r="AK163" i="1"/>
  <c r="AD163" i="1"/>
  <c r="AK162" i="1"/>
  <c r="AD162" i="1"/>
  <c r="AK161" i="1"/>
  <c r="AD161" i="1"/>
  <c r="AK160" i="1"/>
  <c r="AD160" i="1"/>
  <c r="AK159" i="1"/>
  <c r="AD159" i="1"/>
  <c r="AK158" i="1"/>
  <c r="AD158" i="1"/>
  <c r="AK157" i="1"/>
  <c r="AD157" i="1"/>
  <c r="AK156" i="1"/>
  <c r="AD156" i="1"/>
  <c r="AK155" i="1"/>
  <c r="AD155" i="1"/>
  <c r="AK154" i="1"/>
  <c r="AD154" i="1"/>
  <c r="AK153" i="1"/>
  <c r="AD153" i="1"/>
  <c r="AK152" i="1"/>
  <c r="AD152" i="1"/>
  <c r="AK151" i="1"/>
  <c r="AD151" i="1"/>
  <c r="AK150" i="1"/>
  <c r="AD150" i="1"/>
  <c r="AK149" i="1"/>
  <c r="AD149" i="1"/>
  <c r="AK148" i="1"/>
  <c r="AD148" i="1"/>
  <c r="AK147" i="1"/>
  <c r="AD147" i="1"/>
  <c r="AK146" i="1"/>
  <c r="AD146" i="1"/>
  <c r="AK145" i="1"/>
  <c r="AD145" i="1"/>
  <c r="AK144" i="1"/>
  <c r="AD144" i="1"/>
  <c r="AK143" i="1"/>
  <c r="AD143" i="1"/>
  <c r="AK142" i="1"/>
  <c r="AD142" i="1"/>
  <c r="AK141" i="1"/>
  <c r="AD141" i="1"/>
  <c r="AK140" i="1"/>
  <c r="AD140" i="1"/>
  <c r="AK139" i="1"/>
  <c r="AD139" i="1"/>
  <c r="AK138" i="1"/>
  <c r="AD138" i="1"/>
  <c r="AK137" i="1"/>
  <c r="AD137" i="1"/>
  <c r="AK136" i="1"/>
  <c r="AD136" i="1"/>
  <c r="AK135" i="1"/>
  <c r="AD135" i="1"/>
  <c r="AK134" i="1"/>
  <c r="AD134" i="1"/>
  <c r="AK133" i="1"/>
  <c r="AD133" i="1"/>
  <c r="AK132" i="1"/>
  <c r="AD132" i="1"/>
  <c r="AK131" i="1"/>
  <c r="AD131" i="1"/>
  <c r="AK130" i="1"/>
  <c r="AD130" i="1"/>
  <c r="AK129" i="1"/>
  <c r="AD129" i="1"/>
  <c r="AK128" i="1"/>
  <c r="AD128" i="1"/>
  <c r="AK127" i="1"/>
  <c r="AD127" i="1"/>
  <c r="AK126" i="1"/>
  <c r="AD126" i="1"/>
  <c r="AK125" i="1"/>
  <c r="AD125" i="1"/>
  <c r="AK124" i="1"/>
  <c r="AD124" i="1"/>
  <c r="AK123" i="1"/>
  <c r="AD123" i="1"/>
  <c r="AK122" i="1"/>
  <c r="AD122" i="1"/>
  <c r="AK121" i="1"/>
  <c r="AD121" i="1"/>
  <c r="AK120" i="1"/>
  <c r="AD120" i="1"/>
  <c r="AK119" i="1"/>
  <c r="AD119" i="1"/>
  <c r="AK118" i="1"/>
  <c r="AD118" i="1"/>
  <c r="AK117" i="1"/>
  <c r="AD117" i="1"/>
  <c r="AK116" i="1"/>
  <c r="AD116" i="1"/>
  <c r="AK115" i="1"/>
  <c r="AD115" i="1"/>
  <c r="AK114" i="1"/>
  <c r="AD114" i="1"/>
  <c r="AK113" i="1"/>
  <c r="AD113" i="1"/>
  <c r="AK112" i="1"/>
  <c r="AD112" i="1"/>
  <c r="AK111" i="1"/>
  <c r="AD111" i="1"/>
  <c r="AK110" i="1"/>
  <c r="AD110" i="1"/>
  <c r="AK109" i="1"/>
  <c r="AD109" i="1"/>
  <c r="AK108" i="1"/>
  <c r="AD108" i="1"/>
  <c r="AK107" i="1"/>
  <c r="AD107" i="1"/>
  <c r="AK106" i="1"/>
  <c r="AD106" i="1"/>
  <c r="AK105" i="1"/>
  <c r="AD105" i="1"/>
  <c r="AK104" i="1"/>
  <c r="AD104" i="1"/>
  <c r="AK103" i="1"/>
  <c r="AD103" i="1"/>
  <c r="AK102" i="1"/>
  <c r="AD102" i="1"/>
  <c r="AK101" i="1"/>
  <c r="AD101" i="1"/>
  <c r="AK100" i="1"/>
  <c r="AD100" i="1"/>
  <c r="AK99" i="1"/>
  <c r="AD99" i="1"/>
  <c r="AK98" i="1"/>
  <c r="AD98" i="1"/>
  <c r="AK97" i="1"/>
  <c r="AD97" i="1"/>
  <c r="AK96" i="1"/>
  <c r="AD96" i="1"/>
  <c r="AK95" i="1"/>
  <c r="AD95" i="1"/>
  <c r="AK94" i="1"/>
  <c r="AD94" i="1"/>
  <c r="AK93" i="1"/>
  <c r="AD93" i="1"/>
  <c r="AK92" i="1"/>
  <c r="AD92" i="1"/>
  <c r="AK91" i="1"/>
  <c r="AD91" i="1"/>
  <c r="AK90" i="1"/>
  <c r="AD90" i="1"/>
  <c r="AK89" i="1"/>
  <c r="AD89" i="1"/>
  <c r="AK88" i="1"/>
  <c r="AD88" i="1"/>
  <c r="AK87" i="1"/>
  <c r="AD87" i="1"/>
  <c r="AK86" i="1"/>
  <c r="AD86" i="1"/>
  <c r="AK85" i="1"/>
  <c r="AD85" i="1"/>
  <c r="AK84" i="1"/>
  <c r="AD84" i="1"/>
  <c r="AK83" i="1"/>
  <c r="AD83" i="1"/>
  <c r="AK82" i="1"/>
  <c r="AD82" i="1"/>
  <c r="AK81" i="1"/>
  <c r="AD81" i="1"/>
  <c r="AK80" i="1"/>
  <c r="AD80" i="1"/>
  <c r="AK79" i="1"/>
  <c r="AD79" i="1"/>
  <c r="AK78" i="1"/>
  <c r="AD78" i="1"/>
  <c r="AK77" i="1"/>
  <c r="AD77" i="1"/>
  <c r="AK76" i="1"/>
  <c r="AD76" i="1"/>
  <c r="AK75" i="1"/>
  <c r="AD75" i="1"/>
  <c r="AK74" i="1"/>
  <c r="AD74" i="1"/>
  <c r="AK73" i="1"/>
  <c r="AD73" i="1"/>
  <c r="AK72" i="1"/>
  <c r="AD72" i="1"/>
  <c r="AK71" i="1"/>
  <c r="AD71" i="1"/>
  <c r="AK70" i="1"/>
  <c r="AD70" i="1"/>
  <c r="AK69" i="1"/>
  <c r="AD69" i="1"/>
  <c r="AK68" i="1"/>
  <c r="AD68" i="1"/>
  <c r="AK67" i="1"/>
  <c r="AD67" i="1"/>
  <c r="AK66" i="1"/>
  <c r="AD66" i="1"/>
  <c r="AK65" i="1"/>
  <c r="AD65" i="1"/>
  <c r="AK64" i="1"/>
  <c r="AD64" i="1"/>
  <c r="AK63" i="1"/>
  <c r="AD63" i="1"/>
  <c r="AK62" i="1"/>
  <c r="AD62" i="1"/>
  <c r="AK61" i="1"/>
  <c r="AD61" i="1"/>
  <c r="AK60" i="1"/>
  <c r="AD60" i="1"/>
  <c r="AK59" i="1"/>
  <c r="AD59" i="1"/>
  <c r="AK58" i="1"/>
  <c r="AD58" i="1"/>
  <c r="AK57" i="1"/>
  <c r="AD57" i="1"/>
  <c r="AK56" i="1"/>
  <c r="AD56" i="1"/>
  <c r="AK55" i="1"/>
  <c r="AD55" i="1"/>
  <c r="AK54" i="1"/>
  <c r="AD54" i="1"/>
  <c r="AK53" i="1"/>
  <c r="AD53" i="1"/>
  <c r="AK52" i="1"/>
  <c r="AD52" i="1"/>
  <c r="AK51" i="1"/>
  <c r="AD51" i="1"/>
  <c r="AK50" i="1"/>
  <c r="AD50" i="1"/>
  <c r="AK49" i="1"/>
  <c r="AD49" i="1"/>
  <c r="AK48" i="1"/>
  <c r="AD48" i="1"/>
  <c r="AK47" i="1"/>
  <c r="AD47" i="1"/>
  <c r="AK46" i="1"/>
  <c r="AD46" i="1"/>
  <c r="AK45" i="1"/>
  <c r="AD45" i="1"/>
  <c r="AK44" i="1"/>
  <c r="AD44" i="1"/>
  <c r="AK43" i="1"/>
  <c r="AD43" i="1"/>
  <c r="AK42" i="1"/>
  <c r="AD42" i="1"/>
  <c r="AK41" i="1"/>
  <c r="AD41" i="1"/>
  <c r="AK40" i="1"/>
  <c r="AD40" i="1"/>
  <c r="AK39" i="1"/>
  <c r="AD39" i="1"/>
  <c r="AK38" i="1"/>
  <c r="AD38" i="1"/>
  <c r="AK37" i="1"/>
  <c r="AD37" i="1"/>
  <c r="AK36" i="1"/>
  <c r="AD36" i="1"/>
  <c r="AK35" i="1"/>
  <c r="AD35" i="1"/>
  <c r="AK34" i="1"/>
  <c r="AD34" i="1"/>
  <c r="AK33" i="1"/>
  <c r="AD33" i="1"/>
  <c r="AK32" i="1"/>
  <c r="AD32" i="1"/>
  <c r="AK31" i="1"/>
  <c r="AD31" i="1"/>
  <c r="AK30" i="1"/>
  <c r="AD30" i="1"/>
  <c r="AK29" i="1"/>
  <c r="AD29" i="1"/>
  <c r="AK28" i="1"/>
  <c r="AD28" i="1"/>
  <c r="AK27" i="1"/>
  <c r="AD27" i="1"/>
  <c r="AK26" i="1"/>
  <c r="AD26" i="1"/>
  <c r="AK25" i="1"/>
  <c r="AD25" i="1"/>
  <c r="AK24" i="1"/>
  <c r="AD24" i="1"/>
  <c r="AK23" i="1"/>
  <c r="AD23" i="1"/>
  <c r="AK22" i="1"/>
  <c r="AD22" i="1"/>
  <c r="AK21" i="1"/>
  <c r="AD21" i="1"/>
  <c r="AK20" i="1"/>
  <c r="AD20" i="1"/>
  <c r="AK19" i="1"/>
  <c r="AD19" i="1"/>
  <c r="AK18" i="1"/>
  <c r="AD18" i="1"/>
  <c r="AK17" i="1"/>
  <c r="AD17" i="1"/>
  <c r="AK16" i="1"/>
  <c r="AD16" i="1"/>
  <c r="AK15" i="1"/>
  <c r="AD15" i="1"/>
  <c r="AK14" i="1"/>
  <c r="AD14" i="1"/>
  <c r="AK13" i="1"/>
  <c r="AD13" i="1"/>
  <c r="AK12" i="1"/>
  <c r="AD12" i="1"/>
  <c r="AK11" i="1"/>
  <c r="AD11" i="1"/>
  <c r="AK10" i="1"/>
  <c r="AD10" i="1"/>
  <c r="AK9" i="1"/>
  <c r="AD9" i="1"/>
  <c r="AK8" i="1"/>
  <c r="AD8" i="1"/>
  <c r="AK7" i="1"/>
  <c r="AD7" i="1"/>
  <c r="AK6" i="1"/>
  <c r="AD6" i="1"/>
  <c r="AK5" i="1"/>
  <c r="AD5" i="1"/>
  <c r="AK4" i="1"/>
  <c r="AD4" i="1"/>
  <c r="AS3" i="1"/>
  <c r="AK3" i="1"/>
  <c r="AD3" i="1"/>
  <c r="AK2" i="1"/>
  <c r="AD2" i="1"/>
</calcChain>
</file>

<file path=xl/sharedStrings.xml><?xml version="1.0" encoding="utf-8"?>
<sst xmlns="http://schemas.openxmlformats.org/spreadsheetml/2006/main" count="46917" uniqueCount="7756">
  <si>
    <t>TELEFONO</t>
  </si>
  <si>
    <t>NOMINA</t>
  </si>
  <si>
    <t>NOMBRE</t>
  </si>
  <si>
    <t>APELLIDO PATERNO</t>
  </si>
  <si>
    <t>APELLIDO MATERNO</t>
  </si>
  <si>
    <t>Puesto por Asociación</t>
  </si>
  <si>
    <t>PERFIL_LINEA</t>
  </si>
  <si>
    <t>ATRIBUTO DIRECCION</t>
  </si>
  <si>
    <t>ATRIBUTO TIENDA</t>
  </si>
  <si>
    <t>CORREO DE CONTACTO</t>
  </si>
  <si>
    <t>CORREO EN LA CONSOLA</t>
  </si>
  <si>
    <t>TIENDA</t>
  </si>
  <si>
    <t xml:space="preserve">DISTRITO </t>
  </si>
  <si>
    <t>CC</t>
  </si>
  <si>
    <t>REGION DEL SIM</t>
  </si>
  <si>
    <t>ESTADO DE LA LINEA</t>
  </si>
  <si>
    <t xml:space="preserve">SIM </t>
  </si>
  <si>
    <t>CUENTA DE LA LINEA TELCEL</t>
  </si>
  <si>
    <t>IMEI ADENDUM</t>
  </si>
  <si>
    <t>EQUIPO ADENDUM</t>
  </si>
  <si>
    <t>IMEI CONSOLA</t>
  </si>
  <si>
    <t>GAMA</t>
  </si>
  <si>
    <t>MODELO CONSOLA</t>
  </si>
  <si>
    <t>MODELO</t>
  </si>
  <si>
    <t>MODELO_ESTATICO</t>
  </si>
  <si>
    <t>FECHA INICIO</t>
  </si>
  <si>
    <t xml:space="preserve">FECHA TERMINO </t>
  </si>
  <si>
    <t>NOMBRE DEL PLAN</t>
  </si>
  <si>
    <t xml:space="preserve">MONTO DE RENTA </t>
  </si>
  <si>
    <t xml:space="preserve">MONTO DE RENTA + IVA </t>
  </si>
  <si>
    <t xml:space="preserve">PLAN PROPUESTA </t>
  </si>
  <si>
    <t xml:space="preserve">MONTO PLAN PROPUESTA SIN IVA </t>
  </si>
  <si>
    <t xml:space="preserve">MONTO PLAN PROPUESTA CON IVA </t>
  </si>
  <si>
    <t xml:space="preserve">Motivo Asignacion </t>
  </si>
  <si>
    <t>Fecha de entrega</t>
  </si>
  <si>
    <t xml:space="preserve">FECHA DE RENOVACION </t>
  </si>
  <si>
    <t>DIFERENCIA DE TIEMPO (REN -HOY ) EN MESES</t>
  </si>
  <si>
    <t>Centro de costos a cobrar Equipo</t>
  </si>
  <si>
    <t>Comentarios</t>
  </si>
  <si>
    <t>RENOVACION</t>
  </si>
  <si>
    <t>EQUIPO PARA STOCK</t>
  </si>
  <si>
    <t xml:space="preserve">UPGRADE PLAN </t>
  </si>
  <si>
    <t>COMPRA EQUIPO</t>
  </si>
  <si>
    <t>JULIO CESAR</t>
  </si>
  <si>
    <t>VILLEGAS</t>
  </si>
  <si>
    <t>MARTINEZ</t>
  </si>
  <si>
    <t>JEFATURA DE CAJAS Y CASETA</t>
  </si>
  <si>
    <t>JEFATURA DE RECIBOS Y EMBARQUES</t>
  </si>
  <si>
    <t>NO APLICA</t>
  </si>
  <si>
    <t xml:space="preserve"> 1123-Delivery@homedepot.com.mx</t>
  </si>
  <si>
    <t>1123-Delivery@homedepot.com.mx</t>
  </si>
  <si>
    <t>1123 - MIYANA</t>
  </si>
  <si>
    <t>R09</t>
  </si>
  <si>
    <t>ACTIVA</t>
  </si>
  <si>
    <t xml:space="preserve">8952020022191363237 </t>
  </si>
  <si>
    <t>110000007</t>
  </si>
  <si>
    <t xml:space="preserve">GENER          </t>
  </si>
  <si>
    <t xml:space="preserve">OPPO           </t>
  </si>
  <si>
    <t>OPPO CPH2557</t>
  </si>
  <si>
    <t>OPPO A79 5G</t>
  </si>
  <si>
    <t>2024-12-26</t>
  </si>
  <si>
    <t>2025-12-26</t>
  </si>
  <si>
    <t>TPE CONT VPN 1 DD 12</t>
  </si>
  <si>
    <t>CORPORATIVO 3 - 9GB</t>
  </si>
  <si>
    <t>RENOVACIÓN</t>
  </si>
  <si>
    <t>RENOVACION 2027</t>
  </si>
  <si>
    <t>UPGRADE</t>
  </si>
  <si>
    <t>MARIBEL</t>
  </si>
  <si>
    <t>ZUÑIGA</t>
  </si>
  <si>
    <t>RICO</t>
  </si>
  <si>
    <t>GERENCIA DE TIENDA</t>
  </si>
  <si>
    <t xml:space="preserve"> 1342-storemgr@homedepot.com.mx</t>
  </si>
  <si>
    <t>1342-storemgr@homedepot.com.mx</t>
  </si>
  <si>
    <t>1342 - MIRASUR</t>
  </si>
  <si>
    <t>R04</t>
  </si>
  <si>
    <t xml:space="preserve">8952020022340550080 </t>
  </si>
  <si>
    <t>351307359769399</t>
  </si>
  <si>
    <t xml:space="preserve">APPLE          </t>
  </si>
  <si>
    <t>IPHONE</t>
  </si>
  <si>
    <t>iPhone 14 (128 GB Midnight)</t>
  </si>
  <si>
    <t>2025-01-17</t>
  </si>
  <si>
    <t>2026-01-17</t>
  </si>
  <si>
    <t>TPE CONT VPN 5 DD 12</t>
  </si>
  <si>
    <t xml:space="preserve">CORPORATIVO 5 - 30GB </t>
  </si>
  <si>
    <t>NO UPGRADE</t>
  </si>
  <si>
    <t>LIZANDRA</t>
  </si>
  <si>
    <t>SILVA</t>
  </si>
  <si>
    <t>CARBAJAL</t>
  </si>
  <si>
    <t>DISTRICT PRO SALES MANAGER</t>
  </si>
  <si>
    <t>PRO SALES</t>
  </si>
  <si>
    <t xml:space="preserve"> 410017@homedepot.com.mx</t>
  </si>
  <si>
    <t>410017@homedepot.com.mx</t>
  </si>
  <si>
    <t>8848 - OAT</t>
  </si>
  <si>
    <t>R06</t>
  </si>
  <si>
    <t xml:space="preserve">8952020920661711753 </t>
  </si>
  <si>
    <t>iPhone 13 (128 GB Blue)</t>
  </si>
  <si>
    <t>TPE CONT VPN 3 DD 12</t>
  </si>
  <si>
    <t>CORPORATIVO 4 - 15GB</t>
  </si>
  <si>
    <t>CAMBIO DE PUESTO</t>
  </si>
  <si>
    <t>RENOVACIÓN FEB 2026</t>
  </si>
  <si>
    <t>RENOVACION 2026</t>
  </si>
  <si>
    <t>ZIMRI FINEHAS</t>
  </si>
  <si>
    <t>REYES</t>
  </si>
  <si>
    <t>ENRIQUEZ</t>
  </si>
  <si>
    <t>REPRESENTANTE DE VENTAS A PROFESIONALES</t>
  </si>
  <si>
    <t xml:space="preserve"> 8756-prorep1@homedepot.com.mx</t>
  </si>
  <si>
    <t>8756-prorep1@homedepot.com.mx</t>
  </si>
  <si>
    <t>8756 - TAMPICO NORTE</t>
  </si>
  <si>
    <t xml:space="preserve">8952020523343084118 </t>
  </si>
  <si>
    <t>861383070409014</t>
  </si>
  <si>
    <t>OPPO GAMA ALTA</t>
  </si>
  <si>
    <t>OPPO CPH2625</t>
  </si>
  <si>
    <t>OPPO Reno12 5G</t>
  </si>
  <si>
    <t>2025-07-15</t>
  </si>
  <si>
    <t>2026-07-15</t>
  </si>
  <si>
    <t xml:space="preserve">T CORPO CVPN 5 12   </t>
  </si>
  <si>
    <t xml:space="preserve">NUEVO INGRESO </t>
  </si>
  <si>
    <t>GENERAL TIENDA</t>
  </si>
  <si>
    <t>DOWNGRADE</t>
  </si>
  <si>
    <t>SUSANA</t>
  </si>
  <si>
    <t>YLLESCAS</t>
  </si>
  <si>
    <t>ZACA</t>
  </si>
  <si>
    <t>REPRESENTANTE PYMES</t>
  </si>
  <si>
    <t xml:space="preserve"> 8766_pyme@homedepot.com.mx</t>
  </si>
  <si>
    <t>8766-pyme@homedepot.com.mx</t>
  </si>
  <si>
    <t>8766 - LOS CABOS</t>
  </si>
  <si>
    <t>R01</t>
  </si>
  <si>
    <t xml:space="preserve">8952020319613447949 </t>
  </si>
  <si>
    <t>860900062736004</t>
  </si>
  <si>
    <t>OPPO CPH2387</t>
  </si>
  <si>
    <t>OPPO A57</t>
  </si>
  <si>
    <t>2025-01-24</t>
  </si>
  <si>
    <t>2026-01-24</t>
  </si>
  <si>
    <t>CLAUDIA ISELA</t>
  </si>
  <si>
    <t>ARELLANO</t>
  </si>
  <si>
    <t>VEGA</t>
  </si>
  <si>
    <t xml:space="preserve"> 8788-pyme@homedepot.com.mx</t>
  </si>
  <si>
    <t>8788-pyme@homedepot.com.mx</t>
  </si>
  <si>
    <t>8788 - METEPEC</t>
  </si>
  <si>
    <t xml:space="preserve">8952020023195128717 </t>
  </si>
  <si>
    <t xml:space="preserve">ROBO </t>
  </si>
  <si>
    <t>stock oppo</t>
  </si>
  <si>
    <t>LEOPOLDO</t>
  </si>
  <si>
    <t>LOPEZ</t>
  </si>
  <si>
    <t xml:space="preserve"> 8796-ProRep1@homedepot.com.mx</t>
  </si>
  <si>
    <t>8796-ProRep1@homedepot.com.mx</t>
  </si>
  <si>
    <t>8796 - NUEVO LAREDO</t>
  </si>
  <si>
    <t xml:space="preserve">8952020020340516135 </t>
  </si>
  <si>
    <t>860478062096612</t>
  </si>
  <si>
    <t>OPPO CPH2371</t>
  </si>
  <si>
    <t>OPPO Reno7 5G</t>
  </si>
  <si>
    <t>ISAAC DANIEL</t>
  </si>
  <si>
    <t>TREVIÑO</t>
  </si>
  <si>
    <t>VARELA</t>
  </si>
  <si>
    <t>PRO MERCHANDISING SPECIALIST</t>
  </si>
  <si>
    <t>MERCHANDISING</t>
  </si>
  <si>
    <t xml:space="preserve"> Isaac-Trevino@homedepot.com.mx</t>
  </si>
  <si>
    <t>Isaac-Trevino@homedepot.com.mx</t>
  </si>
  <si>
    <t xml:space="preserve">8952020021241727599 </t>
  </si>
  <si>
    <t>JESUS</t>
  </si>
  <si>
    <t>LOZANO</t>
  </si>
  <si>
    <t>MONTEMAYOR</t>
  </si>
  <si>
    <t>MERCHANDISING MANAGER</t>
  </si>
  <si>
    <t xml:space="preserve"> jesus_lozano@homedepot.com.mx</t>
  </si>
  <si>
    <t>jesus_lozano@homedepot.com.mx</t>
  </si>
  <si>
    <t xml:space="preserve">8952020523342145142 </t>
  </si>
  <si>
    <t>860900062735824</t>
  </si>
  <si>
    <t>2024-12-24</t>
  </si>
  <si>
    <t>2025-12-24</t>
  </si>
  <si>
    <t>stock Iphone</t>
  </si>
  <si>
    <t>JORGE</t>
  </si>
  <si>
    <t>MEDINA</t>
  </si>
  <si>
    <t>HERNANDEZ</t>
  </si>
  <si>
    <t xml:space="preserve"> Jose_carapia@homedepot.com.mx</t>
  </si>
  <si>
    <t>Jose_carapia@homedepot.com.mx</t>
  </si>
  <si>
    <t xml:space="preserve">8952020021391851348 </t>
  </si>
  <si>
    <t>KARINA</t>
  </si>
  <si>
    <t>QUIROGA</t>
  </si>
  <si>
    <t>PUENTE</t>
  </si>
  <si>
    <t>SR POP GRAPHIC DESIGNER</t>
  </si>
  <si>
    <t xml:space="preserve"> karina_quiroga@homedepot.com.mx</t>
  </si>
  <si>
    <t>karina-quiroga@homedepot.com.mx</t>
  </si>
  <si>
    <t xml:space="preserve">8952020018340009150 </t>
  </si>
  <si>
    <t>OPPO</t>
  </si>
  <si>
    <t>TPE CONT VPN 4 DD 12</t>
  </si>
  <si>
    <t>LORENA</t>
  </si>
  <si>
    <t>FLORES</t>
  </si>
  <si>
    <t>GONZALEZ</t>
  </si>
  <si>
    <t>PRO SALES PRODUCTIVITY MANAGER</t>
  </si>
  <si>
    <t xml:space="preserve"> lorena_flores@homedepot.com.mx</t>
  </si>
  <si>
    <t>lorena_flores@homedepot.com.mx</t>
  </si>
  <si>
    <t xml:space="preserve">8952020921544130187 </t>
  </si>
  <si>
    <t>860478063597717</t>
  </si>
  <si>
    <t xml:space="preserve">no se encontró imei, revisar correo escrito </t>
  </si>
  <si>
    <t>modelo no encontrado</t>
  </si>
  <si>
    <t>LUIS CARLOS</t>
  </si>
  <si>
    <t>CARRANZA</t>
  </si>
  <si>
    <t>SOMERA</t>
  </si>
  <si>
    <t>REPLENISHMENT COORDINATOR</t>
  </si>
  <si>
    <t>SUPPLY CHAIN</t>
  </si>
  <si>
    <t xml:space="preserve"> luis_carranza@homedepot.com.mx</t>
  </si>
  <si>
    <t>luis_carranza@homedepot.com.mx</t>
  </si>
  <si>
    <t xml:space="preserve">8952020021444325134 </t>
  </si>
  <si>
    <t>860900062264387</t>
  </si>
  <si>
    <t>SARAHI</t>
  </si>
  <si>
    <t>IBARRA</t>
  </si>
  <si>
    <t>SALAZAR</t>
  </si>
  <si>
    <t>SOFTWARE ENGINEER SR MANAGER</t>
  </si>
  <si>
    <t>INFORMATION TECHNOLOGY</t>
  </si>
  <si>
    <t xml:space="preserve"> sarahi_ibarra@homedepot.com.mx</t>
  </si>
  <si>
    <t>sarahi_ibarra@homedepot.com.mx</t>
  </si>
  <si>
    <t xml:space="preserve">8952020024243367810 </t>
  </si>
  <si>
    <t>359928215509752</t>
  </si>
  <si>
    <t>35 992821 550975 2</t>
  </si>
  <si>
    <t>iPhone 14 (128 GB Starlight)</t>
  </si>
  <si>
    <t>CORINA ANDREA</t>
  </si>
  <si>
    <t>RIVERA</t>
  </si>
  <si>
    <t>PRO MERCHANDISING DH</t>
  </si>
  <si>
    <t xml:space="preserve">	
Corina-Rivera@homedepot.com.mx</t>
  </si>
  <si>
    <t>Corina-Rivera@homedepot.com.mx</t>
  </si>
  <si>
    <t xml:space="preserve">8952020021241727615 </t>
  </si>
  <si>
    <t>LETICIA VIANEY</t>
  </si>
  <si>
    <t>NARVAEZ</t>
  </si>
  <si>
    <t>CATEGORY MERCHANT</t>
  </si>
  <si>
    <t>1048238@homedepot.com.mx</t>
  </si>
  <si>
    <t xml:space="preserve">8952020221440704163 </t>
  </si>
  <si>
    <t>860900062257639</t>
  </si>
  <si>
    <t>JOSE IGNACIO</t>
  </si>
  <si>
    <t>ALONSO</t>
  </si>
  <si>
    <t>SERRANO</t>
  </si>
  <si>
    <t>LEGAL REAL ESTATE DIRECTOR</t>
  </si>
  <si>
    <t>LEGAL</t>
  </si>
  <si>
    <t>1080435@homedepot.com.mx</t>
  </si>
  <si>
    <t>ignacio_alonso@homedepot.com.mx</t>
  </si>
  <si>
    <t xml:space="preserve">8952020221641341153 </t>
  </si>
  <si>
    <t>357894929967219</t>
  </si>
  <si>
    <t>cambiar en renovaccion</t>
  </si>
  <si>
    <t>PATRICIA ALEJANDRA</t>
  </si>
  <si>
    <t>CABALLERO</t>
  </si>
  <si>
    <t>PRO SALES BUSINESS SPECIALIST</t>
  </si>
  <si>
    <t>1081778@homedepot.com.mx</t>
  </si>
  <si>
    <t xml:space="preserve">8952020221641341054 </t>
  </si>
  <si>
    <t>2025-08-20</t>
  </si>
  <si>
    <t>2026-07-20</t>
  </si>
  <si>
    <t xml:space="preserve">T CORPO CVPN 4 12   </t>
  </si>
  <si>
    <t>pendiete</t>
  </si>
  <si>
    <t>ARLEN ALINN</t>
  </si>
  <si>
    <t>JIMENEZ</t>
  </si>
  <si>
    <t>JEFATURA DE ATENCION A SERVICIOS ESPECIALES</t>
  </si>
  <si>
    <t>1123-institsales@homedepot.com.mx</t>
  </si>
  <si>
    <t xml:space="preserve">8952020221496819964 </t>
  </si>
  <si>
    <t xml:space="preserve"> </t>
  </si>
  <si>
    <t>860900062319470</t>
  </si>
  <si>
    <t>Excepción</t>
  </si>
  <si>
    <t>OMAR</t>
  </si>
  <si>
    <t>ESCOBEDO</t>
  </si>
  <si>
    <t>NAVARRETE</t>
  </si>
  <si>
    <t>GERENCIA DE VENTAS A PROFESIONALES</t>
  </si>
  <si>
    <t>1123-prodeskmgr@homedepot.com.mx</t>
  </si>
  <si>
    <t xml:space="preserve">8952020021591738220 </t>
  </si>
  <si>
    <t>865356065671125</t>
  </si>
  <si>
    <t>2023-10-24</t>
  </si>
  <si>
    <t xml:space="preserve">PEMPRESA 3D 12VC    </t>
  </si>
  <si>
    <t>MARIA GUADALUPE</t>
  </si>
  <si>
    <t>CAÑAS</t>
  </si>
  <si>
    <t xml:space="preserve">1123-prorep1@homedepot.com.mx </t>
  </si>
  <si>
    <t>1123-ProRep1@homedepot.com.mx</t>
  </si>
  <si>
    <t xml:space="preserve">8952020021591738253 </t>
  </si>
  <si>
    <t>865356065729238</t>
  </si>
  <si>
    <t>OPPO CPH2737</t>
  </si>
  <si>
    <t>OPPO Reno14 5G</t>
  </si>
  <si>
    <t xml:space="preserve">cargo al centro de costos de la tienda el equipo se daño y fue cambiado </t>
  </si>
  <si>
    <t>ROSAURA</t>
  </si>
  <si>
    <t>SILVESTRE</t>
  </si>
  <si>
    <t>LEONARDO</t>
  </si>
  <si>
    <t xml:space="preserve">1123-prorep2@homedepot.com.mx </t>
  </si>
  <si>
    <t>1123-ProRep2@homedepot.com.mx</t>
  </si>
  <si>
    <t xml:space="preserve">8952020021591738261 </t>
  </si>
  <si>
    <t>865356065672248</t>
  </si>
  <si>
    <t>OSCAR</t>
  </si>
  <si>
    <t>SANTIAGO</t>
  </si>
  <si>
    <t>BLANCO</t>
  </si>
  <si>
    <t>1123-storemgr@homedepot.com.mx</t>
  </si>
  <si>
    <t xml:space="preserve">8952020021591738303 </t>
  </si>
  <si>
    <t>357654179828630</t>
  </si>
  <si>
    <t>SEBASTIAN</t>
  </si>
  <si>
    <t>TORRECILLAS</t>
  </si>
  <si>
    <t>1137-delivery@homedepot.com.mx</t>
  </si>
  <si>
    <t>1137 - EL REFUGIO</t>
  </si>
  <si>
    <t xml:space="preserve">8952020223262344763 </t>
  </si>
  <si>
    <t>860900062270798</t>
  </si>
  <si>
    <t>MONZERRAT DE JESUS</t>
  </si>
  <si>
    <t>MARIN</t>
  </si>
  <si>
    <t>AVILA</t>
  </si>
  <si>
    <t>1137-institsales@homedepot.com.mx</t>
  </si>
  <si>
    <t xml:space="preserve">8952020223262344789 </t>
  </si>
  <si>
    <t>860478062378531</t>
  </si>
  <si>
    <t>CHRISTIAN ROGELIO</t>
  </si>
  <si>
    <t>FRANCO</t>
  </si>
  <si>
    <t>1137-prodeskmgr@homedepot.com.mx</t>
  </si>
  <si>
    <t xml:space="preserve">8952020223262344755 </t>
  </si>
  <si>
    <t>860478062378705</t>
  </si>
  <si>
    <t>OPPO CPH2599</t>
  </si>
  <si>
    <t>OPPO Reno11 5G</t>
  </si>
  <si>
    <t>GABRIELA</t>
  </si>
  <si>
    <t>GALINDO</t>
  </si>
  <si>
    <t>ANGELES</t>
  </si>
  <si>
    <t>1137-prorep1@homedepot.com.mx</t>
  </si>
  <si>
    <t xml:space="preserve">8952020223262344771 </t>
  </si>
  <si>
    <t>AZAEL</t>
  </si>
  <si>
    <t>ZUMAYA</t>
  </si>
  <si>
    <t>CARRILLO</t>
  </si>
  <si>
    <t>1137-Storemgr@homedepot.com.mx</t>
  </si>
  <si>
    <t xml:space="preserve">8952020223262310624 </t>
  </si>
  <si>
    <t>860900062258181</t>
  </si>
  <si>
    <t>GIOVANNI URIEL</t>
  </si>
  <si>
    <t>URIBE</t>
  </si>
  <si>
    <t>SALDAÑA</t>
  </si>
  <si>
    <t>1161-delivery@homedepot.com.mx</t>
  </si>
  <si>
    <t>1161 - SAN LUIS POTOSI</t>
  </si>
  <si>
    <t xml:space="preserve">8952020020165698760 </t>
  </si>
  <si>
    <t>860900062336508</t>
  </si>
  <si>
    <t>EDGAR ALAD</t>
  </si>
  <si>
    <t>ALMAGUER</t>
  </si>
  <si>
    <t>CASTILLO</t>
  </si>
  <si>
    <t>1161-institsales@homedepot.com.mx</t>
  </si>
  <si>
    <t xml:space="preserve">8952020223262310012 </t>
  </si>
  <si>
    <t>860900062337811</t>
  </si>
  <si>
    <t>GABRIEL</t>
  </si>
  <si>
    <t>CERDA</t>
  </si>
  <si>
    <t>1161-representantepyme@homedepot.com.mx</t>
  </si>
  <si>
    <t>1161-Pyme@homedepot.com.mx</t>
  </si>
  <si>
    <t xml:space="preserve">8952020920661711928 </t>
  </si>
  <si>
    <t>ADRIANA HAYDE</t>
  </si>
  <si>
    <t>LOBATO</t>
  </si>
  <si>
    <t>1161-salesrep@homedepot.com.mx</t>
  </si>
  <si>
    <t>1161-ProRep1@homedepot.com.mx</t>
  </si>
  <si>
    <t xml:space="preserve">8952020020165707587 </t>
  </si>
  <si>
    <t>860478064953794</t>
  </si>
  <si>
    <t>RUTH</t>
  </si>
  <si>
    <t>VELAZQUEZ</t>
  </si>
  <si>
    <t>PRIETO</t>
  </si>
  <si>
    <t>GERENCIA DE RECURSOS HUMANOS</t>
  </si>
  <si>
    <t>1161-storemgr@homedepot.com.mx</t>
  </si>
  <si>
    <t xml:space="preserve">8952020020165698679 </t>
  </si>
  <si>
    <t>860900062336391</t>
  </si>
  <si>
    <t>YURI CRUZ</t>
  </si>
  <si>
    <t>PEREZ</t>
  </si>
  <si>
    <t>SARABIA</t>
  </si>
  <si>
    <t>1161-ventas@homedepot.com.mx</t>
  </si>
  <si>
    <t>1161-Prodeskmgr@homedepot.com.mx</t>
  </si>
  <si>
    <t xml:space="preserve">8952020223262310616 </t>
  </si>
  <si>
    <t>860478064854240</t>
  </si>
  <si>
    <t>OPPO CPH2531</t>
  </si>
  <si>
    <t>OPPO Reno10 5G</t>
  </si>
  <si>
    <t>stock reno</t>
  </si>
  <si>
    <t>PEDRO</t>
  </si>
  <si>
    <t>GUTIERREZ</t>
  </si>
  <si>
    <t>RAMIREZ</t>
  </si>
  <si>
    <t>JEFATURA DE OFICINAS Y LOGISTICA</t>
  </si>
  <si>
    <t>1162-delivery@homedepot.com.mx</t>
  </si>
  <si>
    <t>1162 - DELICIAS</t>
  </si>
  <si>
    <t>R03</t>
  </si>
  <si>
    <t xml:space="preserve">8952020319630257701 </t>
  </si>
  <si>
    <t>860900062238779</t>
  </si>
  <si>
    <t>MARIBEL GUADALUPE</t>
  </si>
  <si>
    <t>CANO</t>
  </si>
  <si>
    <t>1162-institsales@homedepot.com.mx</t>
  </si>
  <si>
    <t xml:space="preserve">8952020319630257719 </t>
  </si>
  <si>
    <t>860900062238530</t>
  </si>
  <si>
    <t>PAOLA LIZETH</t>
  </si>
  <si>
    <t>ALCALA</t>
  </si>
  <si>
    <t>1162-prodeskmgr@homedepot.com.mx</t>
  </si>
  <si>
    <t xml:space="preserve">8952020319630257834 </t>
  </si>
  <si>
    <t>860478064951251</t>
  </si>
  <si>
    <t>FRANCISCO OBED</t>
  </si>
  <si>
    <t>RODRIGUEZ</t>
  </si>
  <si>
    <t>FERNANDEZ</t>
  </si>
  <si>
    <t>1162-prorep1@homedepot.com.mx</t>
  </si>
  <si>
    <t>1162-ProRep1@homedepot.com.mx</t>
  </si>
  <si>
    <t xml:space="preserve">8952020521130105930 </t>
  </si>
  <si>
    <t xml:space="preserve">Equipo de especialista </t>
  </si>
  <si>
    <t>SELENA ABIGAIL</t>
  </si>
  <si>
    <t>JUAREZ</t>
  </si>
  <si>
    <t>ESPECIALISTA DE VENTAS A PROFESIONALES</t>
  </si>
  <si>
    <t xml:space="preserve">8952020319630257842 </t>
  </si>
  <si>
    <t>860478064844779</t>
  </si>
  <si>
    <t>RODRIGO</t>
  </si>
  <si>
    <t>1162-storemgr@homedepot.com.mx</t>
  </si>
  <si>
    <t xml:space="preserve">8952020319630257768 </t>
  </si>
  <si>
    <t>358366320508446</t>
  </si>
  <si>
    <t>ESTHELA</t>
  </si>
  <si>
    <t>SUSTAITA</t>
  </si>
  <si>
    <t>1163-delivery@homedepot.com.mx</t>
  </si>
  <si>
    <t>1163 - AGUASCALIENTES</t>
  </si>
  <si>
    <t xml:space="preserve">8952020920661711977 </t>
  </si>
  <si>
    <t>ALEJANDRA</t>
  </si>
  <si>
    <t>ECHEVERRIA</t>
  </si>
  <si>
    <t>1163-institsales@homedepot.com.mx</t>
  </si>
  <si>
    <t xml:space="preserve">8952020920661711985 </t>
  </si>
  <si>
    <t>MARIA ESTHER</t>
  </si>
  <si>
    <t>JACALES</t>
  </si>
  <si>
    <t>ESPONDA</t>
  </si>
  <si>
    <t>1163-ProdeskMgr@homedepot.com.mx</t>
  </si>
  <si>
    <t xml:space="preserve">8952020223262310632 </t>
  </si>
  <si>
    <t>GOMEZ</t>
  </si>
  <si>
    <t>MONTOYA</t>
  </si>
  <si>
    <t>1163-salesrep@homedepot.com.mx</t>
  </si>
  <si>
    <t>1163-ProRep1@homedepot.com.mx</t>
  </si>
  <si>
    <t xml:space="preserve">8952020920661711951 </t>
  </si>
  <si>
    <t>JUAN PABLO</t>
  </si>
  <si>
    <t>SALINAS</t>
  </si>
  <si>
    <t>URQUIZA</t>
  </si>
  <si>
    <t>1163-storemgr@homedepot.com.mx</t>
  </si>
  <si>
    <t xml:space="preserve">8952020920661711993 </t>
  </si>
  <si>
    <t>JOSE DE JESUS</t>
  </si>
  <si>
    <t>ZEMPOALTECA</t>
  </si>
  <si>
    <t>SANDOVAL</t>
  </si>
  <si>
    <t>JEFATURA DE EMBARQUES</t>
  </si>
  <si>
    <t>1164-delivery@homedepot.com.mx</t>
  </si>
  <si>
    <t>1164 - JIUTEPEC</t>
  </si>
  <si>
    <t xml:space="preserve">8952020021391851835 </t>
  </si>
  <si>
    <t>MAYRA FERNANDA</t>
  </si>
  <si>
    <t>CERVANTES</t>
  </si>
  <si>
    <t>1164-institsales@homedepot.com.mx</t>
  </si>
  <si>
    <t xml:space="preserve">8952020021391851827 </t>
  </si>
  <si>
    <t>ARTURO</t>
  </si>
  <si>
    <t>ESTRADA</t>
  </si>
  <si>
    <t>1164-prodeskmgr@homedepot.com.mx</t>
  </si>
  <si>
    <t xml:space="preserve">8952020021391851843 </t>
  </si>
  <si>
    <t>1164-ProRep1@homedepot.com.mx</t>
  </si>
  <si>
    <t xml:space="preserve">8952020021391851850 </t>
  </si>
  <si>
    <t>OSORIO</t>
  </si>
  <si>
    <t>1164-ProRep2@homedepot.com.mx</t>
  </si>
  <si>
    <t xml:space="preserve">8952020520498312534 </t>
  </si>
  <si>
    <t>860478063794702</t>
  </si>
  <si>
    <t>NORBERTO</t>
  </si>
  <si>
    <t>MORALES</t>
  </si>
  <si>
    <t>BALDERAS</t>
  </si>
  <si>
    <t>1164-Storemgr@homedepot.com.mx</t>
  </si>
  <si>
    <t xml:space="preserve">8952020021391851249 </t>
  </si>
  <si>
    <t>JOAQUIN ADRIAN</t>
  </si>
  <si>
    <t>CRUZ</t>
  </si>
  <si>
    <t>PLATA</t>
  </si>
  <si>
    <t>1165-delivery@homedepot.com.mx</t>
  </si>
  <si>
    <t>1165 - NEZAHUALCOYOTL</t>
  </si>
  <si>
    <t xml:space="preserve">8952020022191363815 </t>
  </si>
  <si>
    <t>860900062323779</t>
  </si>
  <si>
    <t xml:space="preserve">EXTRAVIO </t>
  </si>
  <si>
    <t>BRANDON</t>
  </si>
  <si>
    <t>CID</t>
  </si>
  <si>
    <t>JEFATURA DE PISO DE VENTA</t>
  </si>
  <si>
    <t>1165-institsales@homedepot.com.mx</t>
  </si>
  <si>
    <t xml:space="preserve">8952020520498312765 </t>
  </si>
  <si>
    <t>860900062323548</t>
  </si>
  <si>
    <t>CEDEÑO</t>
  </si>
  <si>
    <t>ROMERO</t>
  </si>
  <si>
    <t>1165-prodeskmgr@homedepot.com.mx</t>
  </si>
  <si>
    <t xml:space="preserve">8952020520498312864 </t>
  </si>
  <si>
    <t>860478064952507</t>
  </si>
  <si>
    <t>LUIS EDUARDO</t>
  </si>
  <si>
    <t>AGUILAR</t>
  </si>
  <si>
    <t>MENDEZ</t>
  </si>
  <si>
    <t>ASOCIADO(A) DE PROTECCION DE ACTIVOS</t>
  </si>
  <si>
    <t>1165-ProRep1@homedepot.com.mx</t>
  </si>
  <si>
    <t xml:space="preserve">8952020318592190074 </t>
  </si>
  <si>
    <t>860478064952085</t>
  </si>
  <si>
    <t>ADALBERTO</t>
  </si>
  <si>
    <t>MUÑOZ</t>
  </si>
  <si>
    <t>PONCE</t>
  </si>
  <si>
    <t>1165-storemgr@homedepot.com.mx</t>
  </si>
  <si>
    <t xml:space="preserve">8952020021391851561 </t>
  </si>
  <si>
    <t>357654179894921</t>
  </si>
  <si>
    <t>2024-11-24</t>
  </si>
  <si>
    <t xml:space="preserve">PEMPRESA 5D 12VCI   </t>
  </si>
  <si>
    <t>FRANCISCO JAVIER</t>
  </si>
  <si>
    <t>DIAZ</t>
  </si>
  <si>
    <t>VAZQUEZ</t>
  </si>
  <si>
    <t>1166-delivery@homedepot.com.mx</t>
  </si>
  <si>
    <t>1166 - JURIQUILLA</t>
  </si>
  <si>
    <t xml:space="preserve">8952020020165698893 </t>
  </si>
  <si>
    <t>860900062258488</t>
  </si>
  <si>
    <t>KARLA EDITH</t>
  </si>
  <si>
    <t>GERENCIA DE VENTAS</t>
  </si>
  <si>
    <t>1166-institsales@homedepot.com.mx</t>
  </si>
  <si>
    <t xml:space="preserve">8952020020165698901 </t>
  </si>
  <si>
    <t>860900062255963</t>
  </si>
  <si>
    <t>ALFONSO</t>
  </si>
  <si>
    <t>FELIX</t>
  </si>
  <si>
    <t>1166-prodeskmgr@homedepot.com.mx</t>
  </si>
  <si>
    <t xml:space="preserve">8952020020165699206 </t>
  </si>
  <si>
    <t>860478062375487</t>
  </si>
  <si>
    <t>HUGO ENRIQUE</t>
  </si>
  <si>
    <t>1166-ProRep1@homedepot.com.mx</t>
  </si>
  <si>
    <t xml:space="preserve">8952020020165699214 </t>
  </si>
  <si>
    <t>860478062365900</t>
  </si>
  <si>
    <t>JAIME DANIEL</t>
  </si>
  <si>
    <t>HUERTA</t>
  </si>
  <si>
    <t>1166-ProRep2@homedepot.com.mx</t>
  </si>
  <si>
    <t xml:space="preserve">8952020520568819301 </t>
  </si>
  <si>
    <t>860478062333577</t>
  </si>
  <si>
    <t>RENE</t>
  </si>
  <si>
    <t>POSADAS</t>
  </si>
  <si>
    <t>1166-storemgr@homedepot.com.mx</t>
  </si>
  <si>
    <t xml:space="preserve">8952020020165698687 </t>
  </si>
  <si>
    <t>358366320749347</t>
  </si>
  <si>
    <t>DAVID</t>
  </si>
  <si>
    <t>ALVAREZ</t>
  </si>
  <si>
    <t>PALESTINO</t>
  </si>
  <si>
    <t>JEFATURA MET</t>
  </si>
  <si>
    <t>1167-delivery@homedepot.com.mx</t>
  </si>
  <si>
    <t>1167 - ATIZAPAN</t>
  </si>
  <si>
    <t xml:space="preserve">8952020021391851892 </t>
  </si>
  <si>
    <t>KATY</t>
  </si>
  <si>
    <t>ALMAZAN</t>
  </si>
  <si>
    <t>1167-institsales@homedepot.com.mx</t>
  </si>
  <si>
    <t xml:space="preserve">8952020318592178087 </t>
  </si>
  <si>
    <t>860900062323159</t>
  </si>
  <si>
    <t>TANIA NATALIE</t>
  </si>
  <si>
    <t>CASTRO</t>
  </si>
  <si>
    <t>1167-prodeskmgr@homedepot.com.mx</t>
  </si>
  <si>
    <t xml:space="preserve">8952020021391851884 </t>
  </si>
  <si>
    <t>1167-ProRep1@homedepot.com.mx</t>
  </si>
  <si>
    <t xml:space="preserve">8952020221696538703 </t>
  </si>
  <si>
    <t>RAFAEL VALFRE</t>
  </si>
  <si>
    <t>1167-storemgr@homedepot.com.mx</t>
  </si>
  <si>
    <t xml:space="preserve">8952020518496600561 </t>
  </si>
  <si>
    <t>358366320617007</t>
  </si>
  <si>
    <t>JULIAN</t>
  </si>
  <si>
    <t>FIGUEIRAS</t>
  </si>
  <si>
    <t>JEFATURA DE PROTECCION DE ACTIVOS</t>
  </si>
  <si>
    <t>1168-Delivery@homedepot.com.mx</t>
  </si>
  <si>
    <t>1168 - TIJUANA SOLER</t>
  </si>
  <si>
    <t xml:space="preserve">8952020518612915612 </t>
  </si>
  <si>
    <t>860900062336318</t>
  </si>
  <si>
    <t>VANESSA</t>
  </si>
  <si>
    <t>CAMARILLO</t>
  </si>
  <si>
    <t>ANTONIO</t>
  </si>
  <si>
    <t>1168-institsales@homedepot.com.mx</t>
  </si>
  <si>
    <t xml:space="preserve">8952020920410337918 </t>
  </si>
  <si>
    <t>CLARITZA NADIR</t>
  </si>
  <si>
    <t>VIRGEN</t>
  </si>
  <si>
    <t xml:space="preserve">1168-prorep1@homedepot.com </t>
  </si>
  <si>
    <t>1168-ProRep1@homedepot.com.mx</t>
  </si>
  <si>
    <t xml:space="preserve">8952020920410343528 </t>
  </si>
  <si>
    <t>LAURA BELEN</t>
  </si>
  <si>
    <t>MENDOZA</t>
  </si>
  <si>
    <t>ARCOS</t>
  </si>
  <si>
    <t>1168-pyme@homedepot.com.mx</t>
  </si>
  <si>
    <t xml:space="preserve">8952020518613694935 </t>
  </si>
  <si>
    <t>860900062337167</t>
  </si>
  <si>
    <t>LUIS ERNESTO</t>
  </si>
  <si>
    <t>PALOMARES</t>
  </si>
  <si>
    <t>1168-storemgr@homedepot.com.mx</t>
  </si>
  <si>
    <t xml:space="preserve">8952020920410337892 </t>
  </si>
  <si>
    <t>CINDY YAZMIN</t>
  </si>
  <si>
    <t>DIMAS</t>
  </si>
  <si>
    <t>GERENCIA DE OPERACIONES</t>
  </si>
  <si>
    <t>1169-delivery@homedepot.com.mx</t>
  </si>
  <si>
    <t>1169 - LINCOLN</t>
  </si>
  <si>
    <t xml:space="preserve">8952020020340517745 </t>
  </si>
  <si>
    <t>ESPERANZA</t>
  </si>
  <si>
    <t>CORONADO</t>
  </si>
  <si>
    <t>1169-institsales@homedepot.com.mx</t>
  </si>
  <si>
    <t xml:space="preserve">8952020021241728142 </t>
  </si>
  <si>
    <t>JAVIER HERIBERTO</t>
  </si>
  <si>
    <t>MOLINA</t>
  </si>
  <si>
    <t>1169-prodeskmgr@homedepot.com.mx</t>
  </si>
  <si>
    <t xml:space="preserve">8952020518141765470 </t>
  </si>
  <si>
    <t>860478062096570</t>
  </si>
  <si>
    <t>ILSE IVONNE</t>
  </si>
  <si>
    <t>MARTÍNEZ</t>
  </si>
  <si>
    <t>FRANCISCO</t>
  </si>
  <si>
    <t>1169-ProRep1@homedepot.com.mx</t>
  </si>
  <si>
    <t xml:space="preserve">8952020319440205593 </t>
  </si>
  <si>
    <t>860478062356628</t>
  </si>
  <si>
    <t>1169-ProRep2@homedepot.com.mx</t>
  </si>
  <si>
    <t xml:space="preserve">8952020520544919324 </t>
  </si>
  <si>
    <t>860478062096620</t>
  </si>
  <si>
    <t>ELEUTERIO</t>
  </si>
  <si>
    <t>DE LA ROSA</t>
  </si>
  <si>
    <t>ALARCON</t>
  </si>
  <si>
    <t>1169-storemgr@homedepot.com.mx</t>
  </si>
  <si>
    <t xml:space="preserve">8952020021241726971 </t>
  </si>
  <si>
    <t>2024-12-27</t>
  </si>
  <si>
    <t>2025-12-27</t>
  </si>
  <si>
    <t>LINDORO</t>
  </si>
  <si>
    <t>JEFATURA DE RECIBOS</t>
  </si>
  <si>
    <t>1170-delivery@homedepot.com.mx</t>
  </si>
  <si>
    <t>1170 - CORREGIDORA</t>
  </si>
  <si>
    <t xml:space="preserve">8952020521663974892 </t>
  </si>
  <si>
    <t>860900062256201</t>
  </si>
  <si>
    <t>RAUL EDUARDO</t>
  </si>
  <si>
    <t>QUINTANA</t>
  </si>
  <si>
    <t>COTA</t>
  </si>
  <si>
    <t>1170-institsales@homedepot.com.mx</t>
  </si>
  <si>
    <t xml:space="preserve">8952020020165712090 </t>
  </si>
  <si>
    <t>860900062256151</t>
  </si>
  <si>
    <t>SANCHEZ</t>
  </si>
  <si>
    <t>1170-prodeskmgr@homedepot.com.mx</t>
  </si>
  <si>
    <t xml:space="preserve">8952020020165707546 </t>
  </si>
  <si>
    <t>860478062352247</t>
  </si>
  <si>
    <t>DAVID HUMBERTO</t>
  </si>
  <si>
    <t>1170-ProRep1@homedepot.com.mx</t>
  </si>
  <si>
    <t xml:space="preserve">8952020021160859746 </t>
  </si>
  <si>
    <t>860478062354342</t>
  </si>
  <si>
    <t>HORACIO JAIR</t>
  </si>
  <si>
    <t>ARROYO</t>
  </si>
  <si>
    <t>BENAVIDES</t>
  </si>
  <si>
    <t>1170-ProRep2@homedepot.com.mx</t>
  </si>
  <si>
    <t xml:space="preserve">8952020021160879496 </t>
  </si>
  <si>
    <t>860478062354656</t>
  </si>
  <si>
    <t>JAIME RENATO</t>
  </si>
  <si>
    <t>ROBLES</t>
  </si>
  <si>
    <t>SUAREZ</t>
  </si>
  <si>
    <t>1170-storemgr@homedepot.com.mx</t>
  </si>
  <si>
    <t xml:space="preserve">8952020020165707561 </t>
  </si>
  <si>
    <t>358366320266243</t>
  </si>
  <si>
    <t>SANDRA CARMELA</t>
  </si>
  <si>
    <t>IRIGOYEN</t>
  </si>
  <si>
    <t>ANDAZOLA</t>
  </si>
  <si>
    <t>1174_ProRep1@homedepot.com.mx</t>
  </si>
  <si>
    <t>1174-ProRep1@homedepot.com.mx</t>
  </si>
  <si>
    <t>1174 - CHIHUAHUA NORTE</t>
  </si>
  <si>
    <t xml:space="preserve">8952020219330885274 </t>
  </si>
  <si>
    <t>860478064863290</t>
  </si>
  <si>
    <t>RAYMUNDO</t>
  </si>
  <si>
    <t>CHAVEZ</t>
  </si>
  <si>
    <t>1174-Delivery@homedepot.com.mx</t>
  </si>
  <si>
    <t xml:space="preserve">8952020020631195276 </t>
  </si>
  <si>
    <t>YESICA</t>
  </si>
  <si>
    <t>ORDUÑO</t>
  </si>
  <si>
    <t>1174-institsales@homedepot.com.mx</t>
  </si>
  <si>
    <t xml:space="preserve">8952020020633946841 </t>
  </si>
  <si>
    <t>AIDA LIZ</t>
  </si>
  <si>
    <t>RENOVA</t>
  </si>
  <si>
    <t>MARQUEZ</t>
  </si>
  <si>
    <t>1174-Prodeskmgr@homedepot.com.mx</t>
  </si>
  <si>
    <t xml:space="preserve">8952020219330885266 </t>
  </si>
  <si>
    <t>JOSE MANUEL</t>
  </si>
  <si>
    <t>CAMPOS</t>
  </si>
  <si>
    <t>REMIGIO</t>
  </si>
  <si>
    <t>1174-StoreMgr@homedepot.com.mx</t>
  </si>
  <si>
    <t xml:space="preserve">8952020020633946486 </t>
  </si>
  <si>
    <t>JENNY CECILIA</t>
  </si>
  <si>
    <t>PAEZ</t>
  </si>
  <si>
    <t>1175-delivery@homedepot.com.mx</t>
  </si>
  <si>
    <t>1175 - GALERIAS</t>
  </si>
  <si>
    <t xml:space="preserve">8952020021241726948 </t>
  </si>
  <si>
    <t>OPPO CPH2269</t>
  </si>
  <si>
    <t>OPPO A16</t>
  </si>
  <si>
    <t>LESLIE MARGARITA</t>
  </si>
  <si>
    <t>AREVALO</t>
  </si>
  <si>
    <t>1175-InstitSales@homedepot.com.mx</t>
  </si>
  <si>
    <t xml:space="preserve">8952020523342145159 </t>
  </si>
  <si>
    <t>860900062338496</t>
  </si>
  <si>
    <t>CRISTOBAL IVAN</t>
  </si>
  <si>
    <t>GARCIA</t>
  </si>
  <si>
    <t>1175-prodeskmgr@homedepot.com.m</t>
  </si>
  <si>
    <t>sales1175@homedepot.com.mx</t>
  </si>
  <si>
    <t xml:space="preserve">8952020021444325688 </t>
  </si>
  <si>
    <t>860900062337266</t>
  </si>
  <si>
    <t>EDGAR ENRIQUE</t>
  </si>
  <si>
    <t>ALEJANDRO</t>
  </si>
  <si>
    <t>CARMONA</t>
  </si>
  <si>
    <t>1175-prorep1@homedepot.com.mx</t>
  </si>
  <si>
    <t xml:space="preserve">8952020021444325159 </t>
  </si>
  <si>
    <t>860900062337431</t>
  </si>
  <si>
    <t>ANABEL</t>
  </si>
  <si>
    <t>CHAIREZ</t>
  </si>
  <si>
    <t>AGUERO</t>
  </si>
  <si>
    <t>1175-storemgr@homedepot.com.mx</t>
  </si>
  <si>
    <t xml:space="preserve">8952020921246257544 </t>
  </si>
  <si>
    <t>JOAQUIN ENRIQUE</t>
  </si>
  <si>
    <t>FIGUEROA</t>
  </si>
  <si>
    <t>1176-delivery@homedepot.com.mx</t>
  </si>
  <si>
    <t>1176 - SANTA ANITA</t>
  </si>
  <si>
    <t>R05</t>
  </si>
  <si>
    <t xml:space="preserve">8952020020252232747 </t>
  </si>
  <si>
    <t>860900062254925</t>
  </si>
  <si>
    <t>LAURA LUCIA</t>
  </si>
  <si>
    <t>RINCON</t>
  </si>
  <si>
    <t>ARREOLA</t>
  </si>
  <si>
    <t>1176-institsales@homedepot.com.mx</t>
  </si>
  <si>
    <t xml:space="preserve">8952020518450639894 </t>
  </si>
  <si>
    <t>860900062254990</t>
  </si>
  <si>
    <t>AGUIRRE</t>
  </si>
  <si>
    <t>1176-prodeskmgr@homedepot.com.mx</t>
  </si>
  <si>
    <t xml:space="preserve">8952020020252711260 </t>
  </si>
  <si>
    <t>860478063776741</t>
  </si>
  <si>
    <t>CESAR MARTIN</t>
  </si>
  <si>
    <t>1176-ProRep1@homedepot.com.mx</t>
  </si>
  <si>
    <t xml:space="preserve">8952020518450639886 </t>
  </si>
  <si>
    <t>860900062254883</t>
  </si>
  <si>
    <t>1176-ProRep2@homedepot.com.mx</t>
  </si>
  <si>
    <t xml:space="preserve">8952020020555857026 </t>
  </si>
  <si>
    <t>860478062099194</t>
  </si>
  <si>
    <t>CHRISTIAN ADAN</t>
  </si>
  <si>
    <t>1176-StoreMgr@homedepot.com.mx</t>
  </si>
  <si>
    <t xml:space="preserve">8952020518450639803 </t>
  </si>
  <si>
    <t>358366320587390</t>
  </si>
  <si>
    <t>ALBERTO</t>
  </si>
  <si>
    <t>PAREDES</t>
  </si>
  <si>
    <t>ESTEBAN</t>
  </si>
  <si>
    <t>COORDINACION DE ENTREGAS DIRECTAS HUBS</t>
  </si>
  <si>
    <t>1177-delivery@homedepot.com.mx</t>
  </si>
  <si>
    <t>8799-stock2@homedepot.com.mx</t>
  </si>
  <si>
    <t>1177 - HUBS ATITALAQUIA</t>
  </si>
  <si>
    <t xml:space="preserve">8952020021391851900 </t>
  </si>
  <si>
    <t>RUBEN</t>
  </si>
  <si>
    <t>MATURANO</t>
  </si>
  <si>
    <t>CONTRERAS</t>
  </si>
  <si>
    <t>1177-storemgr@homedepot.com.mx</t>
  </si>
  <si>
    <t xml:space="preserve">8952020520498370532 </t>
  </si>
  <si>
    <t>860900062322052</t>
  </si>
  <si>
    <t>SUSANA GUADALUPE</t>
  </si>
  <si>
    <t>CHAIDEZ</t>
  </si>
  <si>
    <t>JEFATURA DE RECURSOS HUMANOS LSC</t>
  </si>
  <si>
    <t>1179-humrec@homedepot.com.mx</t>
  </si>
  <si>
    <t>1179-Humrec1@homedepot.com.mx</t>
  </si>
  <si>
    <t xml:space="preserve">8952020918615546036 </t>
  </si>
  <si>
    <t>860900062322060</t>
  </si>
  <si>
    <t>BARAJAS</t>
  </si>
  <si>
    <t>JEFATURA DE OPERACIONES LSC</t>
  </si>
  <si>
    <t>1179-Logistic@homedepot.com.mx</t>
  </si>
  <si>
    <t xml:space="preserve">8952020918615546069 </t>
  </si>
  <si>
    <t>860900062321575</t>
  </si>
  <si>
    <t>GERARDO ABRAHAM</t>
  </si>
  <si>
    <t>1179-logistic2@homedepot.com.mx</t>
  </si>
  <si>
    <t>1337 - LSC TIJUANA</t>
  </si>
  <si>
    <t xml:space="preserve">8952020918615546010 </t>
  </si>
  <si>
    <t>860900062338306</t>
  </si>
  <si>
    <t xml:space="preserve">JEFATURA DE OPERACIÓNES LSC </t>
  </si>
  <si>
    <t>MIGUEL ANGEL</t>
  </si>
  <si>
    <t>ACHOY</t>
  </si>
  <si>
    <t>LIZARRAGA</t>
  </si>
  <si>
    <t>GERENCIA DE LSC</t>
  </si>
  <si>
    <t>1179-storemgr@homedepot.com.mx</t>
  </si>
  <si>
    <t xml:space="preserve">8952020517510163861 </t>
  </si>
  <si>
    <t>860900062334321</t>
  </si>
  <si>
    <t>CARLOS ALBERTO</t>
  </si>
  <si>
    <t>DOMINGUEZ</t>
  </si>
  <si>
    <t>GERARDO</t>
  </si>
  <si>
    <t>1180storemgr@homedepot.com.mx</t>
  </si>
  <si>
    <t>1180-StoreMgr@homedepot.com.mx</t>
  </si>
  <si>
    <t>1180 - HUBS CIENEGA</t>
  </si>
  <si>
    <t xml:space="preserve">8952020919540766673 </t>
  </si>
  <si>
    <t>860900062319579</t>
  </si>
  <si>
    <t>JUAN MANUEL</t>
  </si>
  <si>
    <t>REYNA</t>
  </si>
  <si>
    <t>ASOCIADO(A) DE TRAFICO PDM</t>
  </si>
  <si>
    <t>1306-delivery@homedepot.com.mx</t>
  </si>
  <si>
    <t>1306 - PDM MONTERREY</t>
  </si>
  <si>
    <t xml:space="preserve">8952020523140390213 </t>
  </si>
  <si>
    <t>860900062334644</t>
  </si>
  <si>
    <t>BRENDA PATRICIA</t>
  </si>
  <si>
    <t>ALVARADO</t>
  </si>
  <si>
    <t>JEFATURA DE RECURSOS HUMANOS PDM</t>
  </si>
  <si>
    <t>1306-Humrec1@homedepot.com.mx</t>
  </si>
  <si>
    <t xml:space="preserve">8952020024543268742 </t>
  </si>
  <si>
    <t>ROSALINDA</t>
  </si>
  <si>
    <t>JEFATURA DE OPERACIONES PDM</t>
  </si>
  <si>
    <t>1306-operaciones@homedepot.com.mx</t>
  </si>
  <si>
    <t xml:space="preserve">8952020024543268940 </t>
  </si>
  <si>
    <t>JOSE OSCAR SAHIR</t>
  </si>
  <si>
    <t>BAÑUELOS</t>
  </si>
  <si>
    <t>JEFATURA DE PROTECCION DE ACTIVOS PDM</t>
  </si>
  <si>
    <t>1306-seguridad@homedepot.com.mx</t>
  </si>
  <si>
    <t xml:space="preserve">8952020024543268692 </t>
  </si>
  <si>
    <t>ANDREA</t>
  </si>
  <si>
    <t>MARISCAL</t>
  </si>
  <si>
    <t>ESTEVEZ</t>
  </si>
  <si>
    <t>GERENCIA DE PATIO DE MATERIALES</t>
  </si>
  <si>
    <t>1306-storemgr@homedepot.com.mx</t>
  </si>
  <si>
    <t xml:space="preserve">8952020024543268791 </t>
  </si>
  <si>
    <t xml:space="preserve">GERERAL </t>
  </si>
  <si>
    <t>CRISTHYAN TADDEO</t>
  </si>
  <si>
    <t>MELENDEZ</t>
  </si>
  <si>
    <t>MONTELONGO</t>
  </si>
  <si>
    <t>JEFATURA DE TRAFICO PDM</t>
  </si>
  <si>
    <t>1306-trafic@homedepot.com.mx</t>
  </si>
  <si>
    <t xml:space="preserve">8952020024543268718 </t>
  </si>
  <si>
    <t>ALEJANDRO EMMANUEL</t>
  </si>
  <si>
    <t xml:space="preserve">8952020024543268775 </t>
  </si>
  <si>
    <t>IMEI EN PRESTAMO 358366320316493</t>
  </si>
  <si>
    <t>CLAUDIA GUADALUPE</t>
  </si>
  <si>
    <t>RAZO</t>
  </si>
  <si>
    <t>1312-delivery@homedepot.com.mx</t>
  </si>
  <si>
    <t>1312 - LSC GUADALAJARA</t>
  </si>
  <si>
    <t xml:space="preserve">8952020220650549268 </t>
  </si>
  <si>
    <t>SALCEDO</t>
  </si>
  <si>
    <t xml:space="preserve">ASOCIADO(A) DE TRAFICO Y SERVICIO AL CLIENTE </t>
  </si>
  <si>
    <t>1312-entregasdirectas@homedepot.com.mx</t>
  </si>
  <si>
    <t>1312-operaciones3@homedepot.com.mx</t>
  </si>
  <si>
    <t xml:space="preserve">8952020521552760337 </t>
  </si>
  <si>
    <t>860900062336607</t>
  </si>
  <si>
    <t>ANA MARIA</t>
  </si>
  <si>
    <t>SOLIS</t>
  </si>
  <si>
    <t>GERENCIA DE RECURSOS HUMANOS LSC</t>
  </si>
  <si>
    <t>1312-humrec1@homedepot.com.mx</t>
  </si>
  <si>
    <t xml:space="preserve">8952020220650549151 </t>
  </si>
  <si>
    <t>BECERRA</t>
  </si>
  <si>
    <t>1312-logistic@homedepot.com.mx</t>
  </si>
  <si>
    <t xml:space="preserve">8952020220650549078 </t>
  </si>
  <si>
    <t>1312-logistic2@homedepot.com.mx</t>
  </si>
  <si>
    <t>1312-operaciones1@homedepot.com.mx</t>
  </si>
  <si>
    <t xml:space="preserve">8952020319551592656 </t>
  </si>
  <si>
    <t>ARIZAGA</t>
  </si>
  <si>
    <t>JEFATURA DE PROTECCION DE ACTIVOS LSC</t>
  </si>
  <si>
    <t>1312-seguridad@homedepot.com.mx</t>
  </si>
  <si>
    <t xml:space="preserve">8952020220650549201 </t>
  </si>
  <si>
    <t>JESUS MANUEL</t>
  </si>
  <si>
    <t>VERDUGO</t>
  </si>
  <si>
    <t>1312-storemgr@homedepot.com.mx</t>
  </si>
  <si>
    <t xml:space="preserve">8952020020555857992 </t>
  </si>
  <si>
    <t>860900062321997</t>
  </si>
  <si>
    <t>EMMA SELENE</t>
  </si>
  <si>
    <t>AGUAYO</t>
  </si>
  <si>
    <t>ESPINOZA</t>
  </si>
  <si>
    <t>JEFATURA DE TRAFICO LSC</t>
  </si>
  <si>
    <t>1312-trafic@homedepot.com.mx</t>
  </si>
  <si>
    <t xml:space="preserve">8952020520652191153 </t>
  </si>
  <si>
    <t>ABIGAIL ASGARD</t>
  </si>
  <si>
    <t>MERCADO</t>
  </si>
  <si>
    <t>JEFATURA DE RECURSOS HUMANOS MDC</t>
  </si>
  <si>
    <t>1314_humrec1@homedepot.com.mx</t>
  </si>
  <si>
    <t>1314-humrec1@homedepot.com.mx</t>
  </si>
  <si>
    <t>1314 - LSC PUEBLA</t>
  </si>
  <si>
    <t>R07</t>
  </si>
  <si>
    <t xml:space="preserve">8952020921270884130 </t>
  </si>
  <si>
    <t>860900062337613</t>
  </si>
  <si>
    <t>KARLA</t>
  </si>
  <si>
    <t>1314-delivery2@homedepot.com.mx</t>
  </si>
  <si>
    <t xml:space="preserve">8952020921474507875 </t>
  </si>
  <si>
    <t xml:space="preserve">8952020020199239326 </t>
  </si>
  <si>
    <t>860900062322045</t>
  </si>
  <si>
    <t>FERNANDO URIEL</t>
  </si>
  <si>
    <t>GALLEGOS</t>
  </si>
  <si>
    <t>ESPECIALISTA DE LOGÍSTICA</t>
  </si>
  <si>
    <t>1314-logistic@homedepot.com.mx</t>
  </si>
  <si>
    <t>1314-Operaciones1@homedepot.com.mx</t>
  </si>
  <si>
    <t xml:space="preserve">8952020921270884148 </t>
  </si>
  <si>
    <t>1314-logistic2@homedepot.com.mx</t>
  </si>
  <si>
    <t xml:space="preserve">8952020219570598389 </t>
  </si>
  <si>
    <t>JAVIER</t>
  </si>
  <si>
    <t>RIOS</t>
  </si>
  <si>
    <t>COORDINACION DE RUTEO CENTRALIZADO</t>
  </si>
  <si>
    <t>1314-ruteocentralizado@homedepot.com.mx</t>
  </si>
  <si>
    <t xml:space="preserve">8952020521270815918 </t>
  </si>
  <si>
    <t>AMIR</t>
  </si>
  <si>
    <t>1314-seguridad@homedepot.com.mx</t>
  </si>
  <si>
    <t xml:space="preserve">8952020921270884155 </t>
  </si>
  <si>
    <t>ANA LAURA</t>
  </si>
  <si>
    <t>ANGUIANO</t>
  </si>
  <si>
    <t>SUPERVISOR(A) DE CASETA</t>
  </si>
  <si>
    <t>1314-storemgr@homedepot.com.mx</t>
  </si>
  <si>
    <t xml:space="preserve">8952020219570598785 </t>
  </si>
  <si>
    <t>GUSTAVO</t>
  </si>
  <si>
    <t>AQUINO</t>
  </si>
  <si>
    <t>1314-trafic@homedepot.com.mx</t>
  </si>
  <si>
    <t xml:space="preserve">8952020022279148252 </t>
  </si>
  <si>
    <t>PATRICIA</t>
  </si>
  <si>
    <t>ARREDONDO</t>
  </si>
  <si>
    <t>ZAVALA</t>
  </si>
  <si>
    <t>1315-delivery@homedepot.com.mx</t>
  </si>
  <si>
    <t>1315 - LSC CULIACAN</t>
  </si>
  <si>
    <t>R02</t>
  </si>
  <si>
    <t xml:space="preserve">8952020920521859628 </t>
  </si>
  <si>
    <t>860900062322078</t>
  </si>
  <si>
    <t>BRENDA CELESTE</t>
  </si>
  <si>
    <t>OCHOA</t>
  </si>
  <si>
    <t>BELTRAN</t>
  </si>
  <si>
    <t>1315-humrec1@homedepot.com.mx</t>
  </si>
  <si>
    <t xml:space="preserve">8952020520522112058 </t>
  </si>
  <si>
    <t>860900062321963</t>
  </si>
  <si>
    <t>LEYVA</t>
  </si>
  <si>
    <t>1315-logistic@homedepot.com.mx</t>
  </si>
  <si>
    <t>1315-operaciones1@homedepot.com.mx</t>
  </si>
  <si>
    <t xml:space="preserve">8952020520522112025 </t>
  </si>
  <si>
    <t>860900062338439</t>
  </si>
  <si>
    <t>JESUS AARON</t>
  </si>
  <si>
    <t>1315-logistic2@homedepot.com.mx</t>
  </si>
  <si>
    <t>1315-operaciones2@homedepot.com.mx</t>
  </si>
  <si>
    <t xml:space="preserve">8952020520522112033 </t>
  </si>
  <si>
    <t>VERONICA NAYELY</t>
  </si>
  <si>
    <t>CARRASCO</t>
  </si>
  <si>
    <t>1315-seguridad@homedepot.com.mx</t>
  </si>
  <si>
    <t xml:space="preserve">8952020520522112017 </t>
  </si>
  <si>
    <t>860900062334446</t>
  </si>
  <si>
    <t>CLAUDIO RENE</t>
  </si>
  <si>
    <t>1315-storemgr@homedepot.com.mx</t>
  </si>
  <si>
    <t xml:space="preserve">8952020520522112041 </t>
  </si>
  <si>
    <t>1315-trafic@homedepot.com.mx</t>
  </si>
  <si>
    <t xml:space="preserve">8952020221621407289 </t>
  </si>
  <si>
    <t>MONTSERRATH</t>
  </si>
  <si>
    <t>DE LA CRUZ</t>
  </si>
  <si>
    <t>TAFOYA</t>
  </si>
  <si>
    <t>ESPECIALISTA DE RECURSOS HUMANOS DARK STORE</t>
  </si>
  <si>
    <t>1316-humrec@homedepot.com.mx</t>
  </si>
  <si>
    <t>1316 - DARK STORE MEXICO</t>
  </si>
  <si>
    <t xml:space="preserve">8952020021697384622 </t>
  </si>
  <si>
    <t>860900062320635</t>
  </si>
  <si>
    <t>FERNANDO</t>
  </si>
  <si>
    <t>JEFATURA DE OPERACIONES DARK STORE</t>
  </si>
  <si>
    <t>1316-operacion2@homedepot.com.mx</t>
  </si>
  <si>
    <t>1316-operaciones2@homedepot.com.mx</t>
  </si>
  <si>
    <t xml:space="preserve">8952020021591734112 </t>
  </si>
  <si>
    <t>860900062318936</t>
  </si>
  <si>
    <t>LEONOR</t>
  </si>
  <si>
    <t>1316-operaciones@homedepot.com.mx</t>
  </si>
  <si>
    <t xml:space="preserve">8952020021591734120 </t>
  </si>
  <si>
    <t>860900062319025</t>
  </si>
  <si>
    <t>VALDES</t>
  </si>
  <si>
    <t>GERENCIA DE OPERACIONES DARK STORE</t>
  </si>
  <si>
    <t>1316-storemgr@homedepot.com.mx</t>
  </si>
  <si>
    <t xml:space="preserve">8952020023195128394 </t>
  </si>
  <si>
    <t>860900062336540</t>
  </si>
  <si>
    <t>EL EQUIPO FUE ROBADO 6/27/2024</t>
  </si>
  <si>
    <t>IMELDA</t>
  </si>
  <si>
    <t>UGALDE</t>
  </si>
  <si>
    <t>1317-delivery@homedepot.com.mx</t>
  </si>
  <si>
    <t>1317 - LSC QUERETARO</t>
  </si>
  <si>
    <t xml:space="preserve">8952020020165728963 </t>
  </si>
  <si>
    <t>860900062322086</t>
  </si>
  <si>
    <t>GUEVARA</t>
  </si>
  <si>
    <t>1317-humrec@homedepot.com.mx</t>
  </si>
  <si>
    <t xml:space="preserve">8952020920661693001 </t>
  </si>
  <si>
    <t>ERIK YAIR</t>
  </si>
  <si>
    <t>1317-operaciones@homedepot.com.mx</t>
  </si>
  <si>
    <t>1317-operaciones1@homedepot.com.mx</t>
  </si>
  <si>
    <t xml:space="preserve">8952020021160879348 </t>
  </si>
  <si>
    <t>REBECA MARLEN</t>
  </si>
  <si>
    <t>BORJA</t>
  </si>
  <si>
    <t>GRANADOS</t>
  </si>
  <si>
    <t>1317-operaciones2@homedepot.com.mx</t>
  </si>
  <si>
    <t xml:space="preserve">8952020021160879330 </t>
  </si>
  <si>
    <t>MARTIN</t>
  </si>
  <si>
    <t>RUIZ</t>
  </si>
  <si>
    <t>1317-seguridad@homedepot.com.mx</t>
  </si>
  <si>
    <t xml:space="preserve">8952020021160879355 </t>
  </si>
  <si>
    <t>EDNITA GEORGINA</t>
  </si>
  <si>
    <t>MACARIO</t>
  </si>
  <si>
    <t>ROBLERO</t>
  </si>
  <si>
    <t>1317-storemgr@homedepot.com.mx</t>
  </si>
  <si>
    <t xml:space="preserve">8952020920661692979 </t>
  </si>
  <si>
    <t>OSCAR HORACIO</t>
  </si>
  <si>
    <t>MEZA</t>
  </si>
  <si>
    <t>RIVAS</t>
  </si>
  <si>
    <t>1317-trafic@homedepot.com.mx</t>
  </si>
  <si>
    <t xml:space="preserve">8952020521663979024 </t>
  </si>
  <si>
    <t xml:space="preserve">ADENDUM INCORRECTO CAMBIAR EQUIPO EN LA RENOVACION 2024 DEBIDO A CAMBIO DE LINEA </t>
  </si>
  <si>
    <t>CESAR GUADALUPE</t>
  </si>
  <si>
    <t>VILLANUEVA</t>
  </si>
  <si>
    <t>1318-centralcitas@homedepot.com.mx</t>
  </si>
  <si>
    <t>1318-centralcitas1@homedepot.com.mx</t>
  </si>
  <si>
    <t>1318 - LSC MONTERREY</t>
  </si>
  <si>
    <t xml:space="preserve">8952020021241728076 </t>
  </si>
  <si>
    <t>358366320408340</t>
  </si>
  <si>
    <t xml:space="preserve">OPPO </t>
  </si>
  <si>
    <t>CONRADO</t>
  </si>
  <si>
    <t>1318-humrec@homedepot.com.mx</t>
  </si>
  <si>
    <t xml:space="preserve">8952020021440171979 </t>
  </si>
  <si>
    <t>1318-operaciones@homedepot.com.mx</t>
  </si>
  <si>
    <t xml:space="preserve">8952020021440171151 </t>
  </si>
  <si>
    <t>JOSE ANTONIO</t>
  </si>
  <si>
    <t>QUIJANO</t>
  </si>
  <si>
    <t>1318-operaciones2@homedepot.com.mx</t>
  </si>
  <si>
    <t xml:space="preserve">8952020021241726815 </t>
  </si>
  <si>
    <t>VICTOR ISAI</t>
  </si>
  <si>
    <t>1318-operaciones3@homedepot.com.mx</t>
  </si>
  <si>
    <t xml:space="preserve">8952020921544128199 </t>
  </si>
  <si>
    <t>860900062336888</t>
  </si>
  <si>
    <t>ALBERTO JAVIER</t>
  </si>
  <si>
    <t>LUNA</t>
  </si>
  <si>
    <t>1318-operaciones4@homedepot.com.mx</t>
  </si>
  <si>
    <t xml:space="preserve">8952020923443536910 </t>
  </si>
  <si>
    <t>860900062338819</t>
  </si>
  <si>
    <t>EMMANUEL</t>
  </si>
  <si>
    <t>HIPOLITO</t>
  </si>
  <si>
    <t>1318-seguridad@homedepot.com.mx</t>
  </si>
  <si>
    <t xml:space="preserve">8952020021440171128 </t>
  </si>
  <si>
    <t>VICTOR ALFONSO</t>
  </si>
  <si>
    <t>FLORIDO</t>
  </si>
  <si>
    <t>HERRERA</t>
  </si>
  <si>
    <t>1318-storemgr@homedepot.com.mx</t>
  </si>
  <si>
    <t xml:space="preserve">8952020921246259052 </t>
  </si>
  <si>
    <t>1319-humrec@homedepot.com.mx</t>
  </si>
  <si>
    <t>1319 - LSC ESTADO DE MEXICO</t>
  </si>
  <si>
    <t xml:space="preserve">8952020021591738279 </t>
  </si>
  <si>
    <t>PERLA XOCHITL</t>
  </si>
  <si>
    <t>GERENCIA DE OPERACIONES LSC</t>
  </si>
  <si>
    <t>1319-centralcitas@homedepot.com.mx</t>
  </si>
  <si>
    <t>1319-centralcitas1@homedepot.com.mx</t>
  </si>
  <si>
    <t xml:space="preserve">8952020022191363740 </t>
  </si>
  <si>
    <t>BAUTISTA</t>
  </si>
  <si>
    <t>1319-delivery2@homedepot.com.mx</t>
  </si>
  <si>
    <t>1319-operationsmgr@homedepot.com.mx</t>
  </si>
  <si>
    <t xml:space="preserve">8952020021697384614 </t>
  </si>
  <si>
    <t>DAVID EDUARDO</t>
  </si>
  <si>
    <t>DELGADO</t>
  </si>
  <si>
    <t>VILLARREAL</t>
  </si>
  <si>
    <t>1318-trafic@homedepot.com.mx</t>
  </si>
  <si>
    <t xml:space="preserve">8952020021241482724 </t>
  </si>
  <si>
    <t>CESAR</t>
  </si>
  <si>
    <t>GERENCIA DE OPERACIONES HUBS</t>
  </si>
  <si>
    <t>1319-operaciones@homedepot.com.mx</t>
  </si>
  <si>
    <t>8679-Storemgr@homedepot.com.mx</t>
  </si>
  <si>
    <t xml:space="preserve">8952020021591738246 </t>
  </si>
  <si>
    <t>1319-operaciones2@homedepot.com.mx</t>
  </si>
  <si>
    <t>8799-Transport8@homedepot.com.mx</t>
  </si>
  <si>
    <t xml:space="preserve">8952020021591738287 </t>
  </si>
  <si>
    <t>ISRAEL</t>
  </si>
  <si>
    <t>CABRERA</t>
  </si>
  <si>
    <t>CORREA</t>
  </si>
  <si>
    <t>1319-operationmgr@homedepot.com.mx</t>
  </si>
  <si>
    <t xml:space="preserve">8952020023195128733 </t>
  </si>
  <si>
    <t>ROBO EN 6/27/2024</t>
  </si>
  <si>
    <t>VILLALOBOS</t>
  </si>
  <si>
    <t>GERENCIA DE OPERACIONES MDC</t>
  </si>
  <si>
    <t>1319-operationsmgr2@homedepot.com.mx</t>
  </si>
  <si>
    <t xml:space="preserve">8952020021591738212 </t>
  </si>
  <si>
    <t>1319-seguridad@homedepot.com.mx</t>
  </si>
  <si>
    <t xml:space="preserve">8952020221696538687 </t>
  </si>
  <si>
    <t>LUIS FERNANDO</t>
  </si>
  <si>
    <t>YUBI</t>
  </si>
  <si>
    <t>1319-storemgr@homedepot.com.mx</t>
  </si>
  <si>
    <t xml:space="preserve">8952020221696538489 </t>
  </si>
  <si>
    <t>PABLO ENRIQUE</t>
  </si>
  <si>
    <t>ATANACIO</t>
  </si>
  <si>
    <t>1319-trafic@homedepot.com.mx</t>
  </si>
  <si>
    <t xml:space="preserve">8952020021697384705 </t>
  </si>
  <si>
    <t>860900062337852</t>
  </si>
  <si>
    <t>XCHEL RAMSES GUILLERMO</t>
  </si>
  <si>
    <t>1323-humrec@homedepot.com.mx</t>
  </si>
  <si>
    <t>1323 - LSC PUERTO MORELOS</t>
  </si>
  <si>
    <t>R08</t>
  </si>
  <si>
    <t xml:space="preserve">8952020519481244449 </t>
  </si>
  <si>
    <t>OSCAR EMMANUEL</t>
  </si>
  <si>
    <t>GERENCIA DE OPERACIONES NOCTURNO</t>
  </si>
  <si>
    <t>1323-operaciones@homedepot.com.mx</t>
  </si>
  <si>
    <t xml:space="preserve">8952020519481244456 </t>
  </si>
  <si>
    <t>1323-operaciones2@homedepot.com.mx</t>
  </si>
  <si>
    <t xml:space="preserve">8952020520682904930 </t>
  </si>
  <si>
    <t>RUSBEL</t>
  </si>
  <si>
    <t>CIGARROA</t>
  </si>
  <si>
    <t>1323-seguridad@homedepot.com.mx</t>
  </si>
  <si>
    <t xml:space="preserve">8952020520682904955 </t>
  </si>
  <si>
    <t>HECTOR RAUL</t>
  </si>
  <si>
    <t>REY</t>
  </si>
  <si>
    <t>1323-storemgr@homedepot.com.mx</t>
  </si>
  <si>
    <t xml:space="preserve">8952020218682979354 </t>
  </si>
  <si>
    <t>MARIA FERNANDA</t>
  </si>
  <si>
    <t>1323-trafic@homedepot.com.mx</t>
  </si>
  <si>
    <t xml:space="preserve">8952020222183071596 </t>
  </si>
  <si>
    <t>860478064953711</t>
  </si>
  <si>
    <t>2024-01-17</t>
  </si>
  <si>
    <t>MADRIGAL</t>
  </si>
  <si>
    <t>VILLA</t>
  </si>
  <si>
    <t>1325-Delivery@homedepot.com.mx</t>
  </si>
  <si>
    <t>1325 - SAN PEDRO</t>
  </si>
  <si>
    <t xml:space="preserve">8952020021111347122 </t>
  </si>
  <si>
    <t>351307357592306</t>
  </si>
  <si>
    <t>DANIELA EDITH</t>
  </si>
  <si>
    <t>1325-institsales@homedepot.com.mx</t>
  </si>
  <si>
    <t xml:space="preserve">8952020920410343924 </t>
  </si>
  <si>
    <t>860900062337332</t>
  </si>
  <si>
    <t>SERGIO ANTONIO</t>
  </si>
  <si>
    <t>NUÑEZ</t>
  </si>
  <si>
    <t>CISNEROS</t>
  </si>
  <si>
    <t>1325-prodeskmgr@homedepot.com.mx</t>
  </si>
  <si>
    <t xml:space="preserve">8952020020411661091 </t>
  </si>
  <si>
    <t>860478064863225</t>
  </si>
  <si>
    <t>CARMEN YANIN</t>
  </si>
  <si>
    <t>SALGADO</t>
  </si>
  <si>
    <t>1325-prorep1@homedepot.com.mx</t>
  </si>
  <si>
    <t xml:space="preserve">8952020020411661075 </t>
  </si>
  <si>
    <t>860478064863209</t>
  </si>
  <si>
    <t>1325-prorep2@homedepot.com.mx</t>
  </si>
  <si>
    <t xml:space="preserve">8952020920410343932 </t>
  </si>
  <si>
    <t>OPPO CPH2363</t>
  </si>
  <si>
    <t>OPPO Reno7</t>
  </si>
  <si>
    <t>RAUL OCTAVIO</t>
  </si>
  <si>
    <t>CORONEL</t>
  </si>
  <si>
    <t>1325-Storemgr@homedepot.com.mx</t>
  </si>
  <si>
    <t>1325-storemgr@homedepot.com.mx</t>
  </si>
  <si>
    <t xml:space="preserve">8952020020411661083 </t>
  </si>
  <si>
    <t>iPhone 12 (64 GB White)</t>
  </si>
  <si>
    <t>ABIGAIL ANDREA</t>
  </si>
  <si>
    <t>ALDABA</t>
  </si>
  <si>
    <t>1327-delivery@homedepot.com.mx</t>
  </si>
  <si>
    <t>1327 - GOMEZ PALACIO</t>
  </si>
  <si>
    <t xml:space="preserve">8952020920532427373 </t>
  </si>
  <si>
    <t>DANIELA ESTEPHANI</t>
  </si>
  <si>
    <t>DE LIRA</t>
  </si>
  <si>
    <t>1327-institsales@homedepot.com.mx</t>
  </si>
  <si>
    <t xml:space="preserve">8952020920532427449 </t>
  </si>
  <si>
    <t>VICENTE</t>
  </si>
  <si>
    <t>LOMBARDO</t>
  </si>
  <si>
    <t>1327-prodeskmgr@homedepot.com.mx</t>
  </si>
  <si>
    <t xml:space="preserve">8952020920532427431 </t>
  </si>
  <si>
    <t>CALDERON</t>
  </si>
  <si>
    <t>1327-prorep1@homedepot.com.mx</t>
  </si>
  <si>
    <t xml:space="preserve">8952020920532427423 </t>
  </si>
  <si>
    <t>JESUS FERNANDO</t>
  </si>
  <si>
    <t>TORRES</t>
  </si>
  <si>
    <t>1327-salesrep@homedepot.com.mx</t>
  </si>
  <si>
    <t>1327-prorep2@homedepot.com.mx</t>
  </si>
  <si>
    <t xml:space="preserve">8952020518630104546 </t>
  </si>
  <si>
    <t>IRIS SELENE</t>
  </si>
  <si>
    <t>QUINTERO</t>
  </si>
  <si>
    <t>1327-storemgr@homedepot.com.mx</t>
  </si>
  <si>
    <t xml:space="preserve">8952020920532427456 </t>
  </si>
  <si>
    <t>1328-delivery@homedepot.com.mx</t>
  </si>
  <si>
    <t>1328 - LAZARO CARDENAS</t>
  </si>
  <si>
    <t xml:space="preserve">8952020520652191146 </t>
  </si>
  <si>
    <t>ANA PAULINA</t>
  </si>
  <si>
    <t>1328-institsales@homedepot.com.mx</t>
  </si>
  <si>
    <t xml:space="preserve">8952020021451508481 </t>
  </si>
  <si>
    <t>860900062255484</t>
  </si>
  <si>
    <t>JAHEL MEHIR</t>
  </si>
  <si>
    <t>ABARCA</t>
  </si>
  <si>
    <t>1328-Prorep1@homedepot.com.mx</t>
  </si>
  <si>
    <t xml:space="preserve">8952020521552760113 </t>
  </si>
  <si>
    <t>860478063793100</t>
  </si>
  <si>
    <t>ADRIAN</t>
  </si>
  <si>
    <t>1328-Prorep2@homedepot.com.mx</t>
  </si>
  <si>
    <t xml:space="preserve">8952020021451508507 </t>
  </si>
  <si>
    <t>860900062255534</t>
  </si>
  <si>
    <t>DANIEL OSWALDO</t>
  </si>
  <si>
    <t>MAGAÑA</t>
  </si>
  <si>
    <t>VERA</t>
  </si>
  <si>
    <t>1328-storemr@homedepot.com.mx</t>
  </si>
  <si>
    <t>1328-storemgr@homedepot.com.mx</t>
  </si>
  <si>
    <t xml:space="preserve">8952020520652191112 </t>
  </si>
  <si>
    <t>MICHEL ALICIA</t>
  </si>
  <si>
    <t>CASTAÑEDA</t>
  </si>
  <si>
    <t>1328-ventas@homedepot.com.mx</t>
  </si>
  <si>
    <t>1328-prodeskmgr@homedepot.com.mx</t>
  </si>
  <si>
    <t xml:space="preserve">8952020520652191120 </t>
  </si>
  <si>
    <t>KARLA LIZZET</t>
  </si>
  <si>
    <t>1331-delivery@homedepot.com.mx</t>
  </si>
  <si>
    <t>1331 - COLOSIO</t>
  </si>
  <si>
    <t xml:space="preserve">8952020520682904898 </t>
  </si>
  <si>
    <t>ERIKA ABIGAIL</t>
  </si>
  <si>
    <t>CAVAZOS</t>
  </si>
  <si>
    <t>1331-institsales@homedepot.com.mx</t>
  </si>
  <si>
    <t xml:space="preserve">8952020520682904906 </t>
  </si>
  <si>
    <t>MARCO ANTONIO</t>
  </si>
  <si>
    <t>1331-MRORep@homedepot.com.mx</t>
  </si>
  <si>
    <t xml:space="preserve">8952020520682904831 </t>
  </si>
  <si>
    <t>RIGOBERTO</t>
  </si>
  <si>
    <t>CHAN</t>
  </si>
  <si>
    <t>POOT</t>
  </si>
  <si>
    <t>1331-prorep1@homedepot.com.mx</t>
  </si>
  <si>
    <t xml:space="preserve">8952020520682904880 </t>
  </si>
  <si>
    <t>SILVIA VICTORIA</t>
  </si>
  <si>
    <t>CORTES</t>
  </si>
  <si>
    <t>1331-prorep2@homedepot.com.mx</t>
  </si>
  <si>
    <t xml:space="preserve">8952020221482492818 </t>
  </si>
  <si>
    <t>860900062238829</t>
  </si>
  <si>
    <t>CLAUDIA</t>
  </si>
  <si>
    <t>MANRIQUEZ</t>
  </si>
  <si>
    <t>1331-storemgr@homedepot.com.mx</t>
  </si>
  <si>
    <t xml:space="preserve">8952020520682904815 </t>
  </si>
  <si>
    <t>iPhone 11</t>
  </si>
  <si>
    <t>ERUBIEL</t>
  </si>
  <si>
    <t>LARA</t>
  </si>
  <si>
    <t>ESPINOSA</t>
  </si>
  <si>
    <t>1333-delivery@homedepot.com.mx</t>
  </si>
  <si>
    <t>1333 - CONCORDIA</t>
  </si>
  <si>
    <t xml:space="preserve">8952020920540491601 </t>
  </si>
  <si>
    <t>860900062264536</t>
  </si>
  <si>
    <t>BRANDON ELIAN</t>
  </si>
  <si>
    <t>LEIJA</t>
  </si>
  <si>
    <t>JEFATURA DE SERVICIOS ESPECIALES Y VENTAS INSTITUCIONALES</t>
  </si>
  <si>
    <t>1333-institsales@homedepot.com.mx</t>
  </si>
  <si>
    <t xml:space="preserve">8952020921544128140 </t>
  </si>
  <si>
    <t>GEMA FELICIDAD</t>
  </si>
  <si>
    <t>1333-ProRep1@homedepot.com.mx</t>
  </si>
  <si>
    <t xml:space="preserve">8952020520640045867 </t>
  </si>
  <si>
    <t>860900062336557</t>
  </si>
  <si>
    <t>ROSA ISELA</t>
  </si>
  <si>
    <t>ORTIZ</t>
  </si>
  <si>
    <t>1333-prorep2@homedepot.com.mx</t>
  </si>
  <si>
    <t xml:space="preserve">8952020520640061005 </t>
  </si>
  <si>
    <t>860900062337217</t>
  </si>
  <si>
    <t>TREJO</t>
  </si>
  <si>
    <t>1333-storemgr@homedepot.com.mx</t>
  </si>
  <si>
    <t xml:space="preserve">8952020021444325142 </t>
  </si>
  <si>
    <t>860900062337480</t>
  </si>
  <si>
    <t>JAIRO EDUARDO</t>
  </si>
  <si>
    <t>1335-delivery@homedepot.com.mx</t>
  </si>
  <si>
    <t>1335 - MORELOS</t>
  </si>
  <si>
    <t xml:space="preserve">8952020221621407297 </t>
  </si>
  <si>
    <t>860900062336615</t>
  </si>
  <si>
    <t>ALAN NORBERTO</t>
  </si>
  <si>
    <t>JAIME</t>
  </si>
  <si>
    <t>1335-institsales@homedepot.com.mx</t>
  </si>
  <si>
    <t xml:space="preserve">8952020019620240820 </t>
  </si>
  <si>
    <t>860900062337399</t>
  </si>
  <si>
    <t>1335-prodeskmgr@homedepot.com.mx</t>
  </si>
  <si>
    <t xml:space="preserve">8952020021623526692 </t>
  </si>
  <si>
    <t>860478064863233</t>
  </si>
  <si>
    <t>CARLOS ANDRES</t>
  </si>
  <si>
    <t>CORDOVA</t>
  </si>
  <si>
    <t>BARRERA</t>
  </si>
  <si>
    <t>1335-prorep1@homedepot.com.mx</t>
  </si>
  <si>
    <t xml:space="preserve">8952020021623526668 </t>
  </si>
  <si>
    <t>860478064951590</t>
  </si>
  <si>
    <t>VIRIDIANA</t>
  </si>
  <si>
    <t>1335-prorep2@homedepot.com.mx</t>
  </si>
  <si>
    <t xml:space="preserve">8952020019620240838 </t>
  </si>
  <si>
    <t>860478064952648</t>
  </si>
  <si>
    <t>LILIANA ELIZABETH</t>
  </si>
  <si>
    <t>ARCE</t>
  </si>
  <si>
    <t>1335-storemgr@homedepot.com.mx</t>
  </si>
  <si>
    <t xml:space="preserve">8952020021623526676 </t>
  </si>
  <si>
    <t>iPhone 12 (64 GB Black)</t>
  </si>
  <si>
    <t>1337-operaciones@homedepot.com.mx</t>
  </si>
  <si>
    <t xml:space="preserve">8952020918615546028 </t>
  </si>
  <si>
    <t>LIZ ARBELI</t>
  </si>
  <si>
    <t>ROSAS</t>
  </si>
  <si>
    <t>1337-ruteocentralizado@homedepot.com.mx</t>
  </si>
  <si>
    <t xml:space="preserve">8952020920661712009 </t>
  </si>
  <si>
    <t xml:space="preserve">linea en prestamo </t>
  </si>
  <si>
    <t>1337-Seguridad@Homedepot.com.mx</t>
  </si>
  <si>
    <t xml:space="preserve">8952020518612915414 </t>
  </si>
  <si>
    <t>BERENICE</t>
  </si>
  <si>
    <t>1337-trafic@homedepot.com.mx</t>
  </si>
  <si>
    <t xml:space="preserve">8952020924210297710 </t>
  </si>
  <si>
    <t>AUXILIAR DE SERVICIOS ESPECIALES, VENTAS INSTITUCIONALES Y SOPORTE</t>
  </si>
  <si>
    <t>1342-institsales@homedepot.com.mx</t>
  </si>
  <si>
    <t xml:space="preserve">8952020023144076967 </t>
  </si>
  <si>
    <t>EDITH AYDEE</t>
  </si>
  <si>
    <t xml:space="preserve">8952020023144076959 </t>
  </si>
  <si>
    <t>SALVADOR</t>
  </si>
  <si>
    <t>HILARIO</t>
  </si>
  <si>
    <t>1342-prodeskmgr@homedepot.com.mx</t>
  </si>
  <si>
    <t xml:space="preserve">8952020022340550114 </t>
  </si>
  <si>
    <t>860478063758764</t>
  </si>
  <si>
    <t>ALMA DELIA</t>
  </si>
  <si>
    <t>1342-prorep1@homedepot.com.mx</t>
  </si>
  <si>
    <t xml:space="preserve">8952020022340550130 </t>
  </si>
  <si>
    <t>860478063793944</t>
  </si>
  <si>
    <t>JUAN LUIS</t>
  </si>
  <si>
    <t>ORTEGA</t>
  </si>
  <si>
    <t>1342-prorep2@homedepot.com.mx</t>
  </si>
  <si>
    <t xml:space="preserve">8952020021444325126 </t>
  </si>
  <si>
    <t>860478062096778</t>
  </si>
  <si>
    <t>MARIA DEL CARMEN</t>
  </si>
  <si>
    <t>AMECA</t>
  </si>
  <si>
    <t>4038-delivery@homedepot.com.mx</t>
  </si>
  <si>
    <t>4038 - TIJUANA SANTA FE</t>
  </si>
  <si>
    <t xml:space="preserve">8952020920410343940 </t>
  </si>
  <si>
    <t>860900062336789</t>
  </si>
  <si>
    <t>JUAN ENRIQUE</t>
  </si>
  <si>
    <t>PACHECO</t>
  </si>
  <si>
    <t>4038-institsales@homedepot.com.mx</t>
  </si>
  <si>
    <t xml:space="preserve">8952020021111347288 </t>
  </si>
  <si>
    <t>358366320265633</t>
  </si>
  <si>
    <t>ALICIA LIZBETH</t>
  </si>
  <si>
    <t>4038-prodeskmgr@homedepot.com.mx</t>
  </si>
  <si>
    <t xml:space="preserve">8952020021111347106 </t>
  </si>
  <si>
    <t>860478060660724</t>
  </si>
  <si>
    <t>ADRIANA</t>
  </si>
  <si>
    <t>MORA</t>
  </si>
  <si>
    <t>COVARRUBIAS</t>
  </si>
  <si>
    <t>4038-prorep1@homedepot.com.mx</t>
  </si>
  <si>
    <t xml:space="preserve">8952020021111347080 </t>
  </si>
  <si>
    <t>860900062271119</t>
  </si>
  <si>
    <t>GUILLERMO ENRIQUE</t>
  </si>
  <si>
    <t>DAVALOS</t>
  </si>
  <si>
    <t>ZARATE</t>
  </si>
  <si>
    <t>4038-prorep2@homedepot.com.mx</t>
  </si>
  <si>
    <t xml:space="preserve">8952020021111347098 </t>
  </si>
  <si>
    <t>860900062256987</t>
  </si>
  <si>
    <t>MARRON</t>
  </si>
  <si>
    <t>ROJAS</t>
  </si>
  <si>
    <t>4038-storemgr@homedepot.com.mx</t>
  </si>
  <si>
    <t xml:space="preserve">8952020021111347130 </t>
  </si>
  <si>
    <t>CARMEN EDITH</t>
  </si>
  <si>
    <t>ARMENTA</t>
  </si>
  <si>
    <t>BORQUEZ</t>
  </si>
  <si>
    <t>4051-prodeskmgr@homedepot.com.mx</t>
  </si>
  <si>
    <t>4051 - SAN JOSE DEL CABO</t>
  </si>
  <si>
    <t xml:space="preserve">8952020924210297835 </t>
  </si>
  <si>
    <t>861383070408974</t>
  </si>
  <si>
    <t>GENERAL</t>
  </si>
  <si>
    <t>EDUARDO IVAN</t>
  </si>
  <si>
    <t>RAMON</t>
  </si>
  <si>
    <t>4051-storemgr@homedepot.com.mx</t>
  </si>
  <si>
    <t xml:space="preserve">8952020924210297850 </t>
  </si>
  <si>
    <t>354743528243022</t>
  </si>
  <si>
    <t>asignado ip14</t>
  </si>
  <si>
    <t>ISNEITH LOYALTEE</t>
  </si>
  <si>
    <t>VELASCO</t>
  </si>
  <si>
    <t>GERENCIA DE PROCESOS Y PRODUCTIVIDAD</t>
  </si>
  <si>
    <t>8061_GerenciaPyP@homedepot.com.mx</t>
  </si>
  <si>
    <t>8061 - MDC CIENEGA</t>
  </si>
  <si>
    <t xml:space="preserve">8952020021241727813 </t>
  </si>
  <si>
    <t>860900062335286</t>
  </si>
  <si>
    <t>ISIDRO</t>
  </si>
  <si>
    <t>FAVILA</t>
  </si>
  <si>
    <t>ALFARO</t>
  </si>
  <si>
    <t>COORDINACION DE TRANSPORTE</t>
  </si>
  <si>
    <t>8061-Atransport2@homedepot.com.mx</t>
  </si>
  <si>
    <t xml:space="preserve">8952020020340516614 </t>
  </si>
  <si>
    <t>860900062335120</t>
  </si>
  <si>
    <t>MAURICIO</t>
  </si>
  <si>
    <t>LUCAS</t>
  </si>
  <si>
    <t>JEFATURA DE CALIDAD</t>
  </si>
  <si>
    <t>8061-calidad@homedepot.com.mx</t>
  </si>
  <si>
    <t xml:space="preserve">8952020020340516861 </t>
  </si>
  <si>
    <t>860900062336078</t>
  </si>
  <si>
    <t>JOSE EDUVIEL</t>
  </si>
  <si>
    <t>COORDINACION DE EMBARQUES</t>
  </si>
  <si>
    <t>8061-consol@homedepot.com.mx</t>
  </si>
  <si>
    <t xml:space="preserve">8952020020340518289 </t>
  </si>
  <si>
    <t>860900062335591</t>
  </si>
  <si>
    <t>VICTOR HUGO</t>
  </si>
  <si>
    <t>COORDINACION DE PROG. DE RECIBOS</t>
  </si>
  <si>
    <t>8061-Coordinadoronline@homedepot.com.mx</t>
  </si>
  <si>
    <t xml:space="preserve">8952020221440704114 </t>
  </si>
  <si>
    <t xml:space="preserve">adelanto por daño del equipo </t>
  </si>
  <si>
    <t>KAREN LORENA</t>
  </si>
  <si>
    <t>ESPECIALISTA EMBARQUES RECOLECCION</t>
  </si>
  <si>
    <t>8061-hdelivery1@homedepot.com.mx</t>
  </si>
  <si>
    <t xml:space="preserve">8952020020340516275 </t>
  </si>
  <si>
    <t>860900062338140</t>
  </si>
  <si>
    <t>OMAR ADALBERTO</t>
  </si>
  <si>
    <t>VARGAS</t>
  </si>
  <si>
    <t>JEFATURA DE CONTROL DE INVENTARIO</t>
  </si>
  <si>
    <t>8061-HDELIVERY2@homedepot.com.mx</t>
  </si>
  <si>
    <t xml:space="preserve">8952020020340517034 </t>
  </si>
  <si>
    <t>860900062335971</t>
  </si>
  <si>
    <t>8061-Inventory1@homedepot.com.mx</t>
  </si>
  <si>
    <t xml:space="preserve">8952020020340516762 </t>
  </si>
  <si>
    <t>860900062336235</t>
  </si>
  <si>
    <t>8061-recruitment1@homedepot.com.mx</t>
  </si>
  <si>
    <t xml:space="preserve">8952020024241538446 </t>
  </si>
  <si>
    <t>ARTURO ALBERTO</t>
  </si>
  <si>
    <t>COORDINACION DE PTS</t>
  </si>
  <si>
    <t>8061-inventory3@homedepot.com.mx</t>
  </si>
  <si>
    <t xml:space="preserve">8952020221340824137 </t>
  </si>
  <si>
    <t>suspendido el 11/20/2025</t>
  </si>
  <si>
    <t>MARIO HUMBERTO</t>
  </si>
  <si>
    <t>RANGEL</t>
  </si>
  <si>
    <t>8061-humrec1@homedepot.com.mx</t>
  </si>
  <si>
    <t xml:space="preserve">8952020020340517133 </t>
  </si>
  <si>
    <t>860900062335906</t>
  </si>
  <si>
    <t>FRED</t>
  </si>
  <si>
    <t>TOVAR</t>
  </si>
  <si>
    <t>GUAJARDO</t>
  </si>
  <si>
    <t>COORDINACION DE MOVIMIENTOS</t>
  </si>
  <si>
    <t xml:space="preserve">8061-mantenimiento@homedepot.com.mx </t>
  </si>
  <si>
    <t>8061-kpi@homedepot.com.mx</t>
  </si>
  <si>
    <t xml:space="preserve">8952020020340516820 </t>
  </si>
  <si>
    <t>860900062338256</t>
  </si>
  <si>
    <t>RICARDO</t>
  </si>
  <si>
    <t>8061-operaciones1@homedepot.com.mx</t>
  </si>
  <si>
    <t xml:space="preserve">8952020021241727755 </t>
  </si>
  <si>
    <t>EDIT ESVEL</t>
  </si>
  <si>
    <t>LEAL</t>
  </si>
  <si>
    <t xml:space="preserve">8952020021241727763 </t>
  </si>
  <si>
    <t>DE LARA</t>
  </si>
  <si>
    <t xml:space="preserve">8952020221641341021 </t>
  </si>
  <si>
    <t>EDMUNDO</t>
  </si>
  <si>
    <t>NAVARRO</t>
  </si>
  <si>
    <t>PEINADO</t>
  </si>
  <si>
    <t>8061-Operaciones1@homedepot.com.mx</t>
  </si>
  <si>
    <t xml:space="preserve">8952020020340516838 </t>
  </si>
  <si>
    <t>860900062335112</t>
  </si>
  <si>
    <t>MIGUELINA</t>
  </si>
  <si>
    <t>ESPECIALISTA DE PROYECTOS (COMPRAS NO-MERCANCIAS)</t>
  </si>
  <si>
    <t>8061-planeacion@homedepot.com.mx</t>
  </si>
  <si>
    <t xml:space="preserve">8952020020340516770 </t>
  </si>
  <si>
    <t>860900062338041</t>
  </si>
  <si>
    <t>CECILIA ABIGAIL</t>
  </si>
  <si>
    <t>8061-recluitment2@homedepot.com.mx</t>
  </si>
  <si>
    <t>8061-recruitment2@homedepot.com.mx</t>
  </si>
  <si>
    <t xml:space="preserve">8952020022340550155 </t>
  </si>
  <si>
    <t>860900062335807</t>
  </si>
  <si>
    <t>8061-Transport1@homedepot.com.mx</t>
  </si>
  <si>
    <t>8061-Transport@homedepot.com.mx</t>
  </si>
  <si>
    <t xml:space="preserve">8952020020340516804 </t>
  </si>
  <si>
    <t>860900062335336</t>
  </si>
  <si>
    <t>DEVANY ALEJANDRA</t>
  </si>
  <si>
    <t>DON JUAN</t>
  </si>
  <si>
    <t>ESPECIALISTA DE PROTECCION DE ACTIVOS</t>
  </si>
  <si>
    <t>8061-security@homedepot.com.mx</t>
  </si>
  <si>
    <t xml:space="preserve">8952020020340517018 </t>
  </si>
  <si>
    <t>860900062336094</t>
  </si>
  <si>
    <t>ERIK DE JESUS</t>
  </si>
  <si>
    <t>CHAMPO</t>
  </si>
  <si>
    <t>JEFATURA DE SOPORTE A SISTEMAS LOGISTICOS</t>
  </si>
  <si>
    <t xml:space="preserve">8061-Security2@homedepot.com.mx </t>
  </si>
  <si>
    <t>8061-Security2@homedepot.com.mx</t>
  </si>
  <si>
    <t xml:space="preserve">8952020020340516853 </t>
  </si>
  <si>
    <t>860900062335856</t>
  </si>
  <si>
    <t>MIGUEL BRANDON</t>
  </si>
  <si>
    <t>8061-sistemsupport1@homedepot.com.mx</t>
  </si>
  <si>
    <t xml:space="preserve">8952020921544151464 </t>
  </si>
  <si>
    <t>860900062334891</t>
  </si>
  <si>
    <t>ANDRES</t>
  </si>
  <si>
    <t>MAYO</t>
  </si>
  <si>
    <t>LSC’S &amp; HUB’S PROCESS PRODUCTIVITY SPECIALIST</t>
  </si>
  <si>
    <t>8061-sistemsupport2@homedepot.com.mx</t>
  </si>
  <si>
    <t xml:space="preserve">8952020523140390395 </t>
  </si>
  <si>
    <t>860900062732466</t>
  </si>
  <si>
    <t>CESAR ALBERTO</t>
  </si>
  <si>
    <t>JUSTO</t>
  </si>
  <si>
    <t>8061-stock2@homedepot.com.mx</t>
  </si>
  <si>
    <t>8061-wms@homedepot.com.mx</t>
  </si>
  <si>
    <t xml:space="preserve">8952020020340516796 </t>
  </si>
  <si>
    <t>860900062335005</t>
  </si>
  <si>
    <t>VERONICA LIZBETH</t>
  </si>
  <si>
    <t>DE LUNA</t>
  </si>
  <si>
    <t>ESPECIALISTA DE RH</t>
  </si>
  <si>
    <t xml:space="preserve">8061-trainingr@homedepot.com.mx </t>
  </si>
  <si>
    <t>8061-trainingr@homedepot.com.mx</t>
  </si>
  <si>
    <t xml:space="preserve">8952020921544128116 </t>
  </si>
  <si>
    <t>ANGEL ALEJANDRO</t>
  </si>
  <si>
    <t>GALVAN</t>
  </si>
  <si>
    <t>GAMEZ</t>
  </si>
  <si>
    <t>GERENCIA DE TRANSPORTE</t>
  </si>
  <si>
    <t>8061-transport@homedepot.com.mx</t>
  </si>
  <si>
    <t xml:space="preserve">8952020021241728167 </t>
  </si>
  <si>
    <t>JEFATURA DE TRANSPORTE DIRECTO E INTERNACIONAL</t>
  </si>
  <si>
    <t>8061-Transport4@homedepot.com.mx</t>
  </si>
  <si>
    <t xml:space="preserve">8952020921544131441 </t>
  </si>
  <si>
    <t>860900062335187</t>
  </si>
  <si>
    <t>JOAQUIN</t>
  </si>
  <si>
    <t>SOTO</t>
  </si>
  <si>
    <t>VALDEZ</t>
  </si>
  <si>
    <t>ESPECIALISTA DE PROYECTOS TRANSPORTE</t>
  </si>
  <si>
    <t>8061-transport10@homedepot.com.mx</t>
  </si>
  <si>
    <t xml:space="preserve">8952020020340516630 </t>
  </si>
  <si>
    <t>860900062335864</t>
  </si>
  <si>
    <t>8061-transport4@homedepot.com.mx</t>
  </si>
  <si>
    <t xml:space="preserve">8952020924240664897 </t>
  </si>
  <si>
    <t>860900062338280</t>
  </si>
  <si>
    <t>EDUARDO</t>
  </si>
  <si>
    <t>AMAYA</t>
  </si>
  <si>
    <t>OLIVARES</t>
  </si>
  <si>
    <t xml:space="preserve">8952020020340516606 </t>
  </si>
  <si>
    <t>860900062335666</t>
  </si>
  <si>
    <t>ROBERTO CARLOS</t>
  </si>
  <si>
    <t>8082-prorep2@homedepot.com.mx</t>
  </si>
  <si>
    <t>8082 - ROSARITO</t>
  </si>
  <si>
    <t xml:space="preserve">8952020518614571603 </t>
  </si>
  <si>
    <t>860478064863175</t>
  </si>
  <si>
    <t>8061-WMS@homedepot.com.mx</t>
  </si>
  <si>
    <t xml:space="preserve">8952020020340516788 </t>
  </si>
  <si>
    <t>860900062338207</t>
  </si>
  <si>
    <t>DAVID SAMUEL</t>
  </si>
  <si>
    <t>BISAGRA</t>
  </si>
  <si>
    <t>8082-delivery@homedepot.com.mx</t>
  </si>
  <si>
    <t xml:space="preserve">8952020020411884891 </t>
  </si>
  <si>
    <t>860900062337159</t>
  </si>
  <si>
    <t>MARIA PAULA</t>
  </si>
  <si>
    <t>8082-institsales@homedepot.com.mx</t>
  </si>
  <si>
    <t xml:space="preserve">8952020319613447931 </t>
  </si>
  <si>
    <t>860900062337928</t>
  </si>
  <si>
    <t>ARAIZA</t>
  </si>
  <si>
    <t>8082-prodeskmgr@homedepot.com.mx</t>
  </si>
  <si>
    <t xml:space="preserve">8952020518614571017 </t>
  </si>
  <si>
    <t>860478064863241</t>
  </si>
  <si>
    <t>ISMAEL</t>
  </si>
  <si>
    <t>MARIACA</t>
  </si>
  <si>
    <t>8082-prorep1@homedepot.com.mx</t>
  </si>
  <si>
    <t xml:space="preserve">8952020518614571025 </t>
  </si>
  <si>
    <t>860478064863159</t>
  </si>
  <si>
    <t>RAFAEL</t>
  </si>
  <si>
    <t>8082-representantepyme@homedepot.com.mx</t>
  </si>
  <si>
    <t xml:space="preserve">8952020920410337850 </t>
  </si>
  <si>
    <t>JORGE ALONSO</t>
  </si>
  <si>
    <t>8082-ProRep3@homedepot.com.mx</t>
  </si>
  <si>
    <t xml:space="preserve">8952020319613447998 </t>
  </si>
  <si>
    <t>860900062338017</t>
  </si>
  <si>
    <t>JOSE GUADALUPE</t>
  </si>
  <si>
    <t>MELCHOR</t>
  </si>
  <si>
    <t>8085-delivery@homedepot.com.mx</t>
  </si>
  <si>
    <t>8085 - COATZACOALCOS</t>
  </si>
  <si>
    <t xml:space="preserve">8952020519371172130 </t>
  </si>
  <si>
    <t>860900062256508</t>
  </si>
  <si>
    <t>NAOMI VIOLETA</t>
  </si>
  <si>
    <t>8082-RepresentantePyme@homedepot.com.mx</t>
  </si>
  <si>
    <t xml:space="preserve">8952020518612915570 </t>
  </si>
  <si>
    <t>RESENDIZ</t>
  </si>
  <si>
    <t>8082-storemgr@homedepot.com.mx</t>
  </si>
  <si>
    <t xml:space="preserve">8952020920410337710 </t>
  </si>
  <si>
    <t>8085-institsales@homedepot.com.mx</t>
  </si>
  <si>
    <t xml:space="preserve">8952020519371172288 </t>
  </si>
  <si>
    <t>860900062256466</t>
  </si>
  <si>
    <t>GUADALUPE</t>
  </si>
  <si>
    <t>ALEMAN</t>
  </si>
  <si>
    <t>8085-ProRep1@homedepot.com.mx</t>
  </si>
  <si>
    <t xml:space="preserve">8952020217574554556 </t>
  </si>
  <si>
    <t>860478064845255</t>
  </si>
  <si>
    <t>SAIDEL JESUS</t>
  </si>
  <si>
    <t>8085-prodeskmgr@homedepot.com.mx</t>
  </si>
  <si>
    <t xml:space="preserve">8952020519371172734 </t>
  </si>
  <si>
    <t>860478064862078</t>
  </si>
  <si>
    <t>8085-ProRep2@homedepot.com.mx</t>
  </si>
  <si>
    <t xml:space="preserve">8952020519371172619 </t>
  </si>
  <si>
    <t>860478064845230</t>
  </si>
  <si>
    <t>MARIA SANDRA</t>
  </si>
  <si>
    <t>8088-Delivery@homedepot.com.mx</t>
  </si>
  <si>
    <t>8088 - QUERETARO SUR</t>
  </si>
  <si>
    <t xml:space="preserve">8952020520568819293 </t>
  </si>
  <si>
    <t>860900062256250</t>
  </si>
  <si>
    <t>MARIA KARINA</t>
  </si>
  <si>
    <t>8085-ProRep3@homedepot.com.mx</t>
  </si>
  <si>
    <t xml:space="preserve">8952020519371172601 </t>
  </si>
  <si>
    <t>860478064952184</t>
  </si>
  <si>
    <t>ADELFA MAYELY</t>
  </si>
  <si>
    <t>OROZCO</t>
  </si>
  <si>
    <t>PINEDA</t>
  </si>
  <si>
    <t>8085-Pyme@homedepot.com.mx</t>
  </si>
  <si>
    <t>8085-representantepyme@homedepot.com.mx</t>
  </si>
  <si>
    <t xml:space="preserve">8952020521270815959 </t>
  </si>
  <si>
    <t>DANIEL EDUARDO</t>
  </si>
  <si>
    <t>8085-storemgr@homedepot.com.mx</t>
  </si>
  <si>
    <t xml:space="preserve">8952020521270815827 </t>
  </si>
  <si>
    <t>MORENO</t>
  </si>
  <si>
    <t>JEFATURA DE RESURTIDO NOCTURNO</t>
  </si>
  <si>
    <t>8086-delivery@homedepot.com.mx</t>
  </si>
  <si>
    <t>8086 - TOLUCA</t>
  </si>
  <si>
    <t xml:space="preserve">8952020520498310355 </t>
  </si>
  <si>
    <t>860900062323167</t>
  </si>
  <si>
    <t>NATHALY VIRIDIANA</t>
  </si>
  <si>
    <t>TERCERO</t>
  </si>
  <si>
    <t>8086-institsales@homedepot.com.mx</t>
  </si>
  <si>
    <t xml:space="preserve">8952020520498310181 </t>
  </si>
  <si>
    <t>860900062323100</t>
  </si>
  <si>
    <t>EVELYN GUADALUPE</t>
  </si>
  <si>
    <t>BOBADILLA</t>
  </si>
  <si>
    <t>ARZATE</t>
  </si>
  <si>
    <t>8086-prodeskmgr@homedepot.com.mx</t>
  </si>
  <si>
    <t xml:space="preserve">8952020520498310850 </t>
  </si>
  <si>
    <t>860478062099343</t>
  </si>
  <si>
    <t>TOMAS DE LA CRUZ</t>
  </si>
  <si>
    <t>8086-ProRep1@homedepot.com.mx</t>
  </si>
  <si>
    <t xml:space="preserve">8952020520498310835 </t>
  </si>
  <si>
    <t>860478064067058</t>
  </si>
  <si>
    <t>ARLENT DEL CARMEN</t>
  </si>
  <si>
    <t>TRUJILLO</t>
  </si>
  <si>
    <t>8086-ProRep2@homedepot.com.mx</t>
  </si>
  <si>
    <t xml:space="preserve">8952020922295464676 </t>
  </si>
  <si>
    <t>860478062099384</t>
  </si>
  <si>
    <t>SAYRA MELISA</t>
  </si>
  <si>
    <t>OLIVO</t>
  </si>
  <si>
    <t>MACEDO</t>
  </si>
  <si>
    <t>8086-representantepyme@homedepot.com.mx</t>
  </si>
  <si>
    <t xml:space="preserve">8952020520498312724 </t>
  </si>
  <si>
    <t>860900062323506</t>
  </si>
  <si>
    <t>IVANOV</t>
  </si>
  <si>
    <t>8086-storemgr@homedepot.com.mx</t>
  </si>
  <si>
    <t xml:space="preserve">8952020021391851298 </t>
  </si>
  <si>
    <t xml:space="preserve">8952020223262310038 </t>
  </si>
  <si>
    <t>860900062258389</t>
  </si>
  <si>
    <t>JOSE ANDRES</t>
  </si>
  <si>
    <t>MONTALVO</t>
  </si>
  <si>
    <t>8626-ProRep2@homedepot.com.mx</t>
  </si>
  <si>
    <t>8626 - TLAXCALA</t>
  </si>
  <si>
    <t xml:space="preserve">8952020519371172452 </t>
  </si>
  <si>
    <t>860478063557604</t>
  </si>
  <si>
    <t>JESSICA PILAR</t>
  </si>
  <si>
    <t>ASOCIADO(A) DE ENTREGAS DIRECTAS HUBS</t>
  </si>
  <si>
    <t>8088-entregasdirectas@homedepot.com.mx</t>
  </si>
  <si>
    <t xml:space="preserve">8952020920661680792 </t>
  </si>
  <si>
    <t>BRAYAN ABEL</t>
  </si>
  <si>
    <t>BAÑOS</t>
  </si>
  <si>
    <t>8088-InstitSales@homedepot.com.mx</t>
  </si>
  <si>
    <t xml:space="preserve">8952020521663974660 </t>
  </si>
  <si>
    <t>860900062258173</t>
  </si>
  <si>
    <t>GILBERTO</t>
  </si>
  <si>
    <t>8088-ProRep1@homedepot.com.mx</t>
  </si>
  <si>
    <t xml:space="preserve">8952020521663979198 </t>
  </si>
  <si>
    <t>860478063794603</t>
  </si>
  <si>
    <t>KENIA IDALITH</t>
  </si>
  <si>
    <t>SOLANO</t>
  </si>
  <si>
    <t>GALLARDO</t>
  </si>
  <si>
    <t>8088-ProRep2@homedepot.com.mx</t>
  </si>
  <si>
    <t xml:space="preserve">8952020020165740646 </t>
  </si>
  <si>
    <t>860478063794322</t>
  </si>
  <si>
    <t>MARIA LUISA</t>
  </si>
  <si>
    <t>MALDONADO</t>
  </si>
  <si>
    <t>DAVILA</t>
  </si>
  <si>
    <t>8088-prorep3@homedepot.com.mx</t>
  </si>
  <si>
    <t xml:space="preserve">8952020521663974884 </t>
  </si>
  <si>
    <t>860478063794363</t>
  </si>
  <si>
    <t>VICTOR URIEL</t>
  </si>
  <si>
    <t>AGUILLON</t>
  </si>
  <si>
    <t>OLVERA</t>
  </si>
  <si>
    <t>8088-representantepyme@homedepot.com.mx</t>
  </si>
  <si>
    <t xml:space="preserve">8952020920661711910 </t>
  </si>
  <si>
    <t>JUAN ANTONIO</t>
  </si>
  <si>
    <t>CAMACHO</t>
  </si>
  <si>
    <t>8088-storemgr@homedepot.com.mx</t>
  </si>
  <si>
    <t xml:space="preserve">8952020920661711852 </t>
  </si>
  <si>
    <t>GERARDO ALONSO</t>
  </si>
  <si>
    <t>MENCHACA</t>
  </si>
  <si>
    <t>8094-delivery@homedepot.com.mx</t>
  </si>
  <si>
    <t>8094 - SENDERO</t>
  </si>
  <si>
    <t xml:space="preserve">8952020019348093824 </t>
  </si>
  <si>
    <t>860900062338728</t>
  </si>
  <si>
    <t>ESQUIVEL</t>
  </si>
  <si>
    <t xml:space="preserve">8952020020340516895 </t>
  </si>
  <si>
    <t>860900062337589</t>
  </si>
  <si>
    <t>CLAUDIA ELENA</t>
  </si>
  <si>
    <t>8094-institsales@homedepot.com.mx</t>
  </si>
  <si>
    <t xml:space="preserve">8952020019348093196 </t>
  </si>
  <si>
    <t>860900062337456</t>
  </si>
  <si>
    <t>ROGELIO</t>
  </si>
  <si>
    <t>8094-prodeskmgr@homedepot.com.mx</t>
  </si>
  <si>
    <t xml:space="preserve">8952020020340517216 </t>
  </si>
  <si>
    <t>860478062097578</t>
  </si>
  <si>
    <t>MARTIN DE JESUS</t>
  </si>
  <si>
    <t>8094-ProRep1@homedepot.com.mx</t>
  </si>
  <si>
    <t xml:space="preserve">8952020020340516200 </t>
  </si>
  <si>
    <t>860478060659718</t>
  </si>
  <si>
    <t>CYNTHIA YANETH</t>
  </si>
  <si>
    <t>AMADOR</t>
  </si>
  <si>
    <t>8094-prorep2@homedepot.com.mx</t>
  </si>
  <si>
    <t xml:space="preserve">8952020520544919308 </t>
  </si>
  <si>
    <t>MARIANA ESTHER</t>
  </si>
  <si>
    <t>DE LEON</t>
  </si>
  <si>
    <t>8094-pyme@homedepot.com.mx</t>
  </si>
  <si>
    <t xml:space="preserve">8952020020340517240 </t>
  </si>
  <si>
    <t>860900062334966</t>
  </si>
  <si>
    <t>8094-Storemgr@homedepot.com.mx</t>
  </si>
  <si>
    <t xml:space="preserve">8952020021241726575 </t>
  </si>
  <si>
    <t>ROBLEDO</t>
  </si>
  <si>
    <t>8626-delivery@homedepot.com.mx</t>
  </si>
  <si>
    <t xml:space="preserve">8952020519371172080 </t>
  </si>
  <si>
    <t>860900062338702</t>
  </si>
  <si>
    <t>MARTHA</t>
  </si>
  <si>
    <t>ORDAZ</t>
  </si>
  <si>
    <t>VASQUEZ</t>
  </si>
  <si>
    <t>8626-institsales@homedepot.com.mx</t>
  </si>
  <si>
    <t xml:space="preserve">8952020519371172155 </t>
  </si>
  <si>
    <t>860900062338751</t>
  </si>
  <si>
    <t>CRISTHIAN ISIDRO</t>
  </si>
  <si>
    <t>8626-prodeskmgr@homedepot.com.mx</t>
  </si>
  <si>
    <t xml:space="preserve">8952020519371172700 </t>
  </si>
  <si>
    <t>860478064952572</t>
  </si>
  <si>
    <t xml:space="preserve">El equipo anterior presentaba un error en la pantalla y se procedio a adelantar el adendum </t>
  </si>
  <si>
    <t>LAURA</t>
  </si>
  <si>
    <t>LINARES</t>
  </si>
  <si>
    <t>8626-ProRep1@homedepot.com.mx</t>
  </si>
  <si>
    <t xml:space="preserve">8952020519371172445 </t>
  </si>
  <si>
    <t>860478064978643</t>
  </si>
  <si>
    <t>Nombre no encontrado</t>
  </si>
  <si>
    <t>apellido Paterno no encontrado</t>
  </si>
  <si>
    <t>Apellido materno no encontrado</t>
  </si>
  <si>
    <t>Puesto no encontrado</t>
  </si>
  <si>
    <t>Direction no encontrada</t>
  </si>
  <si>
    <t>tienda no encontrada</t>
  </si>
  <si>
    <t>8647-PYME@HOMEDEPOT.COM.MX</t>
  </si>
  <si>
    <t>8647 - ARAGON</t>
  </si>
  <si>
    <t>No se encontró un centro de costos</t>
  </si>
  <si>
    <t xml:space="preserve">SUSPENDIDA </t>
  </si>
  <si>
    <t xml:space="preserve">8952020023494627021 </t>
  </si>
  <si>
    <t>860900062323456</t>
  </si>
  <si>
    <t>IBAÑEZ</t>
  </si>
  <si>
    <t>8626-storemgr@homedepot.com.mx</t>
  </si>
  <si>
    <t xml:space="preserve">8952020521270815843 </t>
  </si>
  <si>
    <t>DANIEL ALEJANDRO</t>
  </si>
  <si>
    <t>8628-delivery@homedepot.com.mx</t>
  </si>
  <si>
    <t>8628 - LA PAZ</t>
  </si>
  <si>
    <t xml:space="preserve">8952020319613447667 </t>
  </si>
  <si>
    <t>860900062336011</t>
  </si>
  <si>
    <t>LUZ VANEZA</t>
  </si>
  <si>
    <t>CADENA</t>
  </si>
  <si>
    <t>PIMENTEL</t>
  </si>
  <si>
    <t>8628-institsales@homedepot.com.mx</t>
  </si>
  <si>
    <t xml:space="preserve">8952020518614571181 </t>
  </si>
  <si>
    <t>860900062735600</t>
  </si>
  <si>
    <t>MARIA JESUS</t>
  </si>
  <si>
    <t>OJEDA</t>
  </si>
  <si>
    <t>8628-prodesk2@homedepot.com.mx</t>
  </si>
  <si>
    <t xml:space="preserve">8952020517510153110 </t>
  </si>
  <si>
    <t>860900062735659</t>
  </si>
  <si>
    <t>DINORA</t>
  </si>
  <si>
    <t>8628-prodeskmgr@homedepot.com.mx</t>
  </si>
  <si>
    <t xml:space="preserve">8952020518614571033 </t>
  </si>
  <si>
    <t>860478063598996</t>
  </si>
  <si>
    <t>DALI FABIOLA</t>
  </si>
  <si>
    <t>8628-prorep1@homedepot.com.mx</t>
  </si>
  <si>
    <t xml:space="preserve">8952020518614571058 </t>
  </si>
  <si>
    <t>860478063557505</t>
  </si>
  <si>
    <t>GABRIELA ALEJANDRA</t>
  </si>
  <si>
    <t>OCEGUERA</t>
  </si>
  <si>
    <t>PEÑA</t>
  </si>
  <si>
    <t>8628-ProRep2@homedepot.com.mx</t>
  </si>
  <si>
    <t xml:space="preserve">8952020518614571116 </t>
  </si>
  <si>
    <t>860478063598897</t>
  </si>
  <si>
    <t>ALMA MELIZA</t>
  </si>
  <si>
    <t>8628-representantepyme@homedepot.com.mx</t>
  </si>
  <si>
    <t xml:space="preserve">8952020920410337819 </t>
  </si>
  <si>
    <t>ARTURO ISSAC</t>
  </si>
  <si>
    <t>ALCARAZ</t>
  </si>
  <si>
    <t>RUELAS</t>
  </si>
  <si>
    <t>8628-Storemgr@homedepot.com.mx</t>
  </si>
  <si>
    <t xml:space="preserve">8952020920410337728 </t>
  </si>
  <si>
    <t>ADMINISTRADOR DE IMPLEMENTACIÓN DE PROYECTOS</t>
  </si>
  <si>
    <t>8635-delivery@homedepot.com.mx</t>
  </si>
  <si>
    <t>8635 - PUEBLA EAST</t>
  </si>
  <si>
    <t xml:space="preserve">8952020519371172262 </t>
  </si>
  <si>
    <t>860900062338769</t>
  </si>
  <si>
    <t>MAYRA WENDOLIN</t>
  </si>
  <si>
    <t>8635-institsales@homedepot.com.mx</t>
  </si>
  <si>
    <t xml:space="preserve">8952020217574554788 </t>
  </si>
  <si>
    <t>860900062321765</t>
  </si>
  <si>
    <t>JOSE ALFONSO</t>
  </si>
  <si>
    <t>SAMANO</t>
  </si>
  <si>
    <t>SOSA</t>
  </si>
  <si>
    <t>8635-prodeskmgr@homedepot.com.mx</t>
  </si>
  <si>
    <t>ventas8635@homedepot.com.mx</t>
  </si>
  <si>
    <t xml:space="preserve">8952020519371172361 </t>
  </si>
  <si>
    <t>860478064953075</t>
  </si>
  <si>
    <t>CALATAYUD</t>
  </si>
  <si>
    <t>CARO</t>
  </si>
  <si>
    <t>8635-ProRep1@homedepot.com.mx</t>
  </si>
  <si>
    <t xml:space="preserve">8952020519371172338 </t>
  </si>
  <si>
    <t>860478063558883</t>
  </si>
  <si>
    <t>8635-storemgr@homedepot.com.mx</t>
  </si>
  <si>
    <t xml:space="preserve">8952020521270815835 </t>
  </si>
  <si>
    <t>ANA YANINA</t>
  </si>
  <si>
    <t>8636-delivery@homedepot.com.mx</t>
  </si>
  <si>
    <t>8636 - TLAQUEPAQUE</t>
  </si>
  <si>
    <t xml:space="preserve">8952020020252232663 </t>
  </si>
  <si>
    <t>860900062254974</t>
  </si>
  <si>
    <t>SUSPENCION POR FALTA DE DATOS</t>
  </si>
  <si>
    <t>MARIA GABRIELA</t>
  </si>
  <si>
    <t>PANTOJA</t>
  </si>
  <si>
    <t>8636-institsales@homedepot.com.mx</t>
  </si>
  <si>
    <t xml:space="preserve">8952020020252232523 </t>
  </si>
  <si>
    <t>860900062256094</t>
  </si>
  <si>
    <t>LOREDO</t>
  </si>
  <si>
    <t>8636-prodeskmgr@homedepot.com.mx</t>
  </si>
  <si>
    <t xml:space="preserve">8952020020252232994 </t>
  </si>
  <si>
    <t>860478063758285</t>
  </si>
  <si>
    <t>WENDOLIN</t>
  </si>
  <si>
    <t>MONTES</t>
  </si>
  <si>
    <t>8636-ProRep1@homedepot.com.mx</t>
  </si>
  <si>
    <t xml:space="preserve">8952020020252233000 </t>
  </si>
  <si>
    <t>860478064809012</t>
  </si>
  <si>
    <t>ANGEL DE DIOS</t>
  </si>
  <si>
    <t>8636-ProRep2@homedepot.com.mx</t>
  </si>
  <si>
    <t xml:space="preserve">8952020020252232978 </t>
  </si>
  <si>
    <t>867353050248918</t>
  </si>
  <si>
    <t>2022-11-07</t>
  </si>
  <si>
    <t>2024-11-07</t>
  </si>
  <si>
    <t xml:space="preserve">TMSLE D 3000 VC 24M </t>
  </si>
  <si>
    <t>JOSE SALVADOR</t>
  </si>
  <si>
    <t>OCON</t>
  </si>
  <si>
    <t>8636-storemgr@homedepot.com.mx</t>
  </si>
  <si>
    <t xml:space="preserve">8952020520652193787 </t>
  </si>
  <si>
    <t>8637-delivery@homedepot.com.mx</t>
  </si>
  <si>
    <t>8637 - ECATEPEC</t>
  </si>
  <si>
    <t xml:space="preserve">8952020021391851041 </t>
  </si>
  <si>
    <t>860900062336698</t>
  </si>
  <si>
    <t>MARIANA</t>
  </si>
  <si>
    <t>8637-institsales@homedepot.com.mx</t>
  </si>
  <si>
    <t xml:space="preserve">8952020520498310520 </t>
  </si>
  <si>
    <t>860900062336458</t>
  </si>
  <si>
    <t>HURTADO</t>
  </si>
  <si>
    <t>8637-prodeskmgr@homedepot.com.mx</t>
  </si>
  <si>
    <t xml:space="preserve">8952020520498312260 </t>
  </si>
  <si>
    <t>860478060690564</t>
  </si>
  <si>
    <t>PUERTOS</t>
  </si>
  <si>
    <t>8637-prorep1@homedepot.com.mx</t>
  </si>
  <si>
    <t xml:space="preserve">8952020520498312450 </t>
  </si>
  <si>
    <t>860478062353260</t>
  </si>
  <si>
    <t>THELMA</t>
  </si>
  <si>
    <t>8637-ProRep2@homedepot.com.mx</t>
  </si>
  <si>
    <t xml:space="preserve">8952020520498310975 </t>
  </si>
  <si>
    <t>860478062365983</t>
  </si>
  <si>
    <t>FRANCISCO RAUL</t>
  </si>
  <si>
    <t>CALZADA</t>
  </si>
  <si>
    <t>8637-storemgr@homedepot.com.mx</t>
  </si>
  <si>
    <t xml:space="preserve">8952020021391851314 </t>
  </si>
  <si>
    <t>LUIS ANGEL</t>
  </si>
  <si>
    <t>8638-delivery@homedepot.com.mx</t>
  </si>
  <si>
    <t>8638 - PIEDRAS NEGRAS</t>
  </si>
  <si>
    <t xml:space="preserve">8952020021241727359 </t>
  </si>
  <si>
    <t xml:space="preserve">cambio antes de daniel araiza 8135513125 </t>
  </si>
  <si>
    <t>RAMOS</t>
  </si>
  <si>
    <t>8638-institsales@homedepot.com.mx</t>
  </si>
  <si>
    <t xml:space="preserve">8952020020340516713 </t>
  </si>
  <si>
    <t>860900062336672</t>
  </si>
  <si>
    <t>LUIS ALBERTO</t>
  </si>
  <si>
    <t>8638-prodeskmgr@homedepot.com.mx</t>
  </si>
  <si>
    <t xml:space="preserve">8952020020340516077 </t>
  </si>
  <si>
    <t>860478062096786</t>
  </si>
  <si>
    <t>JUAN JAVIER</t>
  </si>
  <si>
    <t>SONORA</t>
  </si>
  <si>
    <t>8638-ProRep1@homedepot.com.mx</t>
  </si>
  <si>
    <t xml:space="preserve">8952020020340516093 </t>
  </si>
  <si>
    <t>860478062096588</t>
  </si>
  <si>
    <t>OSCAR ANTONIO</t>
  </si>
  <si>
    <t>8638-ProRep2@homedepot.com.mx</t>
  </si>
  <si>
    <t xml:space="preserve">8952020020340516085 </t>
  </si>
  <si>
    <t>860478062096513</t>
  </si>
  <si>
    <t>LUIS ERICK</t>
  </si>
  <si>
    <t>GUZMAN</t>
  </si>
  <si>
    <t>8638-storemgr@homedepot.com.mx</t>
  </si>
  <si>
    <t xml:space="preserve">8952020021241727656 </t>
  </si>
  <si>
    <t>IVAN</t>
  </si>
  <si>
    <t>8639-delivery@homedepot.com.mx</t>
  </si>
  <si>
    <t>8639 - PUEBLA PERIFERICO</t>
  </si>
  <si>
    <t xml:space="preserve">8952020022279148070 </t>
  </si>
  <si>
    <t>860900062321971</t>
  </si>
  <si>
    <t>LILIA</t>
  </si>
  <si>
    <t>VENTURA</t>
  </si>
  <si>
    <t>8639-institsales@homedepot.com.mx</t>
  </si>
  <si>
    <t xml:space="preserve">8952020519371172023 </t>
  </si>
  <si>
    <t>860900062321492</t>
  </si>
  <si>
    <t>JOSE LUIS</t>
  </si>
  <si>
    <t>PEÑALOZA</t>
  </si>
  <si>
    <t>ESPARZA</t>
  </si>
  <si>
    <t>8639-prodeskmgr@homedepot.com.mx</t>
  </si>
  <si>
    <t xml:space="preserve">8952020519371172379 </t>
  </si>
  <si>
    <t>860478060033864</t>
  </si>
  <si>
    <t>BLANCA ESTHER</t>
  </si>
  <si>
    <t>TORIELLO</t>
  </si>
  <si>
    <t>SEGURA</t>
  </si>
  <si>
    <t>8639-ProRep1@homedepot.com.mx</t>
  </si>
  <si>
    <t xml:space="preserve">8952020519371172387 </t>
  </si>
  <si>
    <t>860478064969378</t>
  </si>
  <si>
    <t>JOSE ALONSO</t>
  </si>
  <si>
    <t>MACHADO</t>
  </si>
  <si>
    <t>DOLORES</t>
  </si>
  <si>
    <t>8639-ProRep2@homedepot.com.mx</t>
  </si>
  <si>
    <t xml:space="preserve">8952020220573850942 </t>
  </si>
  <si>
    <t>860478064978726</t>
  </si>
  <si>
    <t>MARIA DE LOURDES</t>
  </si>
  <si>
    <t>BRAVO</t>
  </si>
  <si>
    <t>8639-storemgr@homedepot.com.mx</t>
  </si>
  <si>
    <t xml:space="preserve">8952020521270815900 </t>
  </si>
  <si>
    <t>CORONA</t>
  </si>
  <si>
    <t>ASOCIADO(A) DE RECIBO</t>
  </si>
  <si>
    <t>8642-delivery@homedepot.com.mx</t>
  </si>
  <si>
    <t>8642 - URUAPAN</t>
  </si>
  <si>
    <t xml:space="preserve">8952020520652193696 </t>
  </si>
  <si>
    <t>860900062337860</t>
  </si>
  <si>
    <t>BERTHA ALICIA</t>
  </si>
  <si>
    <t>8642-institsales@homedepot.com.mx</t>
  </si>
  <si>
    <t xml:space="preserve">8952020020252232564 </t>
  </si>
  <si>
    <t>860900062336664</t>
  </si>
  <si>
    <t>8642-prodeskmgr@homedepot.com.mx</t>
  </si>
  <si>
    <t xml:space="preserve">8952020020252232861 </t>
  </si>
  <si>
    <t>860478064847228</t>
  </si>
  <si>
    <t>DANIEL</t>
  </si>
  <si>
    <t>MUJICA</t>
  </si>
  <si>
    <t>QUEVEDO</t>
  </si>
  <si>
    <t xml:space="preserve">8642-prorep1@homedepot.com.mx </t>
  </si>
  <si>
    <t>8642-ProRep1@homedepot.com.mx</t>
  </si>
  <si>
    <t xml:space="preserve">8952020518450639050 </t>
  </si>
  <si>
    <t>860478064166496</t>
  </si>
  <si>
    <t>JUAN CARLOS</t>
  </si>
  <si>
    <t>8642-prorep2@homedepot.com.mx</t>
  </si>
  <si>
    <t xml:space="preserve">8952020020252232887 </t>
  </si>
  <si>
    <t>860478064847236</t>
  </si>
  <si>
    <t>ROSARIO BRIGITTE</t>
  </si>
  <si>
    <t>8642-representantepyme@homedepot.com.mx</t>
  </si>
  <si>
    <t xml:space="preserve">8952020520652193969 </t>
  </si>
  <si>
    <t>EMMANUEL ALEJANDRO</t>
  </si>
  <si>
    <t>ESCALANTE</t>
  </si>
  <si>
    <t>8642-storemgr@homedepot.com.mx</t>
  </si>
  <si>
    <t xml:space="preserve">8952020520652193845 </t>
  </si>
  <si>
    <t>MANUEL DE JESUS</t>
  </si>
  <si>
    <t>LEE</t>
  </si>
  <si>
    <t>BERNAL</t>
  </si>
  <si>
    <t>8643-Delivery@homedepot.com.mx</t>
  </si>
  <si>
    <t>8643 - GUADALAJARA OBLATOS</t>
  </si>
  <si>
    <t xml:space="preserve">8952020020252232697 </t>
  </si>
  <si>
    <t>860900062254982</t>
  </si>
  <si>
    <t>JUANA ELIZABETH</t>
  </si>
  <si>
    <t xml:space="preserve">8643-institsales@homedepot.com.mx </t>
  </si>
  <si>
    <t>8643-institsales@homedepot.com.mx</t>
  </si>
  <si>
    <t xml:space="preserve">8952020020252232689 </t>
  </si>
  <si>
    <t>860900062256086</t>
  </si>
  <si>
    <t>JOSE CRUZ</t>
  </si>
  <si>
    <t>SEPULVEDA</t>
  </si>
  <si>
    <t>8643-prodeskmgr@homedepot.com.mx</t>
  </si>
  <si>
    <t xml:space="preserve">8952020020252233109 </t>
  </si>
  <si>
    <t>860478063794728</t>
  </si>
  <si>
    <t>GONZALO IVAN</t>
  </si>
  <si>
    <t>8643-ProRep1@homedepot.com.mx</t>
  </si>
  <si>
    <t xml:space="preserve">8952020518450626461 </t>
  </si>
  <si>
    <t>860478063794694</t>
  </si>
  <si>
    <t>LEONARDO MIGUEL ANGEL</t>
  </si>
  <si>
    <t>8643-storemgr@homedepot.com.mx</t>
  </si>
  <si>
    <t xml:space="preserve">8952020520652193779 </t>
  </si>
  <si>
    <t>BRIONES</t>
  </si>
  <si>
    <t>8644-delivery@homedepot.com.mx</t>
  </si>
  <si>
    <t>8644 - MATAMOROS</t>
  </si>
  <si>
    <t xml:space="preserve">8952020021241726799 </t>
  </si>
  <si>
    <t>860900062334875</t>
  </si>
  <si>
    <t>IRIS JAZMIN</t>
  </si>
  <si>
    <t>FRIAS</t>
  </si>
  <si>
    <t>8644-institsales@homedepot.com.mx</t>
  </si>
  <si>
    <t xml:space="preserve">8952020219543670224 </t>
  </si>
  <si>
    <t>860900062334859</t>
  </si>
  <si>
    <t xml:space="preserve">se aplico descuento de nomina </t>
  </si>
  <si>
    <t>ANGELICA ELIZABETH</t>
  </si>
  <si>
    <t>VILLASAIS</t>
  </si>
  <si>
    <t>8644-prodeskmgr@homedepot.com.mx</t>
  </si>
  <si>
    <t xml:space="preserve">8952020020340516051 </t>
  </si>
  <si>
    <t>860900062337142</t>
  </si>
  <si>
    <t>RUPERTO</t>
  </si>
  <si>
    <t>8644-ProRep1@homedepot.com.mx</t>
  </si>
  <si>
    <t xml:space="preserve">8952020020340516069 </t>
  </si>
  <si>
    <t>860478062096752</t>
  </si>
  <si>
    <t>RENE EMMANUEL</t>
  </si>
  <si>
    <t>8644-ProRep2@homedepot.com.mx</t>
  </si>
  <si>
    <t xml:space="preserve">8952020020340516044 </t>
  </si>
  <si>
    <t>860478062096802</t>
  </si>
  <si>
    <t>MARIO</t>
  </si>
  <si>
    <t>MEJIA</t>
  </si>
  <si>
    <t>AUXILIAR DE SERVICIOS ESPECIALES Y VENTAS INSTITUCIONALES</t>
  </si>
  <si>
    <t>8644-representantepyme@homedepot.com.mx</t>
  </si>
  <si>
    <t xml:space="preserve">8952020021241728035 </t>
  </si>
  <si>
    <t>CHRISTIAN FERNANDO</t>
  </si>
  <si>
    <t>URREA</t>
  </si>
  <si>
    <t>8644-storemgr@homedepot.com.mx</t>
  </si>
  <si>
    <t xml:space="preserve">8952020021241727649 </t>
  </si>
  <si>
    <t>ARMANDO</t>
  </si>
  <si>
    <t>PASCUAL</t>
  </si>
  <si>
    <t>8645-delivery@homedepot.com.mx</t>
  </si>
  <si>
    <t>8645 - TECAMAC</t>
  </si>
  <si>
    <t xml:space="preserve">8952020023195128543 </t>
  </si>
  <si>
    <t>CLAUDIA IVET</t>
  </si>
  <si>
    <t>TALAVERA</t>
  </si>
  <si>
    <t>8645-institsales@homedepot.com.mx</t>
  </si>
  <si>
    <t xml:space="preserve">8952020221496819980 </t>
  </si>
  <si>
    <t>860900062323514</t>
  </si>
  <si>
    <t>JESUS EMMANUEL</t>
  </si>
  <si>
    <t>YESCAS</t>
  </si>
  <si>
    <t>BENITEZ</t>
  </si>
  <si>
    <t>8645-prodeskmgr@homedepot.com.mx</t>
  </si>
  <si>
    <t xml:space="preserve">8952020520498312385 </t>
  </si>
  <si>
    <t>860478060182190</t>
  </si>
  <si>
    <t>JONATHAN</t>
  </si>
  <si>
    <t>8645-prorep1@homedepot.com.mx</t>
  </si>
  <si>
    <t xml:space="preserve">8952020520498312476 </t>
  </si>
  <si>
    <t>860478064064824</t>
  </si>
  <si>
    <t>DAVID ISRAEL</t>
  </si>
  <si>
    <t>CASTULO</t>
  </si>
  <si>
    <t>8645-ProRep2@homedepot.com.mx</t>
  </si>
  <si>
    <t xml:space="preserve">8952020520498310801 </t>
  </si>
  <si>
    <t>860478063741471</t>
  </si>
  <si>
    <t>IRMA</t>
  </si>
  <si>
    <t>APOLONIO</t>
  </si>
  <si>
    <t>8645-representantepyme@homedepot.com.mx</t>
  </si>
  <si>
    <t xml:space="preserve">8952020520498312708 </t>
  </si>
  <si>
    <t>860900062335989</t>
  </si>
  <si>
    <t>MARIA MAGDALENA</t>
  </si>
  <si>
    <t>IZQUIERDO</t>
  </si>
  <si>
    <t>8645-storemgr@homedepot.com.mx</t>
  </si>
  <si>
    <t xml:space="preserve">8952020021391851504 </t>
  </si>
  <si>
    <t>CANIZAL</t>
  </si>
  <si>
    <t>8646-delivery@homedepot.com.mx</t>
  </si>
  <si>
    <t>8646 - CUAUTLA</t>
  </si>
  <si>
    <t xml:space="preserve">8952020520498310686 </t>
  </si>
  <si>
    <t>860900062238720</t>
  </si>
  <si>
    <t>MACEDA</t>
  </si>
  <si>
    <t>8646-institsales@homedepot.com.mx</t>
  </si>
  <si>
    <t xml:space="preserve">8952020520498310223 </t>
  </si>
  <si>
    <t>860900062238977</t>
  </si>
  <si>
    <t>CASORLA</t>
  </si>
  <si>
    <t>ARENAS</t>
  </si>
  <si>
    <t>8646-prodeskmgr@homedepot.com.mx</t>
  </si>
  <si>
    <t xml:space="preserve">8952020520498312419 </t>
  </si>
  <si>
    <t>860478063794587</t>
  </si>
  <si>
    <t>8646-prorep2@homedepot.com.mx</t>
  </si>
  <si>
    <t xml:space="preserve">8952020520498312625 </t>
  </si>
  <si>
    <t>860478063794496</t>
  </si>
  <si>
    <t>IVAN MIGUEL</t>
  </si>
  <si>
    <t>8646-representantepyme@homedepot.com.mx</t>
  </si>
  <si>
    <t xml:space="preserve">8952020520498312716 </t>
  </si>
  <si>
    <t>860900062238746</t>
  </si>
  <si>
    <t>MELINA ISABEL</t>
  </si>
  <si>
    <t>SOLOZABAL</t>
  </si>
  <si>
    <t>LEZAMA</t>
  </si>
  <si>
    <t xml:space="preserve">8952020520498312732 </t>
  </si>
  <si>
    <t>860900062256649</t>
  </si>
  <si>
    <t>ABRAHAM</t>
  </si>
  <si>
    <t>TORRALBA</t>
  </si>
  <si>
    <t>8646-salesrep@homedepot.com.mx</t>
  </si>
  <si>
    <t>8646-prorep1@homedepot.com.mx</t>
  </si>
  <si>
    <t xml:space="preserve">8952020520498312542 </t>
  </si>
  <si>
    <t>860478063757964</t>
  </si>
  <si>
    <t>CARLOS</t>
  </si>
  <si>
    <t>ACOSTA</t>
  </si>
  <si>
    <t>PITONES</t>
  </si>
  <si>
    <t>8646-storemgr@homedepot.com.mx</t>
  </si>
  <si>
    <t xml:space="preserve">8952020021391851454 </t>
  </si>
  <si>
    <t>CARMEN LETICIA</t>
  </si>
  <si>
    <t>MONASTERIO</t>
  </si>
  <si>
    <t>8647-delivery@homedepot.com.mx</t>
  </si>
  <si>
    <t xml:space="preserve">8952020520498310314 </t>
  </si>
  <si>
    <t>860900062323126</t>
  </si>
  <si>
    <t>GRACIDA</t>
  </si>
  <si>
    <t>8647-institsales@homedepot.com.mx</t>
  </si>
  <si>
    <t xml:space="preserve">8952020520498310454 </t>
  </si>
  <si>
    <t>860900062323118</t>
  </si>
  <si>
    <t>IRENE</t>
  </si>
  <si>
    <t>ESCUTIA</t>
  </si>
  <si>
    <t>8647-prodeskmgr@homedepot.com.mx</t>
  </si>
  <si>
    <t xml:space="preserve">8952020520498310751 </t>
  </si>
  <si>
    <t>860478063794249</t>
  </si>
  <si>
    <t>JUAN RICARDO</t>
  </si>
  <si>
    <t>ZAMORA</t>
  </si>
  <si>
    <t>8647-ProRep2@homedepot.com.mx</t>
  </si>
  <si>
    <t>8747 - IZTAPALAPA</t>
  </si>
  <si>
    <t xml:space="preserve">8952020520693922756 </t>
  </si>
  <si>
    <t>860478060203426</t>
  </si>
  <si>
    <t>JESUS ORLANDO</t>
  </si>
  <si>
    <t>BUSTOS</t>
  </si>
  <si>
    <t>GERENCIA DE PLANEACIÓN OPERATIVA MDC</t>
  </si>
  <si>
    <t>8061-manager@homedepot.com.mx</t>
  </si>
  <si>
    <t xml:space="preserve">8952020021241727417 </t>
  </si>
  <si>
    <t>NAJERA</t>
  </si>
  <si>
    <t>8648-delivery@homedepot.com.mx</t>
  </si>
  <si>
    <t>8648 - LOS REYES</t>
  </si>
  <si>
    <t xml:space="preserve">8952020520498310330 </t>
  </si>
  <si>
    <t>860900062323449</t>
  </si>
  <si>
    <t>SANDRA PAZ</t>
  </si>
  <si>
    <t>8648-institsales@homedepot.com.mx</t>
  </si>
  <si>
    <t xml:space="preserve">8952020520498310553 </t>
  </si>
  <si>
    <t>860900062319611</t>
  </si>
  <si>
    <t>DIANA LIDIA</t>
  </si>
  <si>
    <t>8648-prodeskmgr@homedepot.com.mx</t>
  </si>
  <si>
    <t xml:space="preserve">8952020520498310942 </t>
  </si>
  <si>
    <t>860478064859843</t>
  </si>
  <si>
    <t>ALLAN HORACIO</t>
  </si>
  <si>
    <t>AVILES</t>
  </si>
  <si>
    <t>8648-ProRep1@homedepot.com.mx</t>
  </si>
  <si>
    <t xml:space="preserve">8952020520498312013 </t>
  </si>
  <si>
    <t>860478064859660</t>
  </si>
  <si>
    <t>RAQUEL HANVIULT</t>
  </si>
  <si>
    <t>BETANZOS</t>
  </si>
  <si>
    <t>8648-ProRep2@homedepot.com.mx</t>
  </si>
  <si>
    <t xml:space="preserve">8952020520498312138 </t>
  </si>
  <si>
    <t>860478064949586</t>
  </si>
  <si>
    <t>8648-representantepyme@homedepot.com.mx</t>
  </si>
  <si>
    <t xml:space="preserve">8952020021391851694 </t>
  </si>
  <si>
    <t>865356065728917</t>
  </si>
  <si>
    <t>8648-storemgr@homedepot.com.mx</t>
  </si>
  <si>
    <t xml:space="preserve">8952020023195128220 </t>
  </si>
  <si>
    <t>355241448162967</t>
  </si>
  <si>
    <t>iPhone 15 (128 GB Black)</t>
  </si>
  <si>
    <t>JOSE ALBERTO</t>
  </si>
  <si>
    <t>8649-delivery@homedepot.com.mx</t>
  </si>
  <si>
    <t>8649 - SAN JUAN DEL RIO</t>
  </si>
  <si>
    <t xml:space="preserve">8952020622460892715 </t>
  </si>
  <si>
    <t>860900062258199</t>
  </si>
  <si>
    <t>ANIBAL SEBASTIAN</t>
  </si>
  <si>
    <t>8649-institsales@homedepot.com.mx</t>
  </si>
  <si>
    <t xml:space="preserve">8952020020165698695 </t>
  </si>
  <si>
    <t>860900062257696</t>
  </si>
  <si>
    <t>ERIKA</t>
  </si>
  <si>
    <t>8649-prodeskmgr@homedepot.com.mx</t>
  </si>
  <si>
    <t xml:space="preserve">8952020020165699255 </t>
  </si>
  <si>
    <t>860900062255948</t>
  </si>
  <si>
    <t>OSCAR DANIEL</t>
  </si>
  <si>
    <t>CERERO</t>
  </si>
  <si>
    <t>8649-ProRep1@homedepot.com.mx</t>
  </si>
  <si>
    <t xml:space="preserve">8952020020165699263 </t>
  </si>
  <si>
    <t>860478062096877</t>
  </si>
  <si>
    <t>EDGAR</t>
  </si>
  <si>
    <t>8649-storemgr@homedepot.com.mx</t>
  </si>
  <si>
    <t xml:space="preserve">8952020920661711860 </t>
  </si>
  <si>
    <t>ROBERTO JAVIER</t>
  </si>
  <si>
    <t>8651-delivery@homedepot.com.mx</t>
  </si>
  <si>
    <t>8651 - NOGALES</t>
  </si>
  <si>
    <t xml:space="preserve">8952020920521859669 </t>
  </si>
  <si>
    <t>860900062338066</t>
  </si>
  <si>
    <t>ALMA PAULA</t>
  </si>
  <si>
    <t>ROQUE</t>
  </si>
  <si>
    <t>MARCIAL</t>
  </si>
  <si>
    <t>8651-institsales@homedepot.com.mx</t>
  </si>
  <si>
    <t xml:space="preserve">8952020518621903187 </t>
  </si>
  <si>
    <t>860900062337183</t>
  </si>
  <si>
    <t>JOSE ANGEL</t>
  </si>
  <si>
    <t>BURGOS</t>
  </si>
  <si>
    <t>8651-prodeskmgr@homedepot.com.mx</t>
  </si>
  <si>
    <t xml:space="preserve">8952020920120906556 </t>
  </si>
  <si>
    <t>860478064863266</t>
  </si>
  <si>
    <t>MAYOLA</t>
  </si>
  <si>
    <t>OLTEHUA</t>
  </si>
  <si>
    <t>8651-prorep1@homedepot.com.mx</t>
  </si>
  <si>
    <t xml:space="preserve">8952020520522112207 </t>
  </si>
  <si>
    <t>860478064953059</t>
  </si>
  <si>
    <t>PEDRO LUIS</t>
  </si>
  <si>
    <t>8651-ProRep2@homedepot.com.mx</t>
  </si>
  <si>
    <t xml:space="preserve">8952020518621915934 </t>
  </si>
  <si>
    <t>860478064863274</t>
  </si>
  <si>
    <t>LUIS ENRIQUE</t>
  </si>
  <si>
    <t>8651-storemgr@homedepot.com.mx</t>
  </si>
  <si>
    <t xml:space="preserve">8952020520522107777 </t>
  </si>
  <si>
    <t>ALFREDO</t>
  </si>
  <si>
    <t>8652-delivery@homedepot.com.mx</t>
  </si>
  <si>
    <t>8652 - GARZA GARCIA</t>
  </si>
  <si>
    <t xml:space="preserve">8952020020340516937 </t>
  </si>
  <si>
    <t>860900062337407</t>
  </si>
  <si>
    <t>ADRIAN GERARDO</t>
  </si>
  <si>
    <t>CHAVOYA</t>
  </si>
  <si>
    <t>8652-institsales@homedepot.com.mx</t>
  </si>
  <si>
    <t xml:space="preserve">8952020020340516598 </t>
  </si>
  <si>
    <t>860900062336201</t>
  </si>
  <si>
    <t>JORGE ALBERTO</t>
  </si>
  <si>
    <t>DE LOS SANTOS</t>
  </si>
  <si>
    <t>8652-prodeskmgr@homedepot.com.mx</t>
  </si>
  <si>
    <t>Ventas8652@homedepot.com.mx</t>
  </si>
  <si>
    <t xml:space="preserve">8952020020340515806 </t>
  </si>
  <si>
    <t>860478062096604</t>
  </si>
  <si>
    <t>MARICELA</t>
  </si>
  <si>
    <t>8652-ProRep1@homedepot.com.mx</t>
  </si>
  <si>
    <t xml:space="preserve">8952020020340517208 </t>
  </si>
  <si>
    <t>860478060690366</t>
  </si>
  <si>
    <t>MAR</t>
  </si>
  <si>
    <t>8652-storemgr@homedepot.com.mx</t>
  </si>
  <si>
    <t xml:space="preserve">8952020021241726609 </t>
  </si>
  <si>
    <t>JESUS DAVID</t>
  </si>
  <si>
    <t>JORDAN</t>
  </si>
  <si>
    <t>8653-delivery@homedepot.com.mx</t>
  </si>
  <si>
    <t>8653 - MONCLOVA</t>
  </si>
  <si>
    <t xml:space="preserve">8952020020340517026 </t>
  </si>
  <si>
    <t>860900062319165</t>
  </si>
  <si>
    <t>JOSE SOCORRO</t>
  </si>
  <si>
    <t>LONGORIA</t>
  </si>
  <si>
    <t>8653-institsales@homedepot.com.mx</t>
  </si>
  <si>
    <t xml:space="preserve">8952020518141772104 </t>
  </si>
  <si>
    <t>860900062337498</t>
  </si>
  <si>
    <t>ANA KAREN</t>
  </si>
  <si>
    <t>VERDUZCO</t>
  </si>
  <si>
    <t>8653-prodeskmgr@homedepot.com.mx</t>
  </si>
  <si>
    <t xml:space="preserve">8952020020340516036 </t>
  </si>
  <si>
    <t>860478063821877</t>
  </si>
  <si>
    <t>TAMARA ALEJANDRA</t>
  </si>
  <si>
    <t>8653-ProRep1@homedepot.com.mx</t>
  </si>
  <si>
    <t xml:space="preserve">8952020020340516028 </t>
  </si>
  <si>
    <t>860478064985317</t>
  </si>
  <si>
    <t>8653-ProRep2@homedepot.com.mx</t>
  </si>
  <si>
    <t xml:space="preserve">8952020020340516010 </t>
  </si>
  <si>
    <t>860478064985374</t>
  </si>
  <si>
    <t>EDITH VALENTINA</t>
  </si>
  <si>
    <t>CASTELLANOS</t>
  </si>
  <si>
    <t>SUPERVISOR(A) DE CAJAS</t>
  </si>
  <si>
    <t>8653-representantepyme@homedepot.com.mx</t>
  </si>
  <si>
    <t>8653-pyme@homedepot.com.mx</t>
  </si>
  <si>
    <t xml:space="preserve">8952020021241728043 </t>
  </si>
  <si>
    <t>JOSE HUMBERTO</t>
  </si>
  <si>
    <t>SALAS</t>
  </si>
  <si>
    <t>8653-storemgr@homedepot.com.mx</t>
  </si>
  <si>
    <t xml:space="preserve">8952020021241727631 </t>
  </si>
  <si>
    <t>VALENZUELA</t>
  </si>
  <si>
    <t>8654-delivery@homedepot.com.mx</t>
  </si>
  <si>
    <t>8654 - GUAYMAS</t>
  </si>
  <si>
    <t xml:space="preserve">8952020518621903153 </t>
  </si>
  <si>
    <t>860900062337886</t>
  </si>
  <si>
    <t>DEYNA MELISSA</t>
  </si>
  <si>
    <t>MUNGUIA</t>
  </si>
  <si>
    <t>8654-institsales@homedepot.com.mx</t>
  </si>
  <si>
    <t xml:space="preserve">8952020518621903179 </t>
  </si>
  <si>
    <t>860900062338058</t>
  </si>
  <si>
    <t>MANUEL</t>
  </si>
  <si>
    <t>DUARTES</t>
  </si>
  <si>
    <t>8654-prodeskmgr@homedepot.com.mx</t>
  </si>
  <si>
    <t xml:space="preserve">8952020920120906507 </t>
  </si>
  <si>
    <t>860478064950683</t>
  </si>
  <si>
    <t>EDGAR OMAR</t>
  </si>
  <si>
    <t>8654-ProRep1@homedepot.com.mx</t>
  </si>
  <si>
    <t xml:space="preserve">8952020920120906515 </t>
  </si>
  <si>
    <t>860478064951129</t>
  </si>
  <si>
    <t>MARIA KARLA</t>
  </si>
  <si>
    <t>SOBERANES</t>
  </si>
  <si>
    <t>8654-ProRep2@homedepot.com.mx</t>
  </si>
  <si>
    <t xml:space="preserve">8952020320520419401 </t>
  </si>
  <si>
    <t>860478064864132</t>
  </si>
  <si>
    <t>ICEDO</t>
  </si>
  <si>
    <t>8654-representantepyme@homedepot.com.mx</t>
  </si>
  <si>
    <t>8654-pyme@homedepot.com.mx</t>
  </si>
  <si>
    <t xml:space="preserve">8952020520522107884 </t>
  </si>
  <si>
    <t xml:space="preserve">No se configuro en la reno </t>
  </si>
  <si>
    <t>8654-storemgr@homedepot.com.mx</t>
  </si>
  <si>
    <t xml:space="preserve">8952020520522107769 </t>
  </si>
  <si>
    <t>AMEZCUA</t>
  </si>
  <si>
    <t>8656-delivery@homedepot.com.mx</t>
  </si>
  <si>
    <t>8656 - ZAMORA</t>
  </si>
  <si>
    <t xml:space="preserve">8952020020252232713 </t>
  </si>
  <si>
    <t>860900062335179</t>
  </si>
  <si>
    <t>MARIA ELENA</t>
  </si>
  <si>
    <t>8656-institsales@homedepot.com.mx</t>
  </si>
  <si>
    <t xml:space="preserve">8952020020252232549 </t>
  </si>
  <si>
    <t>860900062256912</t>
  </si>
  <si>
    <t>ALMA GABRIELA</t>
  </si>
  <si>
    <t>ZAMBRANO</t>
  </si>
  <si>
    <t>MACIEL</t>
  </si>
  <si>
    <t>8656-prodeks@homedepot.com.mx</t>
  </si>
  <si>
    <t>8656-ProRep1@homedepot.com.mx</t>
  </si>
  <si>
    <t xml:space="preserve">8952020023557066182 </t>
  </si>
  <si>
    <t>865356065670010</t>
  </si>
  <si>
    <t xml:space="preserve">PEMPRESA 3 D 12VC   </t>
  </si>
  <si>
    <t>renovación a especialista</t>
  </si>
  <si>
    <t>MARIO ALBERTO</t>
  </si>
  <si>
    <t>RUVALCABA</t>
  </si>
  <si>
    <t>8656-prodeskmgr@homedepot.com.mx</t>
  </si>
  <si>
    <t>ventas8656@homedepot.com.mx</t>
  </si>
  <si>
    <t xml:space="preserve">8952020617652987281 </t>
  </si>
  <si>
    <t>860478064646489</t>
  </si>
  <si>
    <t>GARIBAY</t>
  </si>
  <si>
    <t xml:space="preserve">8952020020252233018 </t>
  </si>
  <si>
    <t>860478064847384</t>
  </si>
  <si>
    <t xml:space="preserve">este equipo a cambiar con el del prorep 1 </t>
  </si>
  <si>
    <t>RAUL</t>
  </si>
  <si>
    <t>8656-storemgr@homedepot.com.mx</t>
  </si>
  <si>
    <t xml:space="preserve">8952020520652193852 </t>
  </si>
  <si>
    <t>MAYRA ELIZABETH</t>
  </si>
  <si>
    <t>8657-delivery@homedepot.com.mx</t>
  </si>
  <si>
    <t>8657 - MANZANILLO</t>
  </si>
  <si>
    <t xml:space="preserve">8952020020252233182 </t>
  </si>
  <si>
    <t>860900062254495</t>
  </si>
  <si>
    <t>RUBEN DAVID</t>
  </si>
  <si>
    <t>RUANOVA</t>
  </si>
  <si>
    <t>8657-institsales@homedepot.com.mx</t>
  </si>
  <si>
    <t xml:space="preserve">8952020020252232630 </t>
  </si>
  <si>
    <t>860900062255807</t>
  </si>
  <si>
    <t>MARYSOL VIRGINIA</t>
  </si>
  <si>
    <t>CARDENAS</t>
  </si>
  <si>
    <t>8657-prodesk1@homedepot.com.mx</t>
  </si>
  <si>
    <t xml:space="preserve">8952020218452406125 </t>
  </si>
  <si>
    <t>8657-prodeskmgr@homedepot.com.mx</t>
  </si>
  <si>
    <t xml:space="preserve">8952020020252232788 </t>
  </si>
  <si>
    <t>860478064809400</t>
  </si>
  <si>
    <t>FELICIANO</t>
  </si>
  <si>
    <t>8657-ProRep1@homedepot.com.mx</t>
  </si>
  <si>
    <t xml:space="preserve">8952020020252232796 </t>
  </si>
  <si>
    <t>860478063793548</t>
  </si>
  <si>
    <t>8657-storemgr@homedepot.com.mx</t>
  </si>
  <si>
    <t xml:space="preserve">8952020520652193753 </t>
  </si>
  <si>
    <t>8658-delivery@homedepot.com.mx</t>
  </si>
  <si>
    <t>8658 - CORDOBA</t>
  </si>
  <si>
    <t xml:space="preserve">8952020519371172254 </t>
  </si>
  <si>
    <t>860900062338777</t>
  </si>
  <si>
    <t>8658-institsales@homedepot.com.mx</t>
  </si>
  <si>
    <t xml:space="preserve">8952020022279157402 </t>
  </si>
  <si>
    <t>860900062321856</t>
  </si>
  <si>
    <t>GERSON</t>
  </si>
  <si>
    <t>8658-prodeskmgr@homedepot.com.mx</t>
  </si>
  <si>
    <t xml:space="preserve">8952020519371172353 </t>
  </si>
  <si>
    <t>860478064953042</t>
  </si>
  <si>
    <t xml:space="preserve">cargo al centro costos por daño del equipo </t>
  </si>
  <si>
    <t>IVONNE ARACELI</t>
  </si>
  <si>
    <t>8658-ProRep1@homedepot.com.mx</t>
  </si>
  <si>
    <t xml:space="preserve">8952020519371172486 </t>
  </si>
  <si>
    <t>860478062377731</t>
  </si>
  <si>
    <t>MARYCARMEN</t>
  </si>
  <si>
    <t>8658-ProRep2@homedepot.com.mx</t>
  </si>
  <si>
    <t xml:space="preserve">8952020519371172460 </t>
  </si>
  <si>
    <t>860478064978627</t>
  </si>
  <si>
    <t>8658-representantepyme@homedepot.com.mx</t>
  </si>
  <si>
    <t>8658-Pyme@homedepot.com.mx</t>
  </si>
  <si>
    <t xml:space="preserve">8952020519371172791 </t>
  </si>
  <si>
    <t>860900062338736</t>
  </si>
  <si>
    <t>HENRRY ALFONSO</t>
  </si>
  <si>
    <t>BALDERRAMA</t>
  </si>
  <si>
    <t>8658-storemgr@homedepot.com.mx</t>
  </si>
  <si>
    <t xml:space="preserve">8952020521270815876 </t>
  </si>
  <si>
    <t>PAOLA ALEJANDRA</t>
  </si>
  <si>
    <t>PRECIADO</t>
  </si>
  <si>
    <t>8659-delivery@homedepot.com.mx</t>
  </si>
  <si>
    <t>8659 - GUADALAJARA INDEPENDENCIA</t>
  </si>
  <si>
    <t xml:space="preserve">8952020218452406885 </t>
  </si>
  <si>
    <t>860900062238514</t>
  </si>
  <si>
    <t>SOLORZANO</t>
  </si>
  <si>
    <t>8659-institsales@homedepot.com.mx</t>
  </si>
  <si>
    <t xml:space="preserve">8952020020252232531 </t>
  </si>
  <si>
    <t>860900062256144</t>
  </si>
  <si>
    <t>OSCAR GERARDO</t>
  </si>
  <si>
    <t>8659-prodeskmgr@homedepot.com.mx</t>
  </si>
  <si>
    <t xml:space="preserve">8952020020252232812 </t>
  </si>
  <si>
    <t>860478064793075</t>
  </si>
  <si>
    <t>JONATHAN ALEJANDRO</t>
  </si>
  <si>
    <t>VELARDE</t>
  </si>
  <si>
    <t>8659-ProRep1@homedepot.com.mx</t>
  </si>
  <si>
    <t xml:space="preserve">8952020020252232762 </t>
  </si>
  <si>
    <t>860478064634147</t>
  </si>
  <si>
    <t>SANDRA FABIOLA</t>
  </si>
  <si>
    <t>8659-ProRep2@homedepot.com.mx</t>
  </si>
  <si>
    <t xml:space="preserve">8952020020252233141 </t>
  </si>
  <si>
    <t>860478063778465</t>
  </si>
  <si>
    <t>JORGE DANIEL</t>
  </si>
  <si>
    <t>8659-storemgr@homedepot.com.mx</t>
  </si>
  <si>
    <t xml:space="preserve">8952020520652193860 </t>
  </si>
  <si>
    <t>8661-delivery@homedepot.com.mx</t>
  </si>
  <si>
    <t>8661 - SANTA FE</t>
  </si>
  <si>
    <t xml:space="preserve">8952020520498310124 </t>
  </si>
  <si>
    <t>860900062323654</t>
  </si>
  <si>
    <t>JULIO</t>
  </si>
  <si>
    <t>GUADARRAMA</t>
  </si>
  <si>
    <t>8661-institsales@homedepot.com.mx</t>
  </si>
  <si>
    <t xml:space="preserve">8952020520498310066 </t>
  </si>
  <si>
    <t>860900062322219</t>
  </si>
  <si>
    <t>JOSEFINA</t>
  </si>
  <si>
    <t>DIAZ DE LEON</t>
  </si>
  <si>
    <t>8661-prodeskmgr@homedepot.com.mx</t>
  </si>
  <si>
    <t xml:space="preserve">8952020520498312591 </t>
  </si>
  <si>
    <t>860478064858563</t>
  </si>
  <si>
    <t>8661-ProRep1@homedepot.com.mx</t>
  </si>
  <si>
    <t xml:space="preserve">8952020520498312583 </t>
  </si>
  <si>
    <t>860478064859553</t>
  </si>
  <si>
    <t>ROSALIO ISRAEL</t>
  </si>
  <si>
    <t>8661-ProRep2@homedepot.com.mx</t>
  </si>
  <si>
    <t xml:space="preserve">8952020023195128501 </t>
  </si>
  <si>
    <t>860478064953166</t>
  </si>
  <si>
    <t>GRISELDA</t>
  </si>
  <si>
    <t>GRALLET</t>
  </si>
  <si>
    <t>8661-storemgr@homedepot.com.mx</t>
  </si>
  <si>
    <t xml:space="preserve">8952020021391851264 </t>
  </si>
  <si>
    <t>357654178286962</t>
  </si>
  <si>
    <t>EDER MARTIN</t>
  </si>
  <si>
    <t>8662-delivery@homedepot.com.mx</t>
  </si>
  <si>
    <t>8662-Delivery@homedepot.com.mx</t>
  </si>
  <si>
    <t>8662 - TEPIC</t>
  </si>
  <si>
    <t xml:space="preserve">8952020020252233174 </t>
  </si>
  <si>
    <t>860900062255096</t>
  </si>
  <si>
    <t>ELIA ESPERANZA</t>
  </si>
  <si>
    <t>NAVA</t>
  </si>
  <si>
    <t>NAREDO</t>
  </si>
  <si>
    <t>8662-institsales@homedepot.com.mx</t>
  </si>
  <si>
    <t xml:space="preserve">8952020618351616874 </t>
  </si>
  <si>
    <t>860900062238555</t>
  </si>
  <si>
    <t>NIDIA PAOLA</t>
  </si>
  <si>
    <t>8672-prodeskmgr@homedepot.com.mx</t>
  </si>
  <si>
    <t>Ventas8672@homedepot.com.mx</t>
  </si>
  <si>
    <t>8672 - MORELIA EAST</t>
  </si>
  <si>
    <t xml:space="preserve">8952020020252233117 </t>
  </si>
  <si>
    <t>860478064484501</t>
  </si>
  <si>
    <t>CUEVAS</t>
  </si>
  <si>
    <t>8662-PROREP1@HOMEDEPOT.COM.MX</t>
  </si>
  <si>
    <t xml:space="preserve">8952020020252233208 </t>
  </si>
  <si>
    <t>860478064773440</t>
  </si>
  <si>
    <t xml:space="preserve">britany encargada temporal  </t>
  </si>
  <si>
    <t>BLANCA MALLELY</t>
  </si>
  <si>
    <t>POLANCO</t>
  </si>
  <si>
    <t>8662-prorep3@homedepot.com</t>
  </si>
  <si>
    <t>8662-ProRep2@homedepot.com.mx</t>
  </si>
  <si>
    <t xml:space="preserve">8952020020252233083 </t>
  </si>
  <si>
    <t>860478060689673</t>
  </si>
  <si>
    <t>8662-storemgr@homedepot.com.mx</t>
  </si>
  <si>
    <t xml:space="preserve">8952020520652193837 </t>
  </si>
  <si>
    <t>EDGAR FELICIANO</t>
  </si>
  <si>
    <t>AKE</t>
  </si>
  <si>
    <t>PECH</t>
  </si>
  <si>
    <t>8663-delivery@homedepot.com.mx</t>
  </si>
  <si>
    <t>8663 - CAMPECHE</t>
  </si>
  <si>
    <t xml:space="preserve">8952020519481244134 </t>
  </si>
  <si>
    <t>860900062256672</t>
  </si>
  <si>
    <t>JONATHAN ADDIEL</t>
  </si>
  <si>
    <t>8663-institsales@homedepot.com.mx</t>
  </si>
  <si>
    <t xml:space="preserve">8952020519481244027 </t>
  </si>
  <si>
    <t>860900062256680</t>
  </si>
  <si>
    <t>8663-prodeskmgr@homedepot.com.mx</t>
  </si>
  <si>
    <t xml:space="preserve">8952020020382986782 </t>
  </si>
  <si>
    <t>860478064862185</t>
  </si>
  <si>
    <t>GUADALUPE DEL CARMEN</t>
  </si>
  <si>
    <t>8663-ProRep1@homedepot.com.mx</t>
  </si>
  <si>
    <t xml:space="preserve">8952020519481244365 </t>
  </si>
  <si>
    <t>860478064845289</t>
  </si>
  <si>
    <t>CARLOS RAUL</t>
  </si>
  <si>
    <t>ROSADO</t>
  </si>
  <si>
    <t>8663-representantepyme@homedepot.com.mx</t>
  </si>
  <si>
    <t>8663-pyme@homedepot.com.mx</t>
  </si>
  <si>
    <t xml:space="preserve">8952020520682980948 </t>
  </si>
  <si>
    <t>WENDY ARACELY</t>
  </si>
  <si>
    <t>SANDATE</t>
  </si>
  <si>
    <t>MONTES DE OCA</t>
  </si>
  <si>
    <t>8663-storemgr@homedepot.com.mx</t>
  </si>
  <si>
    <t xml:space="preserve">8952020520682980880 </t>
  </si>
  <si>
    <t>JOSE JOAQUIN</t>
  </si>
  <si>
    <t>8664-delivery@homedepot.com.mx</t>
  </si>
  <si>
    <t>8664 - CULIACAN TRES RIOS</t>
  </si>
  <si>
    <t xml:space="preserve">8952020221621407271 </t>
  </si>
  <si>
    <t>860900062731690</t>
  </si>
  <si>
    <t>LEOBARDO</t>
  </si>
  <si>
    <t>ORDOÑEZ</t>
  </si>
  <si>
    <t>8664-institsales@homedepot.com.mx</t>
  </si>
  <si>
    <t xml:space="preserve">8952020518621904839 </t>
  </si>
  <si>
    <t>860900062735741</t>
  </si>
  <si>
    <t>HEBERTO</t>
  </si>
  <si>
    <t>8664-prodeskmgr@homedepot.com.mx</t>
  </si>
  <si>
    <t xml:space="preserve">8952020518621908624 </t>
  </si>
  <si>
    <t>860478063557653</t>
  </si>
  <si>
    <t>KEVIN ALEJANDRO</t>
  </si>
  <si>
    <t>8664-ProRep1@homedepot.com.mx</t>
  </si>
  <si>
    <t xml:space="preserve">8952020520522107934 </t>
  </si>
  <si>
    <t xml:space="preserve">se le dio equipo en 21/12/22 </t>
  </si>
  <si>
    <t>EDDY ALBERTO</t>
  </si>
  <si>
    <t>ROCHA</t>
  </si>
  <si>
    <t>ESQUERRA</t>
  </si>
  <si>
    <t>8664-ProRep2@homedepot.com.mx</t>
  </si>
  <si>
    <t xml:space="preserve">8952020920120906481 </t>
  </si>
  <si>
    <t>860478064066498</t>
  </si>
  <si>
    <t>8664-ProRep3@homedepot.com.mx</t>
  </si>
  <si>
    <t xml:space="preserve">8952020920120906473 </t>
  </si>
  <si>
    <t>860478060204176</t>
  </si>
  <si>
    <t>HERALDEZ</t>
  </si>
  <si>
    <t>8664-pyme@homedepot.com.mx</t>
  </si>
  <si>
    <t>8664-Prodesk2@homedepot.com.mx</t>
  </si>
  <si>
    <t xml:space="preserve">8952020921420874163 </t>
  </si>
  <si>
    <t>860900062735725</t>
  </si>
  <si>
    <t xml:space="preserve">8952020221621407529 </t>
  </si>
  <si>
    <t>860900062732144</t>
  </si>
  <si>
    <t>FELIPE</t>
  </si>
  <si>
    <t>LOAIZA</t>
  </si>
  <si>
    <t>8664-storemgr@homedepot.com.mx</t>
  </si>
  <si>
    <t xml:space="preserve">8952020520522107835 </t>
  </si>
  <si>
    <t>8672-delivery@homedepot.com.mx</t>
  </si>
  <si>
    <t xml:space="preserve">8952020020252232606 </t>
  </si>
  <si>
    <t>860900062336300</t>
  </si>
  <si>
    <t>CARPIO</t>
  </si>
  <si>
    <t>8672-institsales@homedepot.com.mx</t>
  </si>
  <si>
    <t xml:space="preserve">8952020020252232572 </t>
  </si>
  <si>
    <t>8672-salesrep@homedepot.com.mx</t>
  </si>
  <si>
    <t>8672-ProRep1@homedepot.com.mx</t>
  </si>
  <si>
    <t xml:space="preserve">8952020020252233125 </t>
  </si>
  <si>
    <t>860478063635160</t>
  </si>
  <si>
    <t>PUCHETA</t>
  </si>
  <si>
    <t>8673-prorep3@homedepot.com.mx</t>
  </si>
  <si>
    <t>8673 - PLAYA DEL CARMEN</t>
  </si>
  <si>
    <t xml:space="preserve">8952020518381981779 </t>
  </si>
  <si>
    <t>860478064845362</t>
  </si>
  <si>
    <t>ALVARO ARMANDO</t>
  </si>
  <si>
    <t>8672-storemgr@homedepot.com.mx</t>
  </si>
  <si>
    <t xml:space="preserve">8952020520652193878 </t>
  </si>
  <si>
    <t>ALCUDIA</t>
  </si>
  <si>
    <t>LAZARO</t>
  </si>
  <si>
    <t>8673-delivery@homedepot.com.mx</t>
  </si>
  <si>
    <t xml:space="preserve">8952020519481244118 </t>
  </si>
  <si>
    <t>860900062257407</t>
  </si>
  <si>
    <t>CARLOTA MARIA</t>
  </si>
  <si>
    <t>8673-institsales@homedepot.com.mx</t>
  </si>
  <si>
    <t xml:space="preserve">8952020222183071703 </t>
  </si>
  <si>
    <t>860900062257340</t>
  </si>
  <si>
    <t xml:space="preserve">El equipo se le adelanto el adendum debido aue el anterior equipo fue extravido, se le hizo un cargo de 600 por el equipo anterior </t>
  </si>
  <si>
    <t>DZUL</t>
  </si>
  <si>
    <t>EUAN</t>
  </si>
  <si>
    <t>8673-prodeskmgr@homedepot.com.mx</t>
  </si>
  <si>
    <t xml:space="preserve">8952020519481244225 </t>
  </si>
  <si>
    <t>860478064854448</t>
  </si>
  <si>
    <t>PEDRO ARTURO</t>
  </si>
  <si>
    <t>8673-prorep2@homedepot.com.mx</t>
  </si>
  <si>
    <t xml:space="preserve">8952020920180889288 </t>
  </si>
  <si>
    <t>8673-salesrep@homedepot.com.mx</t>
  </si>
  <si>
    <t>8673-prorep1@homedepot.com.mx</t>
  </si>
  <si>
    <t xml:space="preserve">8952020218682979628 </t>
  </si>
  <si>
    <t>860478064854398</t>
  </si>
  <si>
    <t>ROSY ELIZABETH</t>
  </si>
  <si>
    <t>CAAMAL</t>
  </si>
  <si>
    <t>8673-Prorep4@homedepot.com.mx</t>
  </si>
  <si>
    <t xml:space="preserve">8952020520682904849 </t>
  </si>
  <si>
    <t>ABNER ESAU</t>
  </si>
  <si>
    <t>EK</t>
  </si>
  <si>
    <t>UICAB</t>
  </si>
  <si>
    <t>8673-Pyme@homedepot.com.mx</t>
  </si>
  <si>
    <t>8673-pyme@homedepot.com.mx</t>
  </si>
  <si>
    <t xml:space="preserve">8952020519481237054 </t>
  </si>
  <si>
    <t>860900062257464</t>
  </si>
  <si>
    <t>RICARDO ARTURO</t>
  </si>
  <si>
    <t xml:space="preserve">8952020023195128535 </t>
  </si>
  <si>
    <t>EFRAIN</t>
  </si>
  <si>
    <t>8677-ProRep1@homedepot.com.mx</t>
  </si>
  <si>
    <t>8677 - ZACATECAS</t>
  </si>
  <si>
    <t xml:space="preserve">8952020020165699107 </t>
  </si>
  <si>
    <t>860478064859108</t>
  </si>
  <si>
    <t>8673-storemgr@homedepot.com.mx</t>
  </si>
  <si>
    <t xml:space="preserve">8952020520682980914 </t>
  </si>
  <si>
    <t>FLOR EDITH</t>
  </si>
  <si>
    <t>8674-delivery@homedepot.com.mx</t>
  </si>
  <si>
    <t>8674 - OAXACA</t>
  </si>
  <si>
    <t xml:space="preserve">8952020519371172809 </t>
  </si>
  <si>
    <t>860900062256276</t>
  </si>
  <si>
    <t>FERNANDO VIDAL</t>
  </si>
  <si>
    <t>8674-institsales@homedepot.com.mx</t>
  </si>
  <si>
    <t xml:space="preserve">8952020519371172205 </t>
  </si>
  <si>
    <t>860900062256375</t>
  </si>
  <si>
    <t>HECTOR IVAN</t>
  </si>
  <si>
    <t>8674-prodeskmgr@homedepot.com.mx</t>
  </si>
  <si>
    <t xml:space="preserve">8952020519371172221 </t>
  </si>
  <si>
    <t>860478064066548</t>
  </si>
  <si>
    <t>RENATO</t>
  </si>
  <si>
    <t>8674-ProRep1@homedepot.com.mx</t>
  </si>
  <si>
    <t xml:space="preserve">8952020022279157048 </t>
  </si>
  <si>
    <t>860478064066514</t>
  </si>
  <si>
    <t>8674-ProRep2@homedepot.com.mx</t>
  </si>
  <si>
    <t xml:space="preserve">8952020519371172650 </t>
  </si>
  <si>
    <t>860478064808485</t>
  </si>
  <si>
    <t>MARIANO</t>
  </si>
  <si>
    <t>8674-storemgr@homedepot.com.mx</t>
  </si>
  <si>
    <t xml:space="preserve">8952020921270884528 </t>
  </si>
  <si>
    <t>ANICETO</t>
  </si>
  <si>
    <t>8675-delivery@homedepot.com.mx</t>
  </si>
  <si>
    <t>8675 - CHETUMAL</t>
  </si>
  <si>
    <t xml:space="preserve">8952020519481244076 </t>
  </si>
  <si>
    <t>860900062256565</t>
  </si>
  <si>
    <t>OFELIA ARELI</t>
  </si>
  <si>
    <t>CHALE</t>
  </si>
  <si>
    <t>NOVELO</t>
  </si>
  <si>
    <t>8675-institsales@homedepot.com.mx</t>
  </si>
  <si>
    <t xml:space="preserve">8952020519481244126 </t>
  </si>
  <si>
    <t>860900062256631</t>
  </si>
  <si>
    <t>JUAN JOSE</t>
  </si>
  <si>
    <t>BACAB</t>
  </si>
  <si>
    <t>8675-prodeskmgr@homedepot.com.mx</t>
  </si>
  <si>
    <t xml:space="preserve">8952020519481244415 </t>
  </si>
  <si>
    <t>860478064845313</t>
  </si>
  <si>
    <t>GASPAR UBALDO</t>
  </si>
  <si>
    <t>DE LANDA</t>
  </si>
  <si>
    <t>8675-prorep1@homedepot.com.mx</t>
  </si>
  <si>
    <t xml:space="preserve">8952020519481244357 </t>
  </si>
  <si>
    <t>860478064862045</t>
  </si>
  <si>
    <t>RENATO SOCRATES</t>
  </si>
  <si>
    <t>MAYEN</t>
  </si>
  <si>
    <t>ALEJANDRE</t>
  </si>
  <si>
    <t>8675-storemgr@homedepot.com.mx</t>
  </si>
  <si>
    <t xml:space="preserve">8952020520682980906 </t>
  </si>
  <si>
    <t>DOMINGO RAMON</t>
  </si>
  <si>
    <t>ASOCIADO(A) DE SOPORTE A EMBARQUES</t>
  </si>
  <si>
    <t>8676-delivery@homedepot.com.mx</t>
  </si>
  <si>
    <t>8676 - LA RIOJA</t>
  </si>
  <si>
    <t xml:space="preserve">8952020020340516945 </t>
  </si>
  <si>
    <t>860900062337464</t>
  </si>
  <si>
    <t>GUERRERO</t>
  </si>
  <si>
    <t>8676-institsales@homedepot.com.mx</t>
  </si>
  <si>
    <t>8676-Institsales@homedepot.com.mx</t>
  </si>
  <si>
    <t xml:space="preserve">8952020020340517711 </t>
  </si>
  <si>
    <t>860900062338652</t>
  </si>
  <si>
    <t>8676-prodeskmgr@homedepot.com.mx</t>
  </si>
  <si>
    <t xml:space="preserve">8952020020340517224 </t>
  </si>
  <si>
    <t>860478063821307</t>
  </si>
  <si>
    <t>CINDY SARAHI</t>
  </si>
  <si>
    <t>8676-ProRep1@homedepot.com.mx</t>
  </si>
  <si>
    <t xml:space="preserve">8952020021241728233 </t>
  </si>
  <si>
    <t>VICTOR MANUEL</t>
  </si>
  <si>
    <t>8676-ProRep2@homedepot.com.mx</t>
  </si>
  <si>
    <t xml:space="preserve">8952020020340515780 </t>
  </si>
  <si>
    <t>860478062096497</t>
  </si>
  <si>
    <t>EUSEBIO</t>
  </si>
  <si>
    <t>QUINTANILLA</t>
  </si>
  <si>
    <t>8676-storemgr@homedepot.com.mx</t>
  </si>
  <si>
    <t xml:space="preserve">8952020021241726583 </t>
  </si>
  <si>
    <t>CARLOS FRANCISCO</t>
  </si>
  <si>
    <t>8677-delivery@homedepot.com.mx</t>
  </si>
  <si>
    <t xml:space="preserve">8952020020165698737 </t>
  </si>
  <si>
    <t>860900062336466</t>
  </si>
  <si>
    <t>AMERICA</t>
  </si>
  <si>
    <t>ACEVEDO</t>
  </si>
  <si>
    <t>8677-institsales@homedepot.com.mx</t>
  </si>
  <si>
    <t xml:space="preserve">8952020020165698877 </t>
  </si>
  <si>
    <t>860900062336482</t>
  </si>
  <si>
    <t>IVAN ANTONIO</t>
  </si>
  <si>
    <t>HEREDIA</t>
  </si>
  <si>
    <t>8677-prodeskmgr@homedepot.com.mx</t>
  </si>
  <si>
    <t xml:space="preserve">8952020020165699115 </t>
  </si>
  <si>
    <t>860478064847467</t>
  </si>
  <si>
    <t xml:space="preserve">8952020020165699123 </t>
  </si>
  <si>
    <t>860900062336359</t>
  </si>
  <si>
    <t>8679-storemgr@homedepot.com.mx</t>
  </si>
  <si>
    <t>8679 - HUBS PERINORTE</t>
  </si>
  <si>
    <t xml:space="preserve">8952020023195128519 </t>
  </si>
  <si>
    <t>860900062270715</t>
  </si>
  <si>
    <t xml:space="preserve">Se entrego un A79 </t>
  </si>
  <si>
    <t>RAFAEL GILBERTO</t>
  </si>
  <si>
    <t>8677-storemgr@homedepot.com.mx</t>
  </si>
  <si>
    <t xml:space="preserve">8952020920661711811 </t>
  </si>
  <si>
    <t>ERIK AARON</t>
  </si>
  <si>
    <t>ALLENDE</t>
  </si>
  <si>
    <t>8679-EntregasDirectas@homedepot.com.mx</t>
  </si>
  <si>
    <t xml:space="preserve">8952020521190276829 </t>
  </si>
  <si>
    <t>860900062321641</t>
  </si>
  <si>
    <t>MARIA ANGELICA</t>
  </si>
  <si>
    <t xml:space="preserve">8952020021391851819 </t>
  </si>
  <si>
    <t>PEDRO MAXIMINO</t>
  </si>
  <si>
    <t>JEFATURA DE OPERACIONES HUBS</t>
  </si>
  <si>
    <t xml:space="preserve">8952020521190276803 </t>
  </si>
  <si>
    <t>LORENZO ANTONIO</t>
  </si>
  <si>
    <t>OLMEDO</t>
  </si>
  <si>
    <t xml:space="preserve">8952020921594914084 </t>
  </si>
  <si>
    <t>RENOVACIÓN FEB 2028</t>
  </si>
  <si>
    <t>8681-storemgr@homedepot.com.mx</t>
  </si>
  <si>
    <t xml:space="preserve">8952020021391851637 </t>
  </si>
  <si>
    <t>8682-ProRep1@homedepot.com.mx</t>
  </si>
  <si>
    <t>8682 - GUASAVE</t>
  </si>
  <si>
    <t xml:space="preserve">8952020520522107868 </t>
  </si>
  <si>
    <t>ROBERTO AARON</t>
  </si>
  <si>
    <t>8682-delivery@homedepot.com.mx</t>
  </si>
  <si>
    <t xml:space="preserve">8952020518621904854 </t>
  </si>
  <si>
    <t>860900062731971</t>
  </si>
  <si>
    <t>ARASELI</t>
  </si>
  <si>
    <t>8682-institsales@homedepot.com.mx</t>
  </si>
  <si>
    <t xml:space="preserve">8952020020321173989 </t>
  </si>
  <si>
    <t>860900062732060</t>
  </si>
  <si>
    <t>ZATARAIN</t>
  </si>
  <si>
    <t>8682-prodeskmgr@homedepot.com.mx</t>
  </si>
  <si>
    <t xml:space="preserve">8952020920120906630 </t>
  </si>
  <si>
    <t>860478064065078</t>
  </si>
  <si>
    <t>8682-salesrep@homedepot.com.mx</t>
  </si>
  <si>
    <t xml:space="preserve">8952020920120906622 </t>
  </si>
  <si>
    <t>860478064065789</t>
  </si>
  <si>
    <t>8694-delivery@homedepot.com.mx</t>
  </si>
  <si>
    <t>8694 - SALAMANCA</t>
  </si>
  <si>
    <t xml:space="preserve">8952020920661711738 </t>
  </si>
  <si>
    <t>ESMERALDA</t>
  </si>
  <si>
    <t>8682-storemgr@homedepot.com.mx</t>
  </si>
  <si>
    <t xml:space="preserve">8952020518621903112 </t>
  </si>
  <si>
    <t>358366320044590</t>
  </si>
  <si>
    <t>8691-Delivery@homedepot.com.mx</t>
  </si>
  <si>
    <t>8691 - COPILCO</t>
  </si>
  <si>
    <t xml:space="preserve">8952020520498310116 </t>
  </si>
  <si>
    <t>860900062323704</t>
  </si>
  <si>
    <t>DANIEL ALBERTO</t>
  </si>
  <si>
    <t>MONTIEL</t>
  </si>
  <si>
    <t>8691-institsales@homedepot.com.mx</t>
  </si>
  <si>
    <t xml:space="preserve">8952020021391851140 </t>
  </si>
  <si>
    <t>865356065729204</t>
  </si>
  <si>
    <t>ARMANDO GAMALIEL</t>
  </si>
  <si>
    <t>VALLEJO</t>
  </si>
  <si>
    <t>8691-prodeskmgr@homedepot.com.mx</t>
  </si>
  <si>
    <t xml:space="preserve">8952020021391851173 </t>
  </si>
  <si>
    <t>KENNEDY</t>
  </si>
  <si>
    <t>INFANTE</t>
  </si>
  <si>
    <t>8691-ProRep1@homedepot.com.mx</t>
  </si>
  <si>
    <t xml:space="preserve">8952020021391851181 </t>
  </si>
  <si>
    <t>865356065670127</t>
  </si>
  <si>
    <t>YAIR ABRAHAM</t>
  </si>
  <si>
    <t>FUENTES</t>
  </si>
  <si>
    <t>8691-storemgr@homedepot.com.mx</t>
  </si>
  <si>
    <t xml:space="preserve">8952020021391851165 </t>
  </si>
  <si>
    <t>357654178726207</t>
  </si>
  <si>
    <t>FRANCISCO MICHEL</t>
  </si>
  <si>
    <t>8692-delivery@homedepot.com.mx</t>
  </si>
  <si>
    <t>8692 - LINDA VISTA</t>
  </si>
  <si>
    <t xml:space="preserve">8952020021391851918 </t>
  </si>
  <si>
    <t>865356065728636</t>
  </si>
  <si>
    <t>GUSTAVO ALEJANDRO</t>
  </si>
  <si>
    <t>8692-institsales@homedepot.com.mx</t>
  </si>
  <si>
    <t xml:space="preserve">8952020021391851595 </t>
  </si>
  <si>
    <t>865356065668295</t>
  </si>
  <si>
    <t>TAVERA</t>
  </si>
  <si>
    <t>8692-prodeskmgr@homedepot.com.mx</t>
  </si>
  <si>
    <t xml:space="preserve">8952020021391851579 </t>
  </si>
  <si>
    <t>865356065728412</t>
  </si>
  <si>
    <t>ISAAC ENRIQUE</t>
  </si>
  <si>
    <t>MIRANDA</t>
  </si>
  <si>
    <t>8692-ProRep1@homedepot.com.mx</t>
  </si>
  <si>
    <t xml:space="preserve">8952020023195128246 </t>
  </si>
  <si>
    <t>861383071457160</t>
  </si>
  <si>
    <t>NESTOR</t>
  </si>
  <si>
    <t>SANTOS</t>
  </si>
  <si>
    <t>8692-storemgr@homedepot.com.mx</t>
  </si>
  <si>
    <t xml:space="preserve">8952020021391851611 </t>
  </si>
  <si>
    <t>357654179753168</t>
  </si>
  <si>
    <t>VALDESPINO</t>
  </si>
  <si>
    <t>8693-delivery@homedepot.com.mx</t>
  </si>
  <si>
    <t>8693 - DEL CARMEN</t>
  </si>
  <si>
    <t xml:space="preserve">8952020520682980823 </t>
  </si>
  <si>
    <t>ERIKA YANETH</t>
  </si>
  <si>
    <t>GIL</t>
  </si>
  <si>
    <t>8693-institsales@homedepot.com.mx</t>
  </si>
  <si>
    <t xml:space="preserve">8952020520682980831 </t>
  </si>
  <si>
    <t>SANDRA PATRICIA</t>
  </si>
  <si>
    <t>BALLOTE</t>
  </si>
  <si>
    <t>HORTA</t>
  </si>
  <si>
    <t>8693-prodeskmgr@homedepot.com.mx</t>
  </si>
  <si>
    <t xml:space="preserve">8952020520682980807 </t>
  </si>
  <si>
    <t>ARACELY JAENET</t>
  </si>
  <si>
    <t>8693-ProRep1@homedepot.com.mx</t>
  </si>
  <si>
    <t xml:space="preserve">8952020520682980815 </t>
  </si>
  <si>
    <t>ELIZABETH</t>
  </si>
  <si>
    <t>8693-representantepyme@homedepot.com.mx</t>
  </si>
  <si>
    <t>8693-Prodesk1@homedepot.com.mx</t>
  </si>
  <si>
    <t xml:space="preserve">8952020520682981003 </t>
  </si>
  <si>
    <t>VIANEY</t>
  </si>
  <si>
    <t>ROMAN</t>
  </si>
  <si>
    <t>8693-Storemgr@homedepot.com.mx</t>
  </si>
  <si>
    <t xml:space="preserve">8952020520682980849 </t>
  </si>
  <si>
    <t>JUANA BERENICE</t>
  </si>
  <si>
    <t>8694-prodeskmgr@homedepot.com.mx</t>
  </si>
  <si>
    <t xml:space="preserve">8952020524662425452 </t>
  </si>
  <si>
    <t>867353050207344</t>
  </si>
  <si>
    <t>MARTHA DE JESUS</t>
  </si>
  <si>
    <t>ALMANZA</t>
  </si>
  <si>
    <t>MONTENEGRO</t>
  </si>
  <si>
    <t>8694-institsales@homedepot.com.mx</t>
  </si>
  <si>
    <t xml:space="preserve">8952020920661711720 </t>
  </si>
  <si>
    <t>8694-ProRep1@homedepot.com.mx</t>
  </si>
  <si>
    <t xml:space="preserve">8952020920661711712 </t>
  </si>
  <si>
    <t>PATRICIA NOEMI</t>
  </si>
  <si>
    <t>PAT</t>
  </si>
  <si>
    <t>COOL</t>
  </si>
  <si>
    <t>8696-ProdeskMgr@homedepot.com.mx</t>
  </si>
  <si>
    <t>8696 - MÉRIDA CITADELLA</t>
  </si>
  <si>
    <t xml:space="preserve">8952020520682980757 </t>
  </si>
  <si>
    <t>ERICK</t>
  </si>
  <si>
    <t>8694-storemgr@homedepot.com.mx</t>
  </si>
  <si>
    <t xml:space="preserve">8952020920661711688 </t>
  </si>
  <si>
    <t>DIDIER EMANUEL</t>
  </si>
  <si>
    <t>RAVELL</t>
  </si>
  <si>
    <t>8696-delivery@homedepot.com.mx</t>
  </si>
  <si>
    <t xml:space="preserve">8952020520682980799 </t>
  </si>
  <si>
    <t>SHARON ABIGAIL</t>
  </si>
  <si>
    <t>COLLI</t>
  </si>
  <si>
    <t>8696-entregasdirecta@homedepot.com.mx</t>
  </si>
  <si>
    <t>8696-EntregasDirectas@homedepot.com.mx</t>
  </si>
  <si>
    <t xml:space="preserve">8952020520682980997 </t>
  </si>
  <si>
    <t>ANTONIO DE JESUS</t>
  </si>
  <si>
    <t>MOURIZ</t>
  </si>
  <si>
    <t>8696-institsales@homedepot.com.mx</t>
  </si>
  <si>
    <t xml:space="preserve">8952020520682980781 </t>
  </si>
  <si>
    <t>WILBERTH FREDY</t>
  </si>
  <si>
    <t>CANIL</t>
  </si>
  <si>
    <t>8696-prodesk1@homedepot.com.mx</t>
  </si>
  <si>
    <t xml:space="preserve">8952020520682980773 </t>
  </si>
  <si>
    <t>JEOVANI IZAREL</t>
  </si>
  <si>
    <t>CAUICH</t>
  </si>
  <si>
    <t>8696-ProRep1@homedepot.com.mx</t>
  </si>
  <si>
    <t xml:space="preserve">8952020520682980856 </t>
  </si>
  <si>
    <t>MILITZA KARINA</t>
  </si>
  <si>
    <t>DZIB</t>
  </si>
  <si>
    <t>8696-ProRep2@homedepot.com.mx</t>
  </si>
  <si>
    <t xml:space="preserve">8952020519481244472 </t>
  </si>
  <si>
    <t>8698-delivery@homedepot.com.mx</t>
  </si>
  <si>
    <t>8698 - TEHUACAN</t>
  </si>
  <si>
    <t xml:space="preserve">8952020521270815678 </t>
  </si>
  <si>
    <t>865356065673246</t>
  </si>
  <si>
    <t>VILLAGOMEZ</t>
  </si>
  <si>
    <t>AYESTARAN</t>
  </si>
  <si>
    <t>8696-storemgr@homedepot.com.mx</t>
  </si>
  <si>
    <t xml:space="preserve">8952020520682980724 </t>
  </si>
  <si>
    <t>KAREN</t>
  </si>
  <si>
    <t>8698-prodeskmgr@homedepot.com.mx</t>
  </si>
  <si>
    <t xml:space="preserve">8952020521270815686 </t>
  </si>
  <si>
    <t>8698-institsales@homedepot.com.mx</t>
  </si>
  <si>
    <t>8698-Institsales@homedepot.com.mx</t>
  </si>
  <si>
    <t xml:space="preserve">8952020521270815660 </t>
  </si>
  <si>
    <t>865356065673642</t>
  </si>
  <si>
    <t>SIFUENTES</t>
  </si>
  <si>
    <t>8701-delivery@homedepot.com.mx</t>
  </si>
  <si>
    <t>8701 - TORRES</t>
  </si>
  <si>
    <t xml:space="preserve">8952020020340518032 </t>
  </si>
  <si>
    <t>860900062336052</t>
  </si>
  <si>
    <t>8698-ProRep1@homedepot.com.mx</t>
  </si>
  <si>
    <t xml:space="preserve">8952020521270815694 </t>
  </si>
  <si>
    <t xml:space="preserve">Adelanto de adendum </t>
  </si>
  <si>
    <t>8698-pyme@homedepot.com.mx</t>
  </si>
  <si>
    <t>8698-representantepyme@homedepot.com.mx</t>
  </si>
  <si>
    <t xml:space="preserve">8952020521270815967 </t>
  </si>
  <si>
    <t>ANA LILIA</t>
  </si>
  <si>
    <t>8698-storemgr@homedepot.com.mx</t>
  </si>
  <si>
    <t xml:space="preserve">8952020521270815702 </t>
  </si>
  <si>
    <t xml:space="preserve">8952020021148630144 </t>
  </si>
  <si>
    <t xml:space="preserve">8952020221641341013 </t>
  </si>
  <si>
    <t>860900062337910</t>
  </si>
  <si>
    <t>8701-entregasdirectas@homedepot.com.mx</t>
  </si>
  <si>
    <t xml:space="preserve">8952020021241728191 </t>
  </si>
  <si>
    <t>JOSE GERARDO</t>
  </si>
  <si>
    <t>8701-Entregasdirectas2@homedepot.com.mx</t>
  </si>
  <si>
    <t xml:space="preserve">8952020520544919316 </t>
  </si>
  <si>
    <t>860900062337746</t>
  </si>
  <si>
    <t>8701-Entregasdirectas3@homedepot.com.mx</t>
  </si>
  <si>
    <t xml:space="preserve">8952020520544919332 </t>
  </si>
  <si>
    <t>860900062337258</t>
  </si>
  <si>
    <t>JAIME HUMBERTO</t>
  </si>
  <si>
    <t>8701-prorep1@homedepot.com.mx</t>
  </si>
  <si>
    <t xml:space="preserve">8952020020340515715 </t>
  </si>
  <si>
    <t>860478060690002</t>
  </si>
  <si>
    <t>LEONARDO DANIEL</t>
  </si>
  <si>
    <t>8701-institsales@homedepot.com.mx</t>
  </si>
  <si>
    <t xml:space="preserve">8952020020340516671 </t>
  </si>
  <si>
    <t>860900062337241</t>
  </si>
  <si>
    <t>OLGA LIDIA</t>
  </si>
  <si>
    <t>8701-prodesk1@homedepot.com.mx</t>
  </si>
  <si>
    <t xml:space="preserve">8952020020340517950 </t>
  </si>
  <si>
    <t>860900062337415</t>
  </si>
  <si>
    <t>ROLANDO JAVIER</t>
  </si>
  <si>
    <t>8701-prodeskmgr@homedepot.com.mx</t>
  </si>
  <si>
    <t xml:space="preserve">8952020020340515772 </t>
  </si>
  <si>
    <t>860478062096794</t>
  </si>
  <si>
    <t>MARIA NATIVIDAD</t>
  </si>
  <si>
    <t>JASSO</t>
  </si>
  <si>
    <t xml:space="preserve">8952020020340517141 </t>
  </si>
  <si>
    <t>860900062336573</t>
  </si>
  <si>
    <t>8701-PROREP2@homedepot.com.mx</t>
  </si>
  <si>
    <t xml:space="preserve">8952020921246397746 </t>
  </si>
  <si>
    <t>860478064773499</t>
  </si>
  <si>
    <t>8701-prorep3@homedepot.com.mx</t>
  </si>
  <si>
    <t xml:space="preserve">8952020622442628047 </t>
  </si>
  <si>
    <t>8702-delivery@homedepot.com.mx</t>
  </si>
  <si>
    <t>8702 - COAPA</t>
  </si>
  <si>
    <t xml:space="preserve">8952020520498310132 </t>
  </si>
  <si>
    <t>860900062322029</t>
  </si>
  <si>
    <t>MARIA DOLORES</t>
  </si>
  <si>
    <t>8701-representantepyme@homedepot.com.mx</t>
  </si>
  <si>
    <t>8701-Pyme@homedepot.com.mx</t>
  </si>
  <si>
    <t xml:space="preserve">8952020021241727979 </t>
  </si>
  <si>
    <t>VICTOR ADRIAN</t>
  </si>
  <si>
    <t>8701-storemgr@homedepot.com.mx</t>
  </si>
  <si>
    <t xml:space="preserve">8952020021241726880 </t>
  </si>
  <si>
    <t>PIÑA</t>
  </si>
  <si>
    <t>8702-prodeskmgr@homedepot.com.mx</t>
  </si>
  <si>
    <t xml:space="preserve">8952020520498312435 </t>
  </si>
  <si>
    <t>860478064953786</t>
  </si>
  <si>
    <t>8702-institsales@homedepot.com.mx</t>
  </si>
  <si>
    <t xml:space="preserve">8952020520498370326 </t>
  </si>
  <si>
    <t>860900062319900</t>
  </si>
  <si>
    <t>ABRAHAM NADIM</t>
  </si>
  <si>
    <t>8704-prorep1@homedepot.com.mx</t>
  </si>
  <si>
    <t>8704 - CUMBRES</t>
  </si>
  <si>
    <t xml:space="preserve">8952020020340515731 </t>
  </si>
  <si>
    <t>860478063821299</t>
  </si>
  <si>
    <t>OMAR ELOY</t>
  </si>
  <si>
    <t>8702-prorep1@homedepot.com.mx</t>
  </si>
  <si>
    <t xml:space="preserve">8952020918392335728 </t>
  </si>
  <si>
    <t>860478064859371</t>
  </si>
  <si>
    <t>JOSE AMED</t>
  </si>
  <si>
    <t>8702-prorep2@homedepot.com.mx</t>
  </si>
  <si>
    <t xml:space="preserve">8952020520498310660 </t>
  </si>
  <si>
    <t>860478063560897</t>
  </si>
  <si>
    <t>MANUEL ALEJANDRO</t>
  </si>
  <si>
    <t>SAVALA</t>
  </si>
  <si>
    <t>8702-prorep3@homedepot.com.mx</t>
  </si>
  <si>
    <t xml:space="preserve">8952020520498312203 </t>
  </si>
  <si>
    <t>860478064854331</t>
  </si>
  <si>
    <t>MIRAMON</t>
  </si>
  <si>
    <t>MILLAN</t>
  </si>
  <si>
    <t>8702-representantepyme@homedepot.com.mx</t>
  </si>
  <si>
    <t xml:space="preserve">8952020023195128527 </t>
  </si>
  <si>
    <t>860900062336565</t>
  </si>
  <si>
    <t>EDGAR OSCAR</t>
  </si>
  <si>
    <t>ESCOBAR</t>
  </si>
  <si>
    <t>GARFIAS</t>
  </si>
  <si>
    <t>8702-storemgr@homedepot.com.mx</t>
  </si>
  <si>
    <t xml:space="preserve">8952020021391851496 </t>
  </si>
  <si>
    <t>357654179488641</t>
  </si>
  <si>
    <t>8703-delivery@homedepot.com.mx</t>
  </si>
  <si>
    <t>8703 - REVOLUCION</t>
  </si>
  <si>
    <t xml:space="preserve">8952020020340516911 </t>
  </si>
  <si>
    <t>860900062336524</t>
  </si>
  <si>
    <t>AURORA CATALINA</t>
  </si>
  <si>
    <t>ARRONA</t>
  </si>
  <si>
    <t>8703-institsales@homedepot.com.mx</t>
  </si>
  <si>
    <t xml:space="preserve">8952020020340516572 </t>
  </si>
  <si>
    <t>860900062334404</t>
  </si>
  <si>
    <t>CAZARES</t>
  </si>
  <si>
    <t>8703-prodeskmgr@homedepot.com.mx</t>
  </si>
  <si>
    <t xml:space="preserve">8952020020340515400 </t>
  </si>
  <si>
    <t>860478064773283</t>
  </si>
  <si>
    <t>8703-ProRep1@homedepot.com.mx</t>
  </si>
  <si>
    <t xml:space="preserve">8952020020340517174 </t>
  </si>
  <si>
    <t>860478064773192</t>
  </si>
  <si>
    <t>LINO</t>
  </si>
  <si>
    <t>8703-prorep2@homedepot.com.mx</t>
  </si>
  <si>
    <t xml:space="preserve">8952020020340515723 </t>
  </si>
  <si>
    <t>860478063821356</t>
  </si>
  <si>
    <t>8703-prorep4@homedepot.com.mx</t>
  </si>
  <si>
    <t xml:space="preserve">8952020020340517182 </t>
  </si>
  <si>
    <t>860478064773234</t>
  </si>
  <si>
    <t>DULCE MARIA ISABEL</t>
  </si>
  <si>
    <t>8703-pyme@homedepot.com.mx</t>
  </si>
  <si>
    <t xml:space="preserve">8952020021241727144 </t>
  </si>
  <si>
    <t>BRAYAN OSSIEL</t>
  </si>
  <si>
    <t xml:space="preserve">8952020020340515707 </t>
  </si>
  <si>
    <t>860478062353757</t>
  </si>
  <si>
    <t>DOMINGO ALBERTO</t>
  </si>
  <si>
    <t>DUQUE</t>
  </si>
  <si>
    <t>8703-storemgr@homedepot.com.mx</t>
  </si>
  <si>
    <t xml:space="preserve">8952020021241726864 </t>
  </si>
  <si>
    <t>SALOMON</t>
  </si>
  <si>
    <t>8704-delivery@homedepot.com.mx</t>
  </si>
  <si>
    <t xml:space="preserve">8952020020340516903 </t>
  </si>
  <si>
    <t>860900062330816</t>
  </si>
  <si>
    <t>MARIO CESAR</t>
  </si>
  <si>
    <t>8704-institsales@homedepot.com.mx</t>
  </si>
  <si>
    <t xml:space="preserve">8952020020340518271 </t>
  </si>
  <si>
    <t>860900062336581</t>
  </si>
  <si>
    <t>ANDRADE</t>
  </si>
  <si>
    <t>8704-prodeskmgr@homedepot.com.mx</t>
  </si>
  <si>
    <t xml:space="preserve">8952020020340517232 </t>
  </si>
  <si>
    <t>860478062099152</t>
  </si>
  <si>
    <t>KARLA DANIELA</t>
  </si>
  <si>
    <t>8704-ProRep1@homedepot.com.mx</t>
  </si>
  <si>
    <t xml:space="preserve">8952020921544128181 </t>
  </si>
  <si>
    <t>860900062337472</t>
  </si>
  <si>
    <t>8704-ProRep2@homedepot.com.mx</t>
  </si>
  <si>
    <t xml:space="preserve">8952020521442962978 </t>
  </si>
  <si>
    <t>860478062354128</t>
  </si>
  <si>
    <t>JUAN ANDRES</t>
  </si>
  <si>
    <t>8704-pyme@homedepot.com.mx</t>
  </si>
  <si>
    <t xml:space="preserve">8952020921544128165 </t>
  </si>
  <si>
    <t>860900062337126</t>
  </si>
  <si>
    <t>JOSE</t>
  </si>
  <si>
    <t>8705-prorep1@homedepot.com.mx</t>
  </si>
  <si>
    <t>8705 - MEXICALI</t>
  </si>
  <si>
    <t xml:space="preserve">8952020517510186888 </t>
  </si>
  <si>
    <t>860478064952606</t>
  </si>
  <si>
    <t>JOSE MARIA</t>
  </si>
  <si>
    <t>8704-storemgr@homedepot.com.mx</t>
  </si>
  <si>
    <t xml:space="preserve">8952020021241726872 </t>
  </si>
  <si>
    <t>LUIS EDGAR</t>
  </si>
  <si>
    <t>CUREÑO</t>
  </si>
  <si>
    <t>8705-delivery@homedepot.com.mx</t>
  </si>
  <si>
    <t xml:space="preserve">8952020517510156030 </t>
  </si>
  <si>
    <t>860900062336227</t>
  </si>
  <si>
    <t>EVANGELINA</t>
  </si>
  <si>
    <t>8705-institsales@homedepot.com.mx</t>
  </si>
  <si>
    <t xml:space="preserve">8952020518614571090 </t>
  </si>
  <si>
    <t>860900062331103</t>
  </si>
  <si>
    <t>CLAUDIA LIZET</t>
  </si>
  <si>
    <t>8705-prodeskmgr@homedepot.com.mx</t>
  </si>
  <si>
    <t xml:space="preserve">8952020517510186813 </t>
  </si>
  <si>
    <t>860478064863324</t>
  </si>
  <si>
    <t>8705-ProRep3@homedepot.com.mx</t>
  </si>
  <si>
    <t xml:space="preserve">8952020517510186904 </t>
  </si>
  <si>
    <t>860478064952747</t>
  </si>
  <si>
    <t>8705-ProRep2@homedepot.com.mx</t>
  </si>
  <si>
    <t xml:space="preserve">8952020920410337801 </t>
  </si>
  <si>
    <t>BARRAZA</t>
  </si>
  <si>
    <t>8708-prodeskmgr@homedepot.com.mx</t>
  </si>
  <si>
    <t>8708 - CULIACAN</t>
  </si>
  <si>
    <t xml:space="preserve">8952020518621915942 </t>
  </si>
  <si>
    <t>860478064969428</t>
  </si>
  <si>
    <t>ARIANNA</t>
  </si>
  <si>
    <t>8705-representantepyme@homedepot.com.mx</t>
  </si>
  <si>
    <t xml:space="preserve">8952020920410337868 </t>
  </si>
  <si>
    <t>HERMES ERNESTO</t>
  </si>
  <si>
    <t>MAYORQUIN</t>
  </si>
  <si>
    <t>VON SCHOENECK</t>
  </si>
  <si>
    <t>8705-storemgr@homedepot.com.mx</t>
  </si>
  <si>
    <t xml:space="preserve">8952020920410337777 </t>
  </si>
  <si>
    <t>8706-delivery@homedepot.com.mx</t>
  </si>
  <si>
    <t>8706 - TIJUANA</t>
  </si>
  <si>
    <t xml:space="preserve">8952020920410337900 </t>
  </si>
  <si>
    <t>PONCE DE LEON</t>
  </si>
  <si>
    <t>8706-institsales@homedepot.com.mx</t>
  </si>
  <si>
    <t xml:space="preserve">8952020221411981857 </t>
  </si>
  <si>
    <t>860900062337274</t>
  </si>
  <si>
    <t>CARLA ANTONIETA</t>
  </si>
  <si>
    <t>8706-prodeskmgr@homedepot.com.mx</t>
  </si>
  <si>
    <t xml:space="preserve">8952020518614565001 </t>
  </si>
  <si>
    <t>860478064844555</t>
  </si>
  <si>
    <t>ERICK ARTURO</t>
  </si>
  <si>
    <t>8706-prorep1@homedepot.com.mx</t>
  </si>
  <si>
    <t xml:space="preserve">8952020319613447964 </t>
  </si>
  <si>
    <t>860478064976563</t>
  </si>
  <si>
    <t>MIGUEL</t>
  </si>
  <si>
    <t>AYALA</t>
  </si>
  <si>
    <t>8706-prorep2@homedepot.com.mx</t>
  </si>
  <si>
    <t xml:space="preserve">8952020518614564970 </t>
  </si>
  <si>
    <t>860478064850784</t>
  </si>
  <si>
    <t>8706-ProRep3@homedepot.com.mx</t>
  </si>
  <si>
    <t xml:space="preserve">8952020518614564996 </t>
  </si>
  <si>
    <t>860478064952580</t>
  </si>
  <si>
    <t>VICTOR DANIEL</t>
  </si>
  <si>
    <t>8706-ProRep4@homedepot.com.mx</t>
  </si>
  <si>
    <t xml:space="preserve">8952020319613447972 </t>
  </si>
  <si>
    <t>860478064976571</t>
  </si>
  <si>
    <t>WILLIAM MICHAEL</t>
  </si>
  <si>
    <t>PARRA</t>
  </si>
  <si>
    <t xml:space="preserve">8706-prorep5@homedepot.com.mx
</t>
  </si>
  <si>
    <t>8706-ProRep5@homedepot.com.mx</t>
  </si>
  <si>
    <t xml:space="preserve">8952020518614564988 </t>
  </si>
  <si>
    <t>860478064976613</t>
  </si>
  <si>
    <t>MENDIOLA</t>
  </si>
  <si>
    <t>8706-pyme@homedepot.com.mx</t>
  </si>
  <si>
    <t xml:space="preserve">8952020920410337876 </t>
  </si>
  <si>
    <t>KENIA JANETH</t>
  </si>
  <si>
    <t>VENEGAS</t>
  </si>
  <si>
    <t>8706-RepresentantePyme@homedepot.com.mx</t>
  </si>
  <si>
    <t xml:space="preserve">8952020920410343536 </t>
  </si>
  <si>
    <t>860900062331434</t>
  </si>
  <si>
    <t>DIEGO DANPIERRE</t>
  </si>
  <si>
    <t>DURAN</t>
  </si>
  <si>
    <t>8706-storemgr@homedepot.com.mx</t>
  </si>
  <si>
    <t xml:space="preserve">8952020920410337769 </t>
  </si>
  <si>
    <t>ROBERTO</t>
  </si>
  <si>
    <t>8707-delivery@homedepot.com.mx</t>
  </si>
  <si>
    <t>8707 - SAN LUIS POTOSI</t>
  </si>
  <si>
    <t xml:space="preserve">8952020223262310657 </t>
  </si>
  <si>
    <t>860900062338413</t>
  </si>
  <si>
    <t>8707-institsales@homedepot.com.mx</t>
  </si>
  <si>
    <t xml:space="preserve">8952020020165698729 </t>
  </si>
  <si>
    <t>860900062337100</t>
  </si>
  <si>
    <t>YOLANDA</t>
  </si>
  <si>
    <t>ZAPATA</t>
  </si>
  <si>
    <t>8707-prodesk@homedepot.com.mx</t>
  </si>
  <si>
    <t xml:space="preserve">8952020020165712108 </t>
  </si>
  <si>
    <t>860900062338132</t>
  </si>
  <si>
    <t>PEDRO FRANCISCO</t>
  </si>
  <si>
    <t>CERON</t>
  </si>
  <si>
    <t>SANABIA</t>
  </si>
  <si>
    <t>8707-prodeskmgr@homedepot.com.mx</t>
  </si>
  <si>
    <t xml:space="preserve">8952020020165699040 </t>
  </si>
  <si>
    <t>860478064952317</t>
  </si>
  <si>
    <t>MA. ANITA</t>
  </si>
  <si>
    <t>MEDELLIN</t>
  </si>
  <si>
    <t>8707-ProRep1@homedepot.com.mx</t>
  </si>
  <si>
    <t xml:space="preserve">8952020020165699032 </t>
  </si>
  <si>
    <t>860478064951509</t>
  </si>
  <si>
    <t>DE SANTIAGO</t>
  </si>
  <si>
    <t>8707-prorep2@homedepot.com.mx</t>
  </si>
  <si>
    <t xml:space="preserve">8952020020165699024 </t>
  </si>
  <si>
    <t>860900062337696</t>
  </si>
  <si>
    <t>SIMEON</t>
  </si>
  <si>
    <t>8707-representantepyme@homedepot.com.mx</t>
  </si>
  <si>
    <t>8707-Pyme@homedepot.com.mx</t>
  </si>
  <si>
    <t xml:space="preserve">8952020920661711936 </t>
  </si>
  <si>
    <t>ZAPIEN</t>
  </si>
  <si>
    <t>8707-storemgr@homedepot.com.mx</t>
  </si>
  <si>
    <t xml:space="preserve">8952020920661711787 </t>
  </si>
  <si>
    <t>LUIS ALEJANDRO</t>
  </si>
  <si>
    <t>8708-delivery@homedepot.com.mx</t>
  </si>
  <si>
    <t xml:space="preserve">8952020518621903146 </t>
  </si>
  <si>
    <t>860900062735816</t>
  </si>
  <si>
    <t>REYNA NOHEMI</t>
  </si>
  <si>
    <t>OBESO</t>
  </si>
  <si>
    <t>ASISTENTE DE RH</t>
  </si>
  <si>
    <t>8708-institsales@homedepot.com.mx</t>
  </si>
  <si>
    <t xml:space="preserve">8952020520522112959 </t>
  </si>
  <si>
    <t>860900062735758</t>
  </si>
  <si>
    <t>AMILCAR DEL ROSARIO</t>
  </si>
  <si>
    <t>LABRADA</t>
  </si>
  <si>
    <t>8708-ProRep1@homedepot.com.mx</t>
  </si>
  <si>
    <t xml:space="preserve">8952020920120906655 </t>
  </si>
  <si>
    <t>860900062735709</t>
  </si>
  <si>
    <t>8708-ProRep5@homedepot.com.mx</t>
  </si>
  <si>
    <t xml:space="preserve">8952020518220319363 </t>
  </si>
  <si>
    <t>860478060199244</t>
  </si>
  <si>
    <t>8708-ProRep2@homedepot.com.mx</t>
  </si>
  <si>
    <t xml:space="preserve">8952020517521728074 </t>
  </si>
  <si>
    <t>860478062352452</t>
  </si>
  <si>
    <t>8708-ProRep3@homedepot.com.mx</t>
  </si>
  <si>
    <t xml:space="preserve">8952020520522107900 </t>
  </si>
  <si>
    <t>DIANA KARELY</t>
  </si>
  <si>
    <t>8708-PROREP4@HOMEDEPOT.COM.MX</t>
  </si>
  <si>
    <t xml:space="preserve">8952020019620240887 </t>
  </si>
  <si>
    <t>860478064969170</t>
  </si>
  <si>
    <t>YOVANNI GUADALUPE</t>
  </si>
  <si>
    <t>8708-pyme@homedepot.com.mx</t>
  </si>
  <si>
    <t xml:space="preserve">8952020920120906523 </t>
  </si>
  <si>
    <t>860900062731963</t>
  </si>
  <si>
    <t>ENCINAS</t>
  </si>
  <si>
    <t>COORDINACIÓN RENTA DE HERRAMIENTAS</t>
  </si>
  <si>
    <t>8710-ProRep2@homedepot.com.mx</t>
  </si>
  <si>
    <t>8710 - NOGALAR</t>
  </si>
  <si>
    <t xml:space="preserve">8952020020340515392 </t>
  </si>
  <si>
    <t>860478060660773</t>
  </si>
  <si>
    <t>DEL ANGEL</t>
  </si>
  <si>
    <t>8708-storemgr@homedepot.com.mx</t>
  </si>
  <si>
    <t xml:space="preserve">8952020520522107793 </t>
  </si>
  <si>
    <t>HOMERO</t>
  </si>
  <si>
    <t>8710-delivery@homedepot.com.mx</t>
  </si>
  <si>
    <t xml:space="preserve">8952020020340516879 </t>
  </si>
  <si>
    <t>860900062334743</t>
  </si>
  <si>
    <t>EDITH ALEJANDRA</t>
  </si>
  <si>
    <t>8710-institsales@homedepot.com.mx</t>
  </si>
  <si>
    <t xml:space="preserve">8952020020340516689 </t>
  </si>
  <si>
    <t>860900062335021</t>
  </si>
  <si>
    <t>ALICIA MARIBEL</t>
  </si>
  <si>
    <t>GARZA</t>
  </si>
  <si>
    <t>8710-prodeskmgr@homedepot.com.mx</t>
  </si>
  <si>
    <t xml:space="preserve">8952020020340517257 </t>
  </si>
  <si>
    <t>860478064807636</t>
  </si>
  <si>
    <t>JOSE ARMANDO</t>
  </si>
  <si>
    <t>8710-prorep1@homedepot.com.mx</t>
  </si>
  <si>
    <t>8710-PROREP1@homedepot.com.mx</t>
  </si>
  <si>
    <t xml:space="preserve">8952020020340515798 </t>
  </si>
  <si>
    <t>860478062096505</t>
  </si>
  <si>
    <t>8710-toolrental@homedepot.com.mx</t>
  </si>
  <si>
    <t xml:space="preserve">8952020622440932250 </t>
  </si>
  <si>
    <t>2025-08-18</t>
  </si>
  <si>
    <t>2026-08-18</t>
  </si>
  <si>
    <t>MARIA ISABEL</t>
  </si>
  <si>
    <t>ISAAC</t>
  </si>
  <si>
    <t>8710-pyme@homedepot.com.mx</t>
  </si>
  <si>
    <t xml:space="preserve">8952020021241728126 </t>
  </si>
  <si>
    <t>LUGO</t>
  </si>
  <si>
    <t>8710-storemgr@homedepot.com.mx</t>
  </si>
  <si>
    <t xml:space="preserve">8952020221644594667 </t>
  </si>
  <si>
    <t>CHRISTIAN ANTONIO</t>
  </si>
  <si>
    <t>ALBIN</t>
  </si>
  <si>
    <t>AVIÑA</t>
  </si>
  <si>
    <t>8713-storemgr@homedepot.com.mx</t>
  </si>
  <si>
    <t>8713 - HENEQUEN</t>
  </si>
  <si>
    <t xml:space="preserve">8952020521130105831 </t>
  </si>
  <si>
    <t>ZULEIKA</t>
  </si>
  <si>
    <t>ARCINIEGA</t>
  </si>
  <si>
    <t>8713-institsales@homedepot.com.mx</t>
  </si>
  <si>
    <t xml:space="preserve">8952020319630257784 </t>
  </si>
  <si>
    <t>860900062257290</t>
  </si>
  <si>
    <t>MONARREZ</t>
  </si>
  <si>
    <t>8713-prodeskmgr@homedepot.com.mx</t>
  </si>
  <si>
    <t xml:space="preserve">8952020319630257974 </t>
  </si>
  <si>
    <t>860478064844985</t>
  </si>
  <si>
    <t>LUIS EVER</t>
  </si>
  <si>
    <t>BERUMEN</t>
  </si>
  <si>
    <t>8713-prorep1@homedepot.com.mx</t>
  </si>
  <si>
    <t xml:space="preserve">8952020319630258006 </t>
  </si>
  <si>
    <t>860478064857540</t>
  </si>
  <si>
    <t>HUMBERTO</t>
  </si>
  <si>
    <t>8713-ProRep2@homedepot.com.mx</t>
  </si>
  <si>
    <t xml:space="preserve">8952020319630257990 </t>
  </si>
  <si>
    <t>860478064858852</t>
  </si>
  <si>
    <t>PAMELA ANAHI</t>
  </si>
  <si>
    <t>DE LA FUENTE</t>
  </si>
  <si>
    <t>8713-pyme@homedepot.com.mx</t>
  </si>
  <si>
    <t>8713-representantepyme@homedepot.com.mx</t>
  </si>
  <si>
    <t xml:space="preserve">8952020023131222434 </t>
  </si>
  <si>
    <t>860900062238506</t>
  </si>
  <si>
    <t>8713-salesrep@homedepot.com.mx</t>
  </si>
  <si>
    <t>8713-ProRep3@homedepot.com.mx</t>
  </si>
  <si>
    <t xml:space="preserve">8952020319630257966 </t>
  </si>
  <si>
    <t>860478064874909</t>
  </si>
  <si>
    <t>PAULINA ALEJANDRA</t>
  </si>
  <si>
    <t>8716-ProRep1@homedepot.com.mx</t>
  </si>
  <si>
    <t>8716 - LEON</t>
  </si>
  <si>
    <t xml:space="preserve">8952020020165698950 </t>
  </si>
  <si>
    <t>860478064953026</t>
  </si>
  <si>
    <t>MARCELO</t>
  </si>
  <si>
    <t>CHAVARRIA</t>
  </si>
  <si>
    <t>8714-delivery@homedepot.com.mx</t>
  </si>
  <si>
    <t>8714 - LOPEZ MATEOS</t>
  </si>
  <si>
    <t xml:space="preserve">8952020319630257735 </t>
  </si>
  <si>
    <t>860900062255401</t>
  </si>
  <si>
    <t>CARLOS ARTURO</t>
  </si>
  <si>
    <t>PIERCE</t>
  </si>
  <si>
    <t>8714-institsales@homedepot.com.mx</t>
  </si>
  <si>
    <t xml:space="preserve">8952020020631195466 </t>
  </si>
  <si>
    <t>860900062257316</t>
  </si>
  <si>
    <t>SERGIO RAYMUNDO</t>
  </si>
  <si>
    <t>8714-prodeskmgr@homedepot.com.mx</t>
  </si>
  <si>
    <t xml:space="preserve">8952020518632409265 </t>
  </si>
  <si>
    <t>860478064953190</t>
  </si>
  <si>
    <t>8714-prorep1@homedepot.com.mx</t>
  </si>
  <si>
    <t xml:space="preserve">8952020319630257859 </t>
  </si>
  <si>
    <t>860478060031819</t>
  </si>
  <si>
    <t>LUIS</t>
  </si>
  <si>
    <t>QUIROZ</t>
  </si>
  <si>
    <t>8714-representantepyme@homedepot.com.mx</t>
  </si>
  <si>
    <t>8714-pyme@homedepot.com.mx</t>
  </si>
  <si>
    <t xml:space="preserve">8952020521130105898 </t>
  </si>
  <si>
    <t>LUIS ROBERTO</t>
  </si>
  <si>
    <t>MORIEL</t>
  </si>
  <si>
    <t>BARRIENTOS</t>
  </si>
  <si>
    <t>8714-salesrep@homedepot.com.mx</t>
  </si>
  <si>
    <t>8714-ProRep2@homedepot.com.mx</t>
  </si>
  <si>
    <t xml:space="preserve">8952020319630257826 </t>
  </si>
  <si>
    <t>860478064949370</t>
  </si>
  <si>
    <t>EDGAR ANTONIO</t>
  </si>
  <si>
    <t>8714-storemgr@homedepot.com.mx</t>
  </si>
  <si>
    <t xml:space="preserve">8952020521130105849 </t>
  </si>
  <si>
    <t>8716-delivery@homedepot.com.mx</t>
  </si>
  <si>
    <t xml:space="preserve">8952020020165698885 </t>
  </si>
  <si>
    <t>860900062338181</t>
  </si>
  <si>
    <t>JAQUELINE ELIZABETH</t>
  </si>
  <si>
    <t>SAAVEDRA</t>
  </si>
  <si>
    <t>RIZO</t>
  </si>
  <si>
    <t>8716-institsales@homedepot.com.mx</t>
  </si>
  <si>
    <t xml:space="preserve">8952020020165698802 </t>
  </si>
  <si>
    <t>860900062338009</t>
  </si>
  <si>
    <t>BENITES</t>
  </si>
  <si>
    <t>8716-prodesk1@homedepot.com.mx</t>
  </si>
  <si>
    <t xml:space="preserve">8952020920661711696 </t>
  </si>
  <si>
    <t>JOSE ERICK</t>
  </si>
  <si>
    <t>8716-prodeskmgr@homedepot.com.mx</t>
  </si>
  <si>
    <t xml:space="preserve">8952020020165698943 </t>
  </si>
  <si>
    <t>860478064951202</t>
  </si>
  <si>
    <t>8716-prorep1@homedepot.com.mx</t>
  </si>
  <si>
    <t xml:space="preserve">8952020020165698968 </t>
  </si>
  <si>
    <t>860900062337563</t>
  </si>
  <si>
    <t>8716-ProRep3@homedepot.com.mx</t>
  </si>
  <si>
    <t xml:space="preserve">8952020020165698976 </t>
  </si>
  <si>
    <t>860478064854646</t>
  </si>
  <si>
    <t>LUZ MARIA</t>
  </si>
  <si>
    <t>MACIAS</t>
  </si>
  <si>
    <t>8716-ProRep2@homedepot.com.mx</t>
  </si>
  <si>
    <t xml:space="preserve">8952020020165699073 </t>
  </si>
  <si>
    <t>860478064952598</t>
  </si>
  <si>
    <t>8719-ProRep2@homedepot.com.mx</t>
  </si>
  <si>
    <t>8719 - CHIHUAHUA</t>
  </si>
  <si>
    <t xml:space="preserve">8952020319630257594 </t>
  </si>
  <si>
    <t>860478064859389</t>
  </si>
  <si>
    <t>JORGE LUIS</t>
  </si>
  <si>
    <t>8716-storemgr@homedepot.com.mx</t>
  </si>
  <si>
    <t xml:space="preserve">8952020920661711837 </t>
  </si>
  <si>
    <t>KEVIN OSWALDO</t>
  </si>
  <si>
    <t>CARREON</t>
  </si>
  <si>
    <t>8719-delivery@homedepot.com.mx</t>
  </si>
  <si>
    <t xml:space="preserve">8952020922331645114 </t>
  </si>
  <si>
    <t>860900062257423</t>
  </si>
  <si>
    <t>DIANA YAMILETH</t>
  </si>
  <si>
    <t>ROSALES</t>
  </si>
  <si>
    <t>8719-institsales@homedepot.com.mx</t>
  </si>
  <si>
    <t xml:space="preserve">8952020319630257743 </t>
  </si>
  <si>
    <t>860900062257225</t>
  </si>
  <si>
    <t>ARMANDO MAURO</t>
  </si>
  <si>
    <t>8719-prodeskmgr@homedepot.com.mx</t>
  </si>
  <si>
    <t xml:space="preserve">8952020319630257602 </t>
  </si>
  <si>
    <t>860478064858845</t>
  </si>
  <si>
    <t>MIREYA</t>
  </si>
  <si>
    <t>OLIVAS</t>
  </si>
  <si>
    <t>APODACA</t>
  </si>
  <si>
    <t>8719-prorep1@homedepot.com.mx</t>
  </si>
  <si>
    <t xml:space="preserve">8952020319630257909 </t>
  </si>
  <si>
    <t>860478064953174</t>
  </si>
  <si>
    <t>8719-pyme@homedepot.com.mx</t>
  </si>
  <si>
    <t xml:space="preserve">8952020521130105922 </t>
  </si>
  <si>
    <t>NORMA</t>
  </si>
  <si>
    <t>8719-ProRep3@homedepot.com.mx</t>
  </si>
  <si>
    <t xml:space="preserve">8952020319630257586 </t>
  </si>
  <si>
    <t>860478064953778</t>
  </si>
  <si>
    <t>8719-storemgr@homedepot.com.mx</t>
  </si>
  <si>
    <t xml:space="preserve">8952020021334166176 </t>
  </si>
  <si>
    <t>ARAUJO</t>
  </si>
  <si>
    <t>VALLE</t>
  </si>
  <si>
    <t>8720-InstitSales@homedepot.com.mx</t>
  </si>
  <si>
    <t>8720 - HERMOSILLO</t>
  </si>
  <si>
    <t xml:space="preserve">8952020920120906614 </t>
  </si>
  <si>
    <t>860900062319082</t>
  </si>
  <si>
    <t>JOSE ESTEBAN</t>
  </si>
  <si>
    <t>FRAIRE</t>
  </si>
  <si>
    <t>ISLAS</t>
  </si>
  <si>
    <t>8720-delivery@homedepot.com.mx</t>
  </si>
  <si>
    <t>8720-Delivery@homedepot.com.mx</t>
  </si>
  <si>
    <t xml:space="preserve">8952020517521734858 </t>
  </si>
  <si>
    <t>860900062318753</t>
  </si>
  <si>
    <t>8720-institsales@homedepot.com.mx</t>
  </si>
  <si>
    <t xml:space="preserve">8952020518621904821 </t>
  </si>
  <si>
    <t>860900062337373</t>
  </si>
  <si>
    <t>OLIVER</t>
  </si>
  <si>
    <t>ENTRENADOR(A) DE CAMPO</t>
  </si>
  <si>
    <t>8723-institsales@homedepot.com.mx</t>
  </si>
  <si>
    <t>8723 - TECNOLOGICO</t>
  </si>
  <si>
    <t xml:space="preserve">8952020319630257750 </t>
  </si>
  <si>
    <t>860900062257357</t>
  </si>
  <si>
    <t>CLAUDIA MAGDALENA</t>
  </si>
  <si>
    <t>PINO</t>
  </si>
  <si>
    <t>8720-RepresentantePyme@homedepot.com.mx</t>
  </si>
  <si>
    <t xml:space="preserve">8952020920120906648 </t>
  </si>
  <si>
    <t>860900062336326</t>
  </si>
  <si>
    <t>IMPERIAL</t>
  </si>
  <si>
    <t>GERMAN</t>
  </si>
  <si>
    <t>8720-prodeskmgr@homedepot.com.mx</t>
  </si>
  <si>
    <t xml:space="preserve">8952020920120906580 </t>
  </si>
  <si>
    <t>860478064864124</t>
  </si>
  <si>
    <t>LILIANA</t>
  </si>
  <si>
    <t>DELGADILLO</t>
  </si>
  <si>
    <t>SAYAS</t>
  </si>
  <si>
    <t>8720-prorep1@homedepot.com.mx</t>
  </si>
  <si>
    <t xml:space="preserve">8952020920120906465 </t>
  </si>
  <si>
    <t>860478064863126</t>
  </si>
  <si>
    <t>8720-prorep2@homedepot.com.mx</t>
  </si>
  <si>
    <t xml:space="preserve">8952020019620240705 </t>
  </si>
  <si>
    <t>860478064863555</t>
  </si>
  <si>
    <t>RAFAEL ALEJANDRO</t>
  </si>
  <si>
    <t>8720-representantepyme@homedepot.com.mx</t>
  </si>
  <si>
    <t xml:space="preserve">8952020518621908665 </t>
  </si>
  <si>
    <t>860900062337225</t>
  </si>
  <si>
    <t>SAMUEL</t>
  </si>
  <si>
    <t>SIERRA</t>
  </si>
  <si>
    <t>8720-salesrep@homedepot.com.mx</t>
  </si>
  <si>
    <t>8720-ProRep3@homedepot.com.mx</t>
  </si>
  <si>
    <t xml:space="preserve">8952020920120906606 </t>
  </si>
  <si>
    <t>860478064863258</t>
  </si>
  <si>
    <t>HECTOR RAMON</t>
  </si>
  <si>
    <t>VALVERDE</t>
  </si>
  <si>
    <t>8720-storemgr@homedepot.com.mx</t>
  </si>
  <si>
    <t xml:space="preserve">8952020520522107785 </t>
  </si>
  <si>
    <t>JESUS ABRAHAM</t>
  </si>
  <si>
    <t>VALERO</t>
  </si>
  <si>
    <t>8723-delivery@homedepot.com.mx</t>
  </si>
  <si>
    <t xml:space="preserve">8952020521130105880 </t>
  </si>
  <si>
    <t>MARIA REYNALDA</t>
  </si>
  <si>
    <t>8723-Delivery@homedepot.com.mx</t>
  </si>
  <si>
    <t xml:space="preserve">8952020020633946965 </t>
  </si>
  <si>
    <t>RUBEN ANDRES</t>
  </si>
  <si>
    <t>CAZAREZ</t>
  </si>
  <si>
    <t xml:space="preserve">8952020020631195425 </t>
  </si>
  <si>
    <t>860900062255831</t>
  </si>
  <si>
    <t xml:space="preserve">CAMBIO DE EQUIPO POR DAÑO CARGO AL CENTOR DE COSTOS </t>
  </si>
  <si>
    <t>JOSE FRANCISCO</t>
  </si>
  <si>
    <t>8724-PROREP1@homedepot.com.mx</t>
  </si>
  <si>
    <t>8724 - TLALNEPANTLA</t>
  </si>
  <si>
    <t xml:space="preserve">8952020520498312278 </t>
  </si>
  <si>
    <t>860478060204580</t>
  </si>
  <si>
    <t>GLADYS</t>
  </si>
  <si>
    <t>8723-prodeskmgr@homedepot.com.mx</t>
  </si>
  <si>
    <t xml:space="preserve">8952020319630257610 </t>
  </si>
  <si>
    <t>860478064860718</t>
  </si>
  <si>
    <t>ALEJANDRA TRINIDAD</t>
  </si>
  <si>
    <t>8723-ProRep2@homedepot.com.mx</t>
  </si>
  <si>
    <t xml:space="preserve">8952020319630257628 </t>
  </si>
  <si>
    <t>860478064854323</t>
  </si>
  <si>
    <t>8723-ProRep3@homedepot.com.mx</t>
  </si>
  <si>
    <t xml:space="preserve">8952020319630257982 </t>
  </si>
  <si>
    <t>860478064952655</t>
  </si>
  <si>
    <t>IGNACIO</t>
  </si>
  <si>
    <t>ACEVES</t>
  </si>
  <si>
    <t>8723-representantepyme@homedepot.com.mx</t>
  </si>
  <si>
    <t xml:space="preserve">8952020023131147987 </t>
  </si>
  <si>
    <t>ROJERO</t>
  </si>
  <si>
    <t>8723-salesrep@homedepot.com.mx</t>
  </si>
  <si>
    <t>8723-ProRep1@homedepot.com.mx</t>
  </si>
  <si>
    <t xml:space="preserve">8952020319630257578 </t>
  </si>
  <si>
    <t>860478064984476</t>
  </si>
  <si>
    <t>LICERIO</t>
  </si>
  <si>
    <t>8723-storemgr@homedepot.com.mx</t>
  </si>
  <si>
    <t xml:space="preserve">8952020521130105856 </t>
  </si>
  <si>
    <t>8724-delivery@homedepot.com.mx</t>
  </si>
  <si>
    <t xml:space="preserve">8952020520498310702 </t>
  </si>
  <si>
    <t>860900062323761</t>
  </si>
  <si>
    <t>MERLOS</t>
  </si>
  <si>
    <t>8724-institsales@homedepot.com.mx</t>
  </si>
  <si>
    <t xml:space="preserve">8952020520498310041 </t>
  </si>
  <si>
    <t>860900062323357</t>
  </si>
  <si>
    <t>CORDERO</t>
  </si>
  <si>
    <t>8724-prodesk1@homedepot.com.mx</t>
  </si>
  <si>
    <t>8724-pyme@homedepot.com.mx</t>
  </si>
  <si>
    <t xml:space="preserve">8952020520498312682 </t>
  </si>
  <si>
    <t>860900062323746</t>
  </si>
  <si>
    <t>MARLEN</t>
  </si>
  <si>
    <t>BLANCAS</t>
  </si>
  <si>
    <t>8724-prodeskmgr@homedepot.com.mx</t>
  </si>
  <si>
    <t xml:space="preserve">8952020520498312302 </t>
  </si>
  <si>
    <t>860478060204556</t>
  </si>
  <si>
    <t>8724-PROREP2@homedepot.com.mx</t>
  </si>
  <si>
    <t xml:space="preserve">8952020520498312211 </t>
  </si>
  <si>
    <t>860478062373524</t>
  </si>
  <si>
    <t>ADAN</t>
  </si>
  <si>
    <t>ESCALONA</t>
  </si>
  <si>
    <t>8724-storemgr@homedepot.com.mx</t>
  </si>
  <si>
    <t xml:space="preserve">8952020021391851421 </t>
  </si>
  <si>
    <t>ELENA</t>
  </si>
  <si>
    <t>ATILANO</t>
  </si>
  <si>
    <t>GOROSTIOLA</t>
  </si>
  <si>
    <t>8724-salesrep@homedepot.com.mx</t>
  </si>
  <si>
    <t>8724-ProRep3@homedepot.com.mx</t>
  </si>
  <si>
    <t xml:space="preserve">8952020923493768520 </t>
  </si>
  <si>
    <t>867471072380277</t>
  </si>
  <si>
    <t>GUILLERMINA</t>
  </si>
  <si>
    <t>SIMON</t>
  </si>
  <si>
    <t>8725-delivery@homedepot.com.mx</t>
  </si>
  <si>
    <t>8725 - NAUCALPAN</t>
  </si>
  <si>
    <t xml:space="preserve">8952020020199243450 </t>
  </si>
  <si>
    <t>860900062336813</t>
  </si>
  <si>
    <t>8725-entregasdirectas@homedepot.com.mx</t>
  </si>
  <si>
    <t xml:space="preserve">8952020023195138724 </t>
  </si>
  <si>
    <t>860900062336862</t>
  </si>
  <si>
    <t>ROSA ILLIANA</t>
  </si>
  <si>
    <t>8725-ProRep2@homedepot.com.mx</t>
  </si>
  <si>
    <t xml:space="preserve">8952020221496820004 </t>
  </si>
  <si>
    <t>860478062096885</t>
  </si>
  <si>
    <t>8725-institsales@homedepot.com.mx</t>
  </si>
  <si>
    <t xml:space="preserve">8952020019496566860 </t>
  </si>
  <si>
    <t>860900062336755</t>
  </si>
  <si>
    <t>MICHELLE YOSHUA</t>
  </si>
  <si>
    <t>MARTELL</t>
  </si>
  <si>
    <t>8725-prodeskmgr@homedepot.com.mx</t>
  </si>
  <si>
    <t xml:space="preserve">8952020520498312039 </t>
  </si>
  <si>
    <t>860478060184477</t>
  </si>
  <si>
    <t>AMADO DELFINO</t>
  </si>
  <si>
    <t>8725-ProRep1@homedepot.com.mx</t>
  </si>
  <si>
    <t xml:space="preserve">8952020520498312252 </t>
  </si>
  <si>
    <t>860478064061697</t>
  </si>
  <si>
    <t>8725-storemgr@homedepot.com.mx</t>
  </si>
  <si>
    <t xml:space="preserve">8952020021391851488 </t>
  </si>
  <si>
    <t>PALMA</t>
  </si>
  <si>
    <t>8725-representantepyme@homedepot.com.mx</t>
  </si>
  <si>
    <t>8725-RepresentantePyme@homedepot.com.mx</t>
  </si>
  <si>
    <t xml:space="preserve">8952020023195128337 </t>
  </si>
  <si>
    <t>860900062336292</t>
  </si>
  <si>
    <t>MICHEL ABRAHAM</t>
  </si>
  <si>
    <t>8726-delivery@homedepot.com.mx</t>
  </si>
  <si>
    <t>8726 - CUERNAVACA</t>
  </si>
  <si>
    <t xml:space="preserve">8952020520498370318 </t>
  </si>
  <si>
    <t>860900062238712</t>
  </si>
  <si>
    <t>8726-prodesk1@homedepot.com.mx</t>
  </si>
  <si>
    <t>8726-prodesk@homedepot.com.mx</t>
  </si>
  <si>
    <t xml:space="preserve">8952020520498310843 </t>
  </si>
  <si>
    <t>860900062256854</t>
  </si>
  <si>
    <t>8726-institsales@homedepot.com.mx</t>
  </si>
  <si>
    <t xml:space="preserve">8952020520498310231 </t>
  </si>
  <si>
    <t>860900062256847</t>
  </si>
  <si>
    <t>CRISTINA IRAIS</t>
  </si>
  <si>
    <t>LANDA</t>
  </si>
  <si>
    <t>8726-prodeskmgr@homedepot.com.mx</t>
  </si>
  <si>
    <t xml:space="preserve">8952020520498312179 </t>
  </si>
  <si>
    <t>860478063794439</t>
  </si>
  <si>
    <t>LAURA ELENA</t>
  </si>
  <si>
    <t>LIMA</t>
  </si>
  <si>
    <t>OCAMPO</t>
  </si>
  <si>
    <t xml:space="preserve">8952020021391851082 </t>
  </si>
  <si>
    <t>8728-prodeskmgr@homedepot.com.mx</t>
  </si>
  <si>
    <t>8728 - TORREON</t>
  </si>
  <si>
    <t xml:space="preserve">8952020019531164234 </t>
  </si>
  <si>
    <t>860478064859405</t>
  </si>
  <si>
    <t>RUBI</t>
  </si>
  <si>
    <t>8726-ProRep1@homedepot.com.mx</t>
  </si>
  <si>
    <t xml:space="preserve">8952020520498312070 </t>
  </si>
  <si>
    <t>860478063794314</t>
  </si>
  <si>
    <t>8726-ProRep2@homedepot.com.mx</t>
  </si>
  <si>
    <t xml:space="preserve">8952020520498312096 </t>
  </si>
  <si>
    <t>860478063794397</t>
  </si>
  <si>
    <t>JONATHAN YHAIR</t>
  </si>
  <si>
    <t>VALERA</t>
  </si>
  <si>
    <t>8726-ProRep3@homedepot.com.mx</t>
  </si>
  <si>
    <t xml:space="preserve">8952020520498312062 </t>
  </si>
  <si>
    <t>860478063793738</t>
  </si>
  <si>
    <t>EMIGDIO PEDRO</t>
  </si>
  <si>
    <t>SORIANO</t>
  </si>
  <si>
    <t>8726-storemgr@homedepot.com.mx</t>
  </si>
  <si>
    <t xml:space="preserve">8952020021391851413 </t>
  </si>
  <si>
    <t>MARIA ABIGAIL</t>
  </si>
  <si>
    <t>8727-Delivery@homedepot.com.mx</t>
  </si>
  <si>
    <t>8727 - GUADALAJARA ITESO</t>
  </si>
  <si>
    <t xml:space="preserve">8952020020252232705 </t>
  </si>
  <si>
    <t>860900062255047</t>
  </si>
  <si>
    <t>HECTOR ALEJANDRO</t>
  </si>
  <si>
    <t>ALBA</t>
  </si>
  <si>
    <t xml:space="preserve">8952020020252233158 </t>
  </si>
  <si>
    <t>860900062319090</t>
  </si>
  <si>
    <t>VERONICA YADIRA</t>
  </si>
  <si>
    <t>8727-entregasdirectas@homedepot.com.mx</t>
  </si>
  <si>
    <t xml:space="preserve">8952020520652193951 </t>
  </si>
  <si>
    <t xml:space="preserve">cambio </t>
  </si>
  <si>
    <t>BEATRIZ ARACELI</t>
  </si>
  <si>
    <t>TAVARES</t>
  </si>
  <si>
    <t>8727-institsales@homedepot.com.mx</t>
  </si>
  <si>
    <t xml:space="preserve">8952020319551592292 </t>
  </si>
  <si>
    <t>860900062255476</t>
  </si>
  <si>
    <t>LETICIA</t>
  </si>
  <si>
    <t>8727-prodesk1@homedepot.com.mx</t>
  </si>
  <si>
    <t>8727-pyme@homedepot.com.mx</t>
  </si>
  <si>
    <t xml:space="preserve">8952020020252233133 </t>
  </si>
  <si>
    <t>860900062255104</t>
  </si>
  <si>
    <t>8727-ProRep1@homedepot.com.mx</t>
  </si>
  <si>
    <t xml:space="preserve">8952020020252232960 </t>
  </si>
  <si>
    <t>860478064794651</t>
  </si>
  <si>
    <t>MARIA ARACELI</t>
  </si>
  <si>
    <t>TAMAYO</t>
  </si>
  <si>
    <t>8727-ProRep2@homedepot.com.mx</t>
  </si>
  <si>
    <t xml:space="preserve">8952020315450223401 </t>
  </si>
  <si>
    <t>860478063821398</t>
  </si>
  <si>
    <t>ARTEAGA</t>
  </si>
  <si>
    <t>8727-storemgr@homedepot.com.mx</t>
  </si>
  <si>
    <t xml:space="preserve">8952020218452395211 </t>
  </si>
  <si>
    <t>8728-delivery@homedepot.com.mx</t>
  </si>
  <si>
    <t xml:space="preserve">8952020319630257800 </t>
  </si>
  <si>
    <t>860900062257415</t>
  </si>
  <si>
    <t>SORAYA ELIZABETH</t>
  </si>
  <si>
    <t>8728-institsales@homedepot.com.mx</t>
  </si>
  <si>
    <t xml:space="preserve">8952020917330680567 </t>
  </si>
  <si>
    <t>860900062257365</t>
  </si>
  <si>
    <t>LUISA FERNANDA</t>
  </si>
  <si>
    <t>CORTINAS</t>
  </si>
  <si>
    <t>ALVIREZ</t>
  </si>
  <si>
    <t>8728-prodesk1@homedepot.com.mx</t>
  </si>
  <si>
    <t>8728-pyme@homedepot.com.mx</t>
  </si>
  <si>
    <t xml:space="preserve">8952020319630257891 </t>
  </si>
  <si>
    <t>860900062238894</t>
  </si>
  <si>
    <t>8728-ProRep3@homedepot.com.mx</t>
  </si>
  <si>
    <t xml:space="preserve">8952020020631195417 </t>
  </si>
  <si>
    <t>860478064875765</t>
  </si>
  <si>
    <t>DAVID ALEJANDRO</t>
  </si>
  <si>
    <t>8728-ProRep2@homedepot.com.mx</t>
  </si>
  <si>
    <t xml:space="preserve">8952020319630257917 </t>
  </si>
  <si>
    <t>ELIAS EDUARDO</t>
  </si>
  <si>
    <t>SANTIBAÑEZ</t>
  </si>
  <si>
    <t>8728-prorep2@homedepot.com.mx</t>
  </si>
  <si>
    <t xml:space="preserve">8952020319630257958 </t>
  </si>
  <si>
    <t>860478064952630</t>
  </si>
  <si>
    <t xml:space="preserve">Numero numero de asociado 1074048 </t>
  </si>
  <si>
    <t>CHRISTIAN EDUARDO</t>
  </si>
  <si>
    <t>PARDO</t>
  </si>
  <si>
    <t>TENORIO</t>
  </si>
  <si>
    <t>8730-ProRep1@homedepot.com.mx</t>
  </si>
  <si>
    <t>8730 - TAMPICO</t>
  </si>
  <si>
    <t xml:space="preserve">8952020020340515962 </t>
  </si>
  <si>
    <t>860478064984682</t>
  </si>
  <si>
    <t>FRANCISCO OCTAVIO</t>
  </si>
  <si>
    <t>PERALES</t>
  </si>
  <si>
    <t>8728-salesrep@homedepot.com.mx</t>
  </si>
  <si>
    <t xml:space="preserve">8952020319630257941 </t>
  </si>
  <si>
    <t>860478064875567</t>
  </si>
  <si>
    <t>ALONSO EMMANUEL</t>
  </si>
  <si>
    <t>8728-storemgr@homedepot.com.mx</t>
  </si>
  <si>
    <t xml:space="preserve">8952020518632408671 </t>
  </si>
  <si>
    <t>JESUS ISRAEL</t>
  </si>
  <si>
    <t>ARANDA</t>
  </si>
  <si>
    <t>8729-delivery@homedepot.com.mx</t>
  </si>
  <si>
    <t>8729 - SALTILLO</t>
  </si>
  <si>
    <t xml:space="preserve">8952020021241480918 </t>
  </si>
  <si>
    <t>860900062338660</t>
  </si>
  <si>
    <t>DORA ALICIA</t>
  </si>
  <si>
    <t>REYNOSO</t>
  </si>
  <si>
    <t>8729-institsales@homedepot.com.mx</t>
  </si>
  <si>
    <t xml:space="preserve">8952020020340516721 </t>
  </si>
  <si>
    <t>860900062330766</t>
  </si>
  <si>
    <t>JUAN MIGUEL</t>
  </si>
  <si>
    <t>8729-prodeskmgr@homedepot.com.mx</t>
  </si>
  <si>
    <t xml:space="preserve">8952020020340516168 </t>
  </si>
  <si>
    <t>860478063777392</t>
  </si>
  <si>
    <t>8729-ProRep1@homedepot.com.mx</t>
  </si>
  <si>
    <t xml:space="preserve">8952020221440704171 </t>
  </si>
  <si>
    <t>860478063778531</t>
  </si>
  <si>
    <t>ANA KARLA</t>
  </si>
  <si>
    <t>PADILLA</t>
  </si>
  <si>
    <t>8729-ProRep2@homedepot.com.mx</t>
  </si>
  <si>
    <t xml:space="preserve">8952020020340516184 </t>
  </si>
  <si>
    <t>860478062096661</t>
  </si>
  <si>
    <t>8729-representantepyme@homedepot.com.mx</t>
  </si>
  <si>
    <t xml:space="preserve">8952020021241728183 </t>
  </si>
  <si>
    <t>ALMA LETICIA</t>
  </si>
  <si>
    <t>8729-storemgr@homedepot.com.mx</t>
  </si>
  <si>
    <t xml:space="preserve">8952020021241727714 </t>
  </si>
  <si>
    <t>HILDA ROSARIO</t>
  </si>
  <si>
    <t>8730-delivery@homedepot.com.mx</t>
  </si>
  <si>
    <t xml:space="preserve">8952020020340516960 </t>
  </si>
  <si>
    <t>860900062321872</t>
  </si>
  <si>
    <t>ISRAEL JONATHAN</t>
  </si>
  <si>
    <t>8730-institsales@homedepot.com.mx</t>
  </si>
  <si>
    <t xml:space="preserve">8952020021241726278 </t>
  </si>
  <si>
    <t>860900062337035</t>
  </si>
  <si>
    <t>MELLADO</t>
  </si>
  <si>
    <t>8730-prodesk2@homedepot.com.mx</t>
  </si>
  <si>
    <t xml:space="preserve">8952020021241728308 </t>
  </si>
  <si>
    <t>8730-prodeskmgr@homedepot.com.mx</t>
  </si>
  <si>
    <t xml:space="preserve">8952020020340515970 </t>
  </si>
  <si>
    <t>860478064984773</t>
  </si>
  <si>
    <t>8730-ProRep2@homedepot.com.mx</t>
  </si>
  <si>
    <t xml:space="preserve">8952020020340515418 </t>
  </si>
  <si>
    <t>860478063777715</t>
  </si>
  <si>
    <t>PADRON</t>
  </si>
  <si>
    <t>8730-prorep1@homedepot.com.mx</t>
  </si>
  <si>
    <t>8730-prodesk1@homedepot.com.mx</t>
  </si>
  <si>
    <t xml:space="preserve">8952020021241727136 </t>
  </si>
  <si>
    <t>MOSQUEDA</t>
  </si>
  <si>
    <t>8734-prorep2@homedepot.com.mx</t>
  </si>
  <si>
    <t>8734 - REYNOSA</t>
  </si>
  <si>
    <t xml:space="preserve">8952020020340516119 </t>
  </si>
  <si>
    <t>860478060691638</t>
  </si>
  <si>
    <t>JOSE ISIDRO</t>
  </si>
  <si>
    <t>SAENZ</t>
  </si>
  <si>
    <t>8730-storemgr@homedepot.com.mx</t>
  </si>
  <si>
    <t xml:space="preserve">8952020021241727672 </t>
  </si>
  <si>
    <t>RUBIO</t>
  </si>
  <si>
    <t>8733-delivery@homedepot.com.mx</t>
  </si>
  <si>
    <t>8733 - DURANGO</t>
  </si>
  <si>
    <t xml:space="preserve">8952020319630257677 </t>
  </si>
  <si>
    <t>860900062238472</t>
  </si>
  <si>
    <t>RITA DANIELA</t>
  </si>
  <si>
    <t>8733-institsales@homedepot.com.mx</t>
  </si>
  <si>
    <t xml:space="preserve">8952020319630257685 </t>
  </si>
  <si>
    <t>860900062257258</t>
  </si>
  <si>
    <t>8733-prodesk2@homedepot.com.mx</t>
  </si>
  <si>
    <t>8733-RepresentantePyme@homedepot.com.mx</t>
  </si>
  <si>
    <t xml:space="preserve">8952020521130105823 </t>
  </si>
  <si>
    <t>GILDARDO</t>
  </si>
  <si>
    <t>8733-prodeskmgr@homedepot.com.mx</t>
  </si>
  <si>
    <t xml:space="preserve">8952020319630257867 </t>
  </si>
  <si>
    <t>860478064844225</t>
  </si>
  <si>
    <t>8733-prorep1@homedepot.com.mx</t>
  </si>
  <si>
    <t xml:space="preserve">8952020319630257644 </t>
  </si>
  <si>
    <t>860478064976084</t>
  </si>
  <si>
    <t>JOEL</t>
  </si>
  <si>
    <t>8733-ProRep3@homedepot.com.mx</t>
  </si>
  <si>
    <t xml:space="preserve">8952020319630257636 </t>
  </si>
  <si>
    <t>860478064953117</t>
  </si>
  <si>
    <t>KARLA VERONICA</t>
  </si>
  <si>
    <t>DELFIN</t>
  </si>
  <si>
    <t>8733-pyme@homedepot.com.mx</t>
  </si>
  <si>
    <t>8733-representantepyme@homedepot.com.mx</t>
  </si>
  <si>
    <t xml:space="preserve">8952020521130105914 </t>
  </si>
  <si>
    <t>MARGARITA</t>
  </si>
  <si>
    <t>ABREGO</t>
  </si>
  <si>
    <t>8733-salesrep@homedepot.com.mx</t>
  </si>
  <si>
    <t>8733-ProRep2@homedepot.com.mx</t>
  </si>
  <si>
    <t xml:space="preserve">8952020319630257875 </t>
  </si>
  <si>
    <t>860478064953091</t>
  </si>
  <si>
    <t>HECTOR</t>
  </si>
  <si>
    <t>8733-storemgr@homedepot.com.mx</t>
  </si>
  <si>
    <t xml:space="preserve">8952020521130105864 </t>
  </si>
  <si>
    <t>ALEJANDRO IVAN</t>
  </si>
  <si>
    <t>8734-delivery@homedepot.com.mx</t>
  </si>
  <si>
    <t xml:space="preserve">8952020020340517000 </t>
  </si>
  <si>
    <t>860900062331467</t>
  </si>
  <si>
    <t>ENRIQUE</t>
  </si>
  <si>
    <t>8734-institsales@homedepot.com.mx</t>
  </si>
  <si>
    <t xml:space="preserve">8952020020340516747 </t>
  </si>
  <si>
    <t>860900062337076</t>
  </si>
  <si>
    <t>CARBALLO</t>
  </si>
  <si>
    <t>8734-prodeskmgr@homedepot.com.mx</t>
  </si>
  <si>
    <t xml:space="preserve">8952020020340516101 </t>
  </si>
  <si>
    <t>860478062096596</t>
  </si>
  <si>
    <t>JACINTO</t>
  </si>
  <si>
    <t>POZOS</t>
  </si>
  <si>
    <t>8734-ProRep1@homedepot.com.mx</t>
  </si>
  <si>
    <t xml:space="preserve">8952020020340516143 </t>
  </si>
  <si>
    <t>860478063778473</t>
  </si>
  <si>
    <t>8734-pyme@homedepot.com.mx</t>
  </si>
  <si>
    <t xml:space="preserve">8952020021241728092 </t>
  </si>
  <si>
    <t xml:space="preserve">Se renovo por renovacion tardia </t>
  </si>
  <si>
    <t>8735-ProRep3@homedepot.com.mx</t>
  </si>
  <si>
    <t>8735 - PUEBLA</t>
  </si>
  <si>
    <t xml:space="preserve">8952020519371172312 </t>
  </si>
  <si>
    <t>860478064969337</t>
  </si>
  <si>
    <t>NARANJO</t>
  </si>
  <si>
    <t>8734-storemgr@homedepot.com.mx</t>
  </si>
  <si>
    <t xml:space="preserve">8952020021241727680 </t>
  </si>
  <si>
    <t>POBLANO</t>
  </si>
  <si>
    <t>8735-delivery@homedepot.com.mx</t>
  </si>
  <si>
    <t xml:space="preserve">8952020519371172189 </t>
  </si>
  <si>
    <t>860900062321658</t>
  </si>
  <si>
    <t>JOSE PABLO</t>
  </si>
  <si>
    <t>8735-entregasdirectas@homedepot.com.mx</t>
  </si>
  <si>
    <t xml:space="preserve">8952020519371172247 </t>
  </si>
  <si>
    <t>860900062321591</t>
  </si>
  <si>
    <t>DURANA</t>
  </si>
  <si>
    <t>FILISOLA</t>
  </si>
  <si>
    <t>8735-institsales@homedepot.com.mx</t>
  </si>
  <si>
    <t xml:space="preserve">8952020519371172031 </t>
  </si>
  <si>
    <t>860900062321203</t>
  </si>
  <si>
    <t>8735-prodeskmgr@homedepot.com.mx</t>
  </si>
  <si>
    <t xml:space="preserve">8952020519371172783 </t>
  </si>
  <si>
    <t>860478063557687</t>
  </si>
  <si>
    <t>GLORIA</t>
  </si>
  <si>
    <t>8735-ProRep1@homedepot.com.mx</t>
  </si>
  <si>
    <t xml:space="preserve">8952020519371172775 </t>
  </si>
  <si>
    <t>860900062321179</t>
  </si>
  <si>
    <t>MARIA RUTH</t>
  </si>
  <si>
    <t>ABRAJAN</t>
  </si>
  <si>
    <t xml:space="preserve">8952020519371172304 </t>
  </si>
  <si>
    <t>860478061969140</t>
  </si>
  <si>
    <t>8735-ProRep2@homedepot.com.mx</t>
  </si>
  <si>
    <t xml:space="preserve">8952020519371172320 </t>
  </si>
  <si>
    <t>860478060033229</t>
  </si>
  <si>
    <t>UREÑA</t>
  </si>
  <si>
    <t>8736-delivery@homedepot.com.mx</t>
  </si>
  <si>
    <t>8736 - ACAPULCO</t>
  </si>
  <si>
    <t xml:space="preserve">8952020519371172114 </t>
  </si>
  <si>
    <t>860900062256342</t>
  </si>
  <si>
    <t>NORMA IVON</t>
  </si>
  <si>
    <t>AVENDAÑO</t>
  </si>
  <si>
    <t>8735-RepresentantePyme@homedepot.com.mx</t>
  </si>
  <si>
    <t xml:space="preserve">8952020519371172296 </t>
  </si>
  <si>
    <t>860900062321799</t>
  </si>
  <si>
    <t>JAZMIN</t>
  </si>
  <si>
    <t>8735-representantepyme@homedepot.com.mx</t>
  </si>
  <si>
    <t xml:space="preserve">8952020022279157055 </t>
  </si>
  <si>
    <t>JAIME ARTURO</t>
  </si>
  <si>
    <t>8735-storemgr@homedepot.com.mx</t>
  </si>
  <si>
    <t xml:space="preserve">8952020022279148062 </t>
  </si>
  <si>
    <t>358366320470092</t>
  </si>
  <si>
    <t xml:space="preserve">Robo de equipo cobrar al centro </t>
  </si>
  <si>
    <t>JAIRO DAVID</t>
  </si>
  <si>
    <t>8738-prodeskmgr@homedepot.com.mx</t>
  </si>
  <si>
    <t>8738 - QUERETARO</t>
  </si>
  <si>
    <t xml:space="preserve">8952020920161613426 </t>
  </si>
  <si>
    <t>860478063794512</t>
  </si>
  <si>
    <t>DEL CARMEN</t>
  </si>
  <si>
    <t>8736-institsales@homedepot.com.mx</t>
  </si>
  <si>
    <t xml:space="preserve">8952020022279148229 </t>
  </si>
  <si>
    <t>JOSE ENRIQUE ALEJANDRO</t>
  </si>
  <si>
    <t>DE LA MORA</t>
  </si>
  <si>
    <t>8736-prodeskmgr@homedepot.com.mx</t>
  </si>
  <si>
    <t xml:space="preserve">8952020519371172692 </t>
  </si>
  <si>
    <t>860478060664528</t>
  </si>
  <si>
    <t>PRISCO EUSTAQUIO</t>
  </si>
  <si>
    <t>8736-ProRep1@homedepot.com.mx</t>
  </si>
  <si>
    <t xml:space="preserve">8952020519371172528 </t>
  </si>
  <si>
    <t>860478060690531</t>
  </si>
  <si>
    <t>URIOSTEGUI</t>
  </si>
  <si>
    <t>8736-ProRep2@homedepot.com.mx</t>
  </si>
  <si>
    <t xml:space="preserve">8952020519371172502 </t>
  </si>
  <si>
    <t>860478062378747</t>
  </si>
  <si>
    <t>GUILLERMO</t>
  </si>
  <si>
    <t>8736-pyme@homedepot.com.mx</t>
  </si>
  <si>
    <t xml:space="preserve">8952020519371172726 </t>
  </si>
  <si>
    <t>860900062266333</t>
  </si>
  <si>
    <t>TOMATZIN</t>
  </si>
  <si>
    <t>8736-storemgr@homedepot.com.mx</t>
  </si>
  <si>
    <t xml:space="preserve">8952020521270815785 </t>
  </si>
  <si>
    <t>DIANA PILAR</t>
  </si>
  <si>
    <t>8738-delivery@homedepot.com.mx</t>
  </si>
  <si>
    <t xml:space="preserve">8952020020165698752 </t>
  </si>
  <si>
    <t>860900062258298</t>
  </si>
  <si>
    <t>LESLI</t>
  </si>
  <si>
    <t>COLIN</t>
  </si>
  <si>
    <t>VELEZ</t>
  </si>
  <si>
    <t>8738-institsales@homedepot.com.mx</t>
  </si>
  <si>
    <t xml:space="preserve">8952020020165698703 </t>
  </si>
  <si>
    <t>860900062257795</t>
  </si>
  <si>
    <t>8738-ProRep2@homedepot.com.mx</t>
  </si>
  <si>
    <t xml:space="preserve">8952020020165699172 </t>
  </si>
  <si>
    <t>860478063821257</t>
  </si>
  <si>
    <t>DENNIS HARIM</t>
  </si>
  <si>
    <t>ARRIETA</t>
  </si>
  <si>
    <t>8738-ProRep1@homedepot.com.mx</t>
  </si>
  <si>
    <t xml:space="preserve">8952020020165699164 </t>
  </si>
  <si>
    <t>860478063793787</t>
  </si>
  <si>
    <t>8739-ProRep1@homedepot.com.mx</t>
  </si>
  <si>
    <t>8739 - VILLAHERMOSA</t>
  </si>
  <si>
    <t xml:space="preserve">8952020519481244407 </t>
  </si>
  <si>
    <t>860478064951715</t>
  </si>
  <si>
    <t>DOLORES PATRICIA</t>
  </si>
  <si>
    <t>SANTAMARIA</t>
  </si>
  <si>
    <t>8738-pyme@homedepot.com.mx</t>
  </si>
  <si>
    <t xml:space="preserve">8952020217563016997 </t>
  </si>
  <si>
    <t>860900062258371</t>
  </si>
  <si>
    <t>JORGE IVAN</t>
  </si>
  <si>
    <t>8738-Storemgr@homedepot.com.mx</t>
  </si>
  <si>
    <t xml:space="preserve">8952020920661711795 </t>
  </si>
  <si>
    <t>MATEO</t>
  </si>
  <si>
    <t>ALPUCHE</t>
  </si>
  <si>
    <t>8739-delivery@homedepot.com.mx</t>
  </si>
  <si>
    <t xml:space="preserve">8952020518381804369 </t>
  </si>
  <si>
    <t>860900062257449</t>
  </si>
  <si>
    <t>LAURA PATRICIA</t>
  </si>
  <si>
    <t>8739-institsales@homedepot.com.mx</t>
  </si>
  <si>
    <t xml:space="preserve">8952020519481244035 </t>
  </si>
  <si>
    <t>860900062256698</t>
  </si>
  <si>
    <t>8739-prodesk1@homedepot.com.mx</t>
  </si>
  <si>
    <t>8739-pyme@homedepot.com.mx</t>
  </si>
  <si>
    <t xml:space="preserve">8952020520682885196 </t>
  </si>
  <si>
    <t>860900062257506</t>
  </si>
  <si>
    <t>LUIS IVAN</t>
  </si>
  <si>
    <t>8739-prodeskmgr@homedepot.com.mx</t>
  </si>
  <si>
    <t xml:space="preserve">8952020519481244233 </t>
  </si>
  <si>
    <t>860478064854828</t>
  </si>
  <si>
    <t>8739-ProRep2@homedepot.com.mx</t>
  </si>
  <si>
    <t xml:space="preserve">8952020519481244258 </t>
  </si>
  <si>
    <t>860478064845396</t>
  </si>
  <si>
    <t>MUÑECA IVORY</t>
  </si>
  <si>
    <t>CELIS</t>
  </si>
  <si>
    <t>8662-prodeskmgr@homedepot.com.mx</t>
  </si>
  <si>
    <t xml:space="preserve">8952020020252232929 </t>
  </si>
  <si>
    <t>860478062099178</t>
  </si>
  <si>
    <t>YULIANA</t>
  </si>
  <si>
    <t>LEON</t>
  </si>
  <si>
    <t>8739-Pyme@homedepot.com.mx</t>
  </si>
  <si>
    <t xml:space="preserve">8952020021586446649 </t>
  </si>
  <si>
    <t>ESTHER</t>
  </si>
  <si>
    <t>MONTERO</t>
  </si>
  <si>
    <t xml:space="preserve">8952020519481244621 </t>
  </si>
  <si>
    <t>MONCADA</t>
  </si>
  <si>
    <t>8739-storemgr@homedepot.com.mx</t>
  </si>
  <si>
    <t xml:space="preserve">8952020520682980864 </t>
  </si>
  <si>
    <t>MARIA ALMA</t>
  </si>
  <si>
    <t>8740-delivery@homedepot.com.mx</t>
  </si>
  <si>
    <t>8740 - LEON CENTRO MAX</t>
  </si>
  <si>
    <t xml:space="preserve">8952020020165698844 </t>
  </si>
  <si>
    <t>860900062336110</t>
  </si>
  <si>
    <t>8740-institsales@homedepot.com.mx</t>
  </si>
  <si>
    <t xml:space="preserve">8952020020165698810 </t>
  </si>
  <si>
    <t>860900062334529</t>
  </si>
  <si>
    <t>ERNESTO</t>
  </si>
  <si>
    <t>8740-prodeskmgr@homedepot.com.mx</t>
  </si>
  <si>
    <t xml:space="preserve">8952020016461510113 </t>
  </si>
  <si>
    <t>860478064978668</t>
  </si>
  <si>
    <t>CONDE</t>
  </si>
  <si>
    <t>8740-ProRep1@homedepot.com.mx</t>
  </si>
  <si>
    <t xml:space="preserve">8952020015562873826 </t>
  </si>
  <si>
    <t>860478064976035</t>
  </si>
  <si>
    <t>8740-ProRep2@homedepot.com.mx</t>
  </si>
  <si>
    <t xml:space="preserve">8952020920661711894 </t>
  </si>
  <si>
    <t>DOVALI</t>
  </si>
  <si>
    <t>8740-storemgr@homedepot.com.mx</t>
  </si>
  <si>
    <t xml:space="preserve">8952020920661711845 </t>
  </si>
  <si>
    <t>ESPINO</t>
  </si>
  <si>
    <t>8741-delivery@homedepot.com.mx</t>
  </si>
  <si>
    <t>8741-Receive@homedepot.com.mx</t>
  </si>
  <si>
    <t>8741 - MORELIA</t>
  </si>
  <si>
    <t xml:space="preserve">8952020020252232598 </t>
  </si>
  <si>
    <t>860900062336425</t>
  </si>
  <si>
    <t>8741-institsales@homedepot.com.mx</t>
  </si>
  <si>
    <t xml:space="preserve">8952020020252232556 </t>
  </si>
  <si>
    <t>860900062334438</t>
  </si>
  <si>
    <t>8741-prodeskmgr@homedepot.com.mx</t>
  </si>
  <si>
    <t xml:space="preserve">8952020020252232879 </t>
  </si>
  <si>
    <t>860478064847350</t>
  </si>
  <si>
    <t>8741-ProRep1@homedepot.com.mx</t>
  </si>
  <si>
    <t xml:space="preserve">8952020020252232846 </t>
  </si>
  <si>
    <t>860478064847285</t>
  </si>
  <si>
    <t>PARRALES</t>
  </si>
  <si>
    <t>8741-ProRep2@homedepot.com.mx</t>
  </si>
  <si>
    <t xml:space="preserve">8952020020252232853 </t>
  </si>
  <si>
    <t>860478064847277</t>
  </si>
  <si>
    <t>ERIK FERNANDO</t>
  </si>
  <si>
    <t>8741-storemgr@homedepot.com.mx</t>
  </si>
  <si>
    <t xml:space="preserve">8952020520652193829 </t>
  </si>
  <si>
    <t>8742-delivery@homedepot.com.mx</t>
  </si>
  <si>
    <t>8742 - CORDILLERAS</t>
  </si>
  <si>
    <t xml:space="preserve">8952020220650549441 </t>
  </si>
  <si>
    <t>FATIMA DEL CARMEN</t>
  </si>
  <si>
    <t>8742-institsales@homedepot.com.mx</t>
  </si>
  <si>
    <t>8743 - MERIDA</t>
  </si>
  <si>
    <t xml:space="preserve">8952020020252232655 </t>
  </si>
  <si>
    <t>860900062255914</t>
  </si>
  <si>
    <t>LAUREN ELIDANIA</t>
  </si>
  <si>
    <t>8742-prodeskmgr@homedepot.com.mx</t>
  </si>
  <si>
    <t xml:space="preserve">8952020020252232770 </t>
  </si>
  <si>
    <t>860478063746983</t>
  </si>
  <si>
    <t>PAULINA GUADALUPE</t>
  </si>
  <si>
    <t>8742-prorep1@homedepot.com.mx</t>
  </si>
  <si>
    <t xml:space="preserve">8952020617652981995 </t>
  </si>
  <si>
    <t>860478063794207</t>
  </si>
  <si>
    <t>8742-ProRep2@homedepot.com.mx</t>
  </si>
  <si>
    <t xml:space="preserve">8952020023557066174 </t>
  </si>
  <si>
    <t>358366320031712</t>
  </si>
  <si>
    <t>SABINA</t>
  </si>
  <si>
    <t>MORTEO</t>
  </si>
  <si>
    <t>ASOCIADO(A) DE CAJA GENERAL</t>
  </si>
  <si>
    <t>8742-representantepyme@homedepot.com.mx</t>
  </si>
  <si>
    <t>8772 - ACUEDUCTO</t>
  </si>
  <si>
    <t xml:space="preserve">8952020520652193944 </t>
  </si>
  <si>
    <t>SERGIO ALBERTO</t>
  </si>
  <si>
    <t>MURGUIA</t>
  </si>
  <si>
    <t>8742-storemgr@homedepot.com.mx</t>
  </si>
  <si>
    <t xml:space="preserve">8952020520652193795 </t>
  </si>
  <si>
    <t>FELIPE SANTIAGO</t>
  </si>
  <si>
    <t>KU</t>
  </si>
  <si>
    <t>8743-delivery@homedepot.com.mx</t>
  </si>
  <si>
    <t xml:space="preserve">8952020519481244100 </t>
  </si>
  <si>
    <t>860900062257399</t>
  </si>
  <si>
    <t>ADRIANA CRISTINA</t>
  </si>
  <si>
    <t>8743-institsales@homedepot.com.mx</t>
  </si>
  <si>
    <t xml:space="preserve">8952020519481244050 </t>
  </si>
  <si>
    <t>860900062256714</t>
  </si>
  <si>
    <t>FLORENTINO</t>
  </si>
  <si>
    <t>YEH</t>
  </si>
  <si>
    <t>8743-prodeskmgr@homedepot.com.mx</t>
  </si>
  <si>
    <t xml:space="preserve">8952020520682846446 </t>
  </si>
  <si>
    <t>867471072383115</t>
  </si>
  <si>
    <t xml:space="preserve">pendiente </t>
  </si>
  <si>
    <t>ELIAS OCTAVIO</t>
  </si>
  <si>
    <t xml:space="preserve">8743-prorep1@homedepot.com.mx </t>
  </si>
  <si>
    <t>8743-ProRep1@homedepot.com.mx</t>
  </si>
  <si>
    <t xml:space="preserve">8952020519481244316 </t>
  </si>
  <si>
    <t>860478064969188</t>
  </si>
  <si>
    <t>8744-PYME@homedepot.com.mx</t>
  </si>
  <si>
    <t>8744-pyme@homedepot.com.mx</t>
  </si>
  <si>
    <t>8744 - COAPA MIRAMONTES</t>
  </si>
  <si>
    <t>LIBRE</t>
  </si>
  <si>
    <t xml:space="preserve">8952020022191363245 </t>
  </si>
  <si>
    <t>GERARDO MANUEL</t>
  </si>
  <si>
    <t>GAMBOA</t>
  </si>
  <si>
    <t>COB</t>
  </si>
  <si>
    <t>8743-ProRep2@homedepot.com.mx</t>
  </si>
  <si>
    <t xml:space="preserve">8952020518381804708 </t>
  </si>
  <si>
    <t>860478063558867</t>
  </si>
  <si>
    <t>8743-storemgr@homedepot.com.mx</t>
  </si>
  <si>
    <t xml:space="preserve">8952020520682980872 </t>
  </si>
  <si>
    <t>CAJERO</t>
  </si>
  <si>
    <t>8744-delivery@homedepot.com.mx</t>
  </si>
  <si>
    <t xml:space="preserve">8952020520498310348 </t>
  </si>
  <si>
    <t>860900062323530</t>
  </si>
  <si>
    <t>8744-institsales@homedepot.com.mx</t>
  </si>
  <si>
    <t xml:space="preserve">8952020520498310462 </t>
  </si>
  <si>
    <t>860900062320411</t>
  </si>
  <si>
    <t>SILVIA PATRICIA</t>
  </si>
  <si>
    <t>8744-ProRep1@homedepot.com.mx</t>
  </si>
  <si>
    <t xml:space="preserve">8952020023195128253 </t>
  </si>
  <si>
    <t>860478064863217</t>
  </si>
  <si>
    <t>OSCAR MANUEL</t>
  </si>
  <si>
    <t>PALOMO</t>
  </si>
  <si>
    <t>8744-ProRep2@homedepot.com.mx</t>
  </si>
  <si>
    <t xml:space="preserve">8952020520498312195 </t>
  </si>
  <si>
    <t>860900062319850</t>
  </si>
  <si>
    <t>CESAR ISRAEL</t>
  </si>
  <si>
    <t>8743-representantepyme@homedepot.com.mx</t>
  </si>
  <si>
    <t xml:space="preserve">8952020520682980963 </t>
  </si>
  <si>
    <t>8744-storemgr@homedepot.com.mx</t>
  </si>
  <si>
    <t xml:space="preserve">8952020021391851397 </t>
  </si>
  <si>
    <t>357654177758953</t>
  </si>
  <si>
    <t>GUSTAVO ANGEL</t>
  </si>
  <si>
    <t>8745-delivery@homedepot.com.mx</t>
  </si>
  <si>
    <t>8745 - LOMAS VERDES</t>
  </si>
  <si>
    <t xml:space="preserve">8952020520498370250 </t>
  </si>
  <si>
    <t>860900062334156</t>
  </si>
  <si>
    <t>8745-Delivery@homedepot.com.mx</t>
  </si>
  <si>
    <t xml:space="preserve">8952020520498310199 </t>
  </si>
  <si>
    <t>860900062323381</t>
  </si>
  <si>
    <t>JOSE JESUS</t>
  </si>
  <si>
    <t>8745-EntregasDirectas@homedepot.com.mx</t>
  </si>
  <si>
    <t xml:space="preserve">8952020920694073569 </t>
  </si>
  <si>
    <t>samsung SM-A115M</t>
  </si>
  <si>
    <t>Samsung Galaxy A11</t>
  </si>
  <si>
    <t>ANAHI</t>
  </si>
  <si>
    <t>8745-institsales@homedepot.com.mx</t>
  </si>
  <si>
    <t xml:space="preserve">8952020520498310058 </t>
  </si>
  <si>
    <t>860900062323621</t>
  </si>
  <si>
    <t>SILVIA ALEJANDRA</t>
  </si>
  <si>
    <t>8745-prodeskmgr@homedepot.com.mx</t>
  </si>
  <si>
    <t xml:space="preserve">8952020520498312047 </t>
  </si>
  <si>
    <t>860478060203467</t>
  </si>
  <si>
    <t>ROCIO</t>
  </si>
  <si>
    <t>CASTORENA</t>
  </si>
  <si>
    <t>8745-ProRep1@homedepot.com.mx</t>
  </si>
  <si>
    <t xml:space="preserve">8952020520498310793 </t>
  </si>
  <si>
    <t>860478064810937</t>
  </si>
  <si>
    <t>8745-ProRep2@homedepot.com.mx</t>
  </si>
  <si>
    <t xml:space="preserve">8952020019492468533 </t>
  </si>
  <si>
    <t>860478062371379</t>
  </si>
  <si>
    <t>8745-representantepyme@homedepot.com.mx</t>
  </si>
  <si>
    <t>8745-pyme@homedepot.com.mx</t>
  </si>
  <si>
    <t xml:space="preserve">8952020021391851686 </t>
  </si>
  <si>
    <t>8745-salesrep@homedepot.com</t>
  </si>
  <si>
    <t>8745-ProRep3@homedepot.com.mx</t>
  </si>
  <si>
    <t xml:space="preserve">8952020021391851769 </t>
  </si>
  <si>
    <t>ELIZABET</t>
  </si>
  <si>
    <t>8745-storemgr@homedepot.com.mx</t>
  </si>
  <si>
    <t xml:space="preserve">8952020021391851405 </t>
  </si>
  <si>
    <t>SAUL</t>
  </si>
  <si>
    <t>CABRALES</t>
  </si>
  <si>
    <t>8746-delivery@homedepot.com.mx</t>
  </si>
  <si>
    <t>8746 - SAN JERONIMO</t>
  </si>
  <si>
    <t xml:space="preserve">8952020022191364342 </t>
  </si>
  <si>
    <t>865356065671497</t>
  </si>
  <si>
    <t>DAVID ABEL</t>
  </si>
  <si>
    <t>8746-institsales@homedepot.com.mx</t>
  </si>
  <si>
    <t xml:space="preserve">8952020520498310512 </t>
  </si>
  <si>
    <t>860900062270749</t>
  </si>
  <si>
    <t>ARELY YAZMIN</t>
  </si>
  <si>
    <t>HUESCA</t>
  </si>
  <si>
    <t>8746-prodeskmgr@homedepot.com.mx</t>
  </si>
  <si>
    <t xml:space="preserve">8952020520498310959 </t>
  </si>
  <si>
    <t>860478064847376</t>
  </si>
  <si>
    <t>8746-ProRep1@homedepot.com.mx</t>
  </si>
  <si>
    <t xml:space="preserve">8952020520498311007 </t>
  </si>
  <si>
    <t>860478064854349</t>
  </si>
  <si>
    <t>JUANA</t>
  </si>
  <si>
    <t>8746-ProRep2@homedepot.com.mx</t>
  </si>
  <si>
    <t xml:space="preserve">8952020520498310983 </t>
  </si>
  <si>
    <t>860478064849570</t>
  </si>
  <si>
    <t>TANIA JAZMIN</t>
  </si>
  <si>
    <t>8746-ProRep3@homedepot.com.mx</t>
  </si>
  <si>
    <t xml:space="preserve">8952020520498310991 </t>
  </si>
  <si>
    <t>860478064862334</t>
  </si>
  <si>
    <t>8746-ProRep4@homedepot.com.mx</t>
  </si>
  <si>
    <t xml:space="preserve">8952020520498310967 </t>
  </si>
  <si>
    <t>860478064949784</t>
  </si>
  <si>
    <t>8746-salesrep2@homedepot.com.mx</t>
  </si>
  <si>
    <t xml:space="preserve">8952020021391851678 </t>
  </si>
  <si>
    <t>865356065669996</t>
  </si>
  <si>
    <t>8746-storemgr@homedepot.com.mx</t>
  </si>
  <si>
    <t xml:space="preserve">8952020021391851447 </t>
  </si>
  <si>
    <t>357894929747199</t>
  </si>
  <si>
    <t>8747_prodeskmgr@homedepot.com.mx</t>
  </si>
  <si>
    <t>8747-prodeskmgr@homedepot.com.mx</t>
  </si>
  <si>
    <t xml:space="preserve">8952020520498312401 </t>
  </si>
  <si>
    <t>860478064978833</t>
  </si>
  <si>
    <t>ARTURO ANGEL</t>
  </si>
  <si>
    <t>8747-delivery@homedepot.com.mx</t>
  </si>
  <si>
    <t xml:space="preserve">8952020520498310322 </t>
  </si>
  <si>
    <t>860900062319702</t>
  </si>
  <si>
    <t>CELAYA</t>
  </si>
  <si>
    <t>8747-Delivery@homedepot.com.mx</t>
  </si>
  <si>
    <t xml:space="preserve">8952020021391851728 </t>
  </si>
  <si>
    <t>865356065666174</t>
  </si>
  <si>
    <t>PALMERIN</t>
  </si>
  <si>
    <t>8747-institsales@homedepot.com.mx</t>
  </si>
  <si>
    <t xml:space="preserve">8952020519290767069 </t>
  </si>
  <si>
    <t>860900062323407</t>
  </si>
  <si>
    <t>ROBERTO MAXIMINO</t>
  </si>
  <si>
    <t>8747-ProRep1@homedepot.com.mx</t>
  </si>
  <si>
    <t xml:space="preserve">8952020520498312112 </t>
  </si>
  <si>
    <t>860478064161836</t>
  </si>
  <si>
    <t>HUBNOIMEI</t>
  </si>
  <si>
    <t>8747-ProRep2@homedepot.com.mx</t>
  </si>
  <si>
    <t xml:space="preserve">8952020520498312393 </t>
  </si>
  <si>
    <t>860478064977454</t>
  </si>
  <si>
    <t>8747-storemgr@homedepot.com.mx</t>
  </si>
  <si>
    <t xml:space="preserve">8952020021391851462 </t>
  </si>
  <si>
    <t>357654178247105</t>
  </si>
  <si>
    <t>VERONICA</t>
  </si>
  <si>
    <t>8748-delivery@homedepot.com.mx</t>
  </si>
  <si>
    <t>8748 - MIXCOAC</t>
  </si>
  <si>
    <t xml:space="preserve">8952020221496819956 </t>
  </si>
  <si>
    <t>865356065671638</t>
  </si>
  <si>
    <t>DE JESUS</t>
  </si>
  <si>
    <t>8748-institsales@homedepot.com.mx</t>
  </si>
  <si>
    <t xml:space="preserve">8952020520498310504 </t>
  </si>
  <si>
    <t>860900062323241</t>
  </si>
  <si>
    <t>JESUS ALBERTO</t>
  </si>
  <si>
    <t>8751-prodesk1@homedepot.com.mx</t>
  </si>
  <si>
    <t>8751 - ELOY CAVAZOS</t>
  </si>
  <si>
    <t xml:space="preserve">8952020020340518107 </t>
  </si>
  <si>
    <t>CARLOS YLAYALI</t>
  </si>
  <si>
    <t>IZAGUIRRE</t>
  </si>
  <si>
    <t>LEDEZMA</t>
  </si>
  <si>
    <t>8748-prorep1@homedepot.com.mx</t>
  </si>
  <si>
    <t xml:space="preserve">8952020023195128485 </t>
  </si>
  <si>
    <t>860478064976605</t>
  </si>
  <si>
    <t>MAQUEDA</t>
  </si>
  <si>
    <t>8748-ProRep2@homedepot.com.mx</t>
  </si>
  <si>
    <t xml:space="preserve">8952020923493768512 </t>
  </si>
  <si>
    <t>867471072380152</t>
  </si>
  <si>
    <t>8748-ProRep3@homedepot.com.mx</t>
  </si>
  <si>
    <t xml:space="preserve">8952020520498310777 </t>
  </si>
  <si>
    <t>860478064854307</t>
  </si>
  <si>
    <t>8748-prodeskmgr@homedepot.com.mx</t>
  </si>
  <si>
    <t xml:space="preserve">8952020520498312054 </t>
  </si>
  <si>
    <t>860478064858662</t>
  </si>
  <si>
    <t>8748-storemgr@homedepot.com.mx</t>
  </si>
  <si>
    <t xml:space="preserve">8952020021391851470 </t>
  </si>
  <si>
    <t>357654179681930</t>
  </si>
  <si>
    <t>JUANA DEYANIRA</t>
  </si>
  <si>
    <t>8751-delivery@homedepot.com.mx</t>
  </si>
  <si>
    <t xml:space="preserve">8952020020340516929 </t>
  </si>
  <si>
    <t>860900062336599</t>
  </si>
  <si>
    <t>MONREAL</t>
  </si>
  <si>
    <t>8751-institsales@homedepot.com.mx</t>
  </si>
  <si>
    <t xml:space="preserve">8952020020340516655 </t>
  </si>
  <si>
    <t>860900062336516</t>
  </si>
  <si>
    <t>8751-prorep1@homedepot.com.mx</t>
  </si>
  <si>
    <t xml:space="preserve">8952020020340515681 </t>
  </si>
  <si>
    <t>860478064773531</t>
  </si>
  <si>
    <t>LIZBETH GUADALUPE</t>
  </si>
  <si>
    <t>CASTAÑO</t>
  </si>
  <si>
    <t>NIÑO</t>
  </si>
  <si>
    <t>8751-prodeskmgr@homedepot.com.mx</t>
  </si>
  <si>
    <t xml:space="preserve">8952020020340515756 </t>
  </si>
  <si>
    <t>860478062096687</t>
  </si>
  <si>
    <t>EMMA EDITH</t>
  </si>
  <si>
    <t>JEFATURA DE ATENCIÓN A SERVICIOS ESPECIALES</t>
  </si>
  <si>
    <t>8756-delivery@homedepot.com.mx</t>
  </si>
  <si>
    <t>8756-Delivery@homedepot.com.mx</t>
  </si>
  <si>
    <t xml:space="preserve">8952020024543268759 </t>
  </si>
  <si>
    <t>CARMEN JANETH</t>
  </si>
  <si>
    <t>8751-PROREP2@homedepot.com.mx</t>
  </si>
  <si>
    <t>8751-prorep2@homedepot.com.mx</t>
  </si>
  <si>
    <t xml:space="preserve">8952020622442628013 </t>
  </si>
  <si>
    <t>860478060664809</t>
  </si>
  <si>
    <t xml:space="preserve">no renovar hasta dentro de dos años (2026) </t>
  </si>
  <si>
    <t>8751-storemgr@homedepot.com.mx</t>
  </si>
  <si>
    <t xml:space="preserve">8952020021241726591 </t>
  </si>
  <si>
    <t>OSIEL ANTONIO</t>
  </si>
  <si>
    <t>MONSIVAIS</t>
  </si>
  <si>
    <t>8752-delivery@homedepot.com.mx</t>
  </si>
  <si>
    <t>8752 - SANTA CATARINA</t>
  </si>
  <si>
    <t xml:space="preserve">8952020020345741159 </t>
  </si>
  <si>
    <t>860900062335146</t>
  </si>
  <si>
    <t>MARIA ADELINA</t>
  </si>
  <si>
    <t>8752-institsales@homedepot.com.mx</t>
  </si>
  <si>
    <t xml:space="preserve">8952020020340516580 </t>
  </si>
  <si>
    <t>860900062337555</t>
  </si>
  <si>
    <t>OBREGON</t>
  </si>
  <si>
    <t>8752-prodeskmgr@homedepot.com.mx</t>
  </si>
  <si>
    <t xml:space="preserve">8952020020340515467 </t>
  </si>
  <si>
    <t>860478062354052</t>
  </si>
  <si>
    <t>ADRIAN ABRAHAM</t>
  </si>
  <si>
    <t>8752-prorep1@homedepot.com.mx</t>
  </si>
  <si>
    <t xml:space="preserve">8952020020340516192 </t>
  </si>
  <si>
    <t>860478060658660</t>
  </si>
  <si>
    <t>GIOVANA</t>
  </si>
  <si>
    <t>MORADO</t>
  </si>
  <si>
    <t>8752-prorep2@homedepot.com.mx</t>
  </si>
  <si>
    <t>8752-salesrep@homedepot.com.mx</t>
  </si>
  <si>
    <t xml:space="preserve">8952020021241728134 </t>
  </si>
  <si>
    <t xml:space="preserve">VACANTE </t>
  </si>
  <si>
    <t xml:space="preserve">8952020020340515814 </t>
  </si>
  <si>
    <t>860900062337449</t>
  </si>
  <si>
    <t>JOSE VENUSTIANO</t>
  </si>
  <si>
    <t>8752-storemgr@homedepot.com.mx</t>
  </si>
  <si>
    <t xml:space="preserve">8952020021241727557 </t>
  </si>
  <si>
    <t>ALMA ALEJANDRA</t>
  </si>
  <si>
    <t>ARIAS</t>
  </si>
  <si>
    <t>8754-delivery@homedepot.com.mx</t>
  </si>
  <si>
    <t>8754 - TAPACHULA</t>
  </si>
  <si>
    <t xml:space="preserve">8952020519481244084 </t>
  </si>
  <si>
    <t>860900062265822</t>
  </si>
  <si>
    <t>MARIA INES</t>
  </si>
  <si>
    <t>ARGUETA</t>
  </si>
  <si>
    <t>8754-institsales@homedepot.com.mx</t>
  </si>
  <si>
    <t xml:space="preserve">8952020519481244019 </t>
  </si>
  <si>
    <t>860900062335799</t>
  </si>
  <si>
    <t>JOSE NARDI</t>
  </si>
  <si>
    <t>8754-prodeskmgr@homedepot.com.mx</t>
  </si>
  <si>
    <t xml:space="preserve">8952020519481244399 </t>
  </si>
  <si>
    <t>860478062097230</t>
  </si>
  <si>
    <t>EDNA JOCABED</t>
  </si>
  <si>
    <t>8754-ProRep1@homedepot.com.mx</t>
  </si>
  <si>
    <t xml:space="preserve">8952020519481244217 </t>
  </si>
  <si>
    <t>860478062366361</t>
  </si>
  <si>
    <t>JUAN GABRIEL</t>
  </si>
  <si>
    <t>8754-ProRep2@homedepot.com.mx</t>
  </si>
  <si>
    <t xml:space="preserve">8952020519481244209 </t>
  </si>
  <si>
    <t>860478060204721</t>
  </si>
  <si>
    <t>8754-representantepyme@homedepot.com.mx</t>
  </si>
  <si>
    <t>8754-pyme@homedepot.com.mx</t>
  </si>
  <si>
    <t xml:space="preserve">8952020520682980930 </t>
  </si>
  <si>
    <t>MONDRAGON</t>
  </si>
  <si>
    <t>8754-storemgr@homedepot.com.mx</t>
  </si>
  <si>
    <t xml:space="preserve">8952020319581791864 </t>
  </si>
  <si>
    <t>358366320598306</t>
  </si>
  <si>
    <t>8756-institsales@homedepot.com.mx</t>
  </si>
  <si>
    <t xml:space="preserve">8952020024543268734 </t>
  </si>
  <si>
    <t xml:space="preserve">GENERAL </t>
  </si>
  <si>
    <t>JESUS GUADALUPE</t>
  </si>
  <si>
    <t>CARRIZALES</t>
  </si>
  <si>
    <t>PESINA</t>
  </si>
  <si>
    <t>8757-institsales@homedepot.com.mx</t>
  </si>
  <si>
    <t>8757 - CD. VICTORIA</t>
  </si>
  <si>
    <t xml:space="preserve">8952020020340516705 </t>
  </si>
  <si>
    <t>860900062334503</t>
  </si>
  <si>
    <t>BASURTO</t>
  </si>
  <si>
    <t>8756-prodeskmgr@homedepot.com.mx</t>
  </si>
  <si>
    <t xml:space="preserve">8952020024543268676 </t>
  </si>
  <si>
    <t>861383070408859</t>
  </si>
  <si>
    <t xml:space="preserve">entregado a ismael vargas </t>
  </si>
  <si>
    <t>8756-storemgr@homedepot.com.mx</t>
  </si>
  <si>
    <t xml:space="preserve">8952020024543268668 </t>
  </si>
  <si>
    <t>355241448232281</t>
  </si>
  <si>
    <t>8757-delivery@homedepot.com.mx</t>
  </si>
  <si>
    <t xml:space="preserve">8952020020340515921 </t>
  </si>
  <si>
    <t>860900062336722</t>
  </si>
  <si>
    <t>GENARO JOEL</t>
  </si>
  <si>
    <t>8760-prodeskmgr@homedepot.com.mx</t>
  </si>
  <si>
    <t>8760 - COACALCO</t>
  </si>
  <si>
    <t xml:space="preserve">8952020520498312229 </t>
  </si>
  <si>
    <t>860478064061531</t>
  </si>
  <si>
    <t>ORNELAS</t>
  </si>
  <si>
    <t>8757-prodeskmgr@homedepot.com.mx</t>
  </si>
  <si>
    <t xml:space="preserve">8952020020340515988 </t>
  </si>
  <si>
    <t>860478064985143</t>
  </si>
  <si>
    <t>CLARA</t>
  </si>
  <si>
    <t>8757-ProRep1@homedepot.com.mx</t>
  </si>
  <si>
    <t xml:space="preserve">8952020020340516002 </t>
  </si>
  <si>
    <t>860478064984500</t>
  </si>
  <si>
    <t>8757-representantepyme@homedepot.com.mx</t>
  </si>
  <si>
    <t xml:space="preserve">8952020021241728100 </t>
  </si>
  <si>
    <t>BOLAÑOS</t>
  </si>
  <si>
    <t>8757-salesrep@homedepot.com.mx</t>
  </si>
  <si>
    <t xml:space="preserve">8952020921246257536 </t>
  </si>
  <si>
    <t>860900062334297</t>
  </si>
  <si>
    <t>8757-storemgr@homedepot.com.mx</t>
  </si>
  <si>
    <t xml:space="preserve">8952020021241727698 </t>
  </si>
  <si>
    <t>NORIEGA</t>
  </si>
  <si>
    <t>8759-delivery@homedepot.com.mx</t>
  </si>
  <si>
    <t>8759 - CIUDAD OBREGON</t>
  </si>
  <si>
    <t xml:space="preserve">8952020518621903203 </t>
  </si>
  <si>
    <t>860900062735790</t>
  </si>
  <si>
    <t>MONTAÑO</t>
  </si>
  <si>
    <t>8759-institsales@homedepot.com.mx</t>
  </si>
  <si>
    <t xml:space="preserve">8952020518621903195 </t>
  </si>
  <si>
    <t>860900062735733</t>
  </si>
  <si>
    <t>JESUS EDUARDO</t>
  </si>
  <si>
    <t>8759-prodeskmgr@homedepot.com.mx</t>
  </si>
  <si>
    <t xml:space="preserve">8952020518621915793 </t>
  </si>
  <si>
    <t>860478062097073</t>
  </si>
  <si>
    <t>SERGIO IRINEO</t>
  </si>
  <si>
    <t>ESTRELLA</t>
  </si>
  <si>
    <t>8759-prorep1@homedepot.com.mx</t>
  </si>
  <si>
    <t xml:space="preserve">8952020920120906549 </t>
  </si>
  <si>
    <t>860478064969162</t>
  </si>
  <si>
    <t>HECTOR MANUEL</t>
  </si>
  <si>
    <t>URQUIDEZ</t>
  </si>
  <si>
    <t>8759-prorep2@homedepot.com.mx</t>
  </si>
  <si>
    <t xml:space="preserve">8952020920120906531 </t>
  </si>
  <si>
    <t>860478064969139</t>
  </si>
  <si>
    <t>JESUS ANGEL</t>
  </si>
  <si>
    <t>MELEROS</t>
  </si>
  <si>
    <t>8759-prorep3@homedepot.com.mx</t>
  </si>
  <si>
    <t xml:space="preserve">8952020518621915801 </t>
  </si>
  <si>
    <t>860478064771709</t>
  </si>
  <si>
    <t>ELINEE DE JESUS</t>
  </si>
  <si>
    <t>8759-representantepyme@homedepot.com.mx</t>
  </si>
  <si>
    <t xml:space="preserve">8952020520522107892 </t>
  </si>
  <si>
    <t>SANDRA</t>
  </si>
  <si>
    <t>JUAN DE DIOS</t>
  </si>
  <si>
    <t>8759-storemgr@homedepot.com.mx</t>
  </si>
  <si>
    <t xml:space="preserve">8952020520522107751 </t>
  </si>
  <si>
    <t>DIANA</t>
  </si>
  <si>
    <t>ESTANISLAO</t>
  </si>
  <si>
    <t>8760-delivery@homedepot.com.mx</t>
  </si>
  <si>
    <t xml:space="preserve">8952020520498310090 </t>
  </si>
  <si>
    <t>860900062336656</t>
  </si>
  <si>
    <t>DANTE GABRIEL</t>
  </si>
  <si>
    <t>8760-institsales@homedepot.com.mx</t>
  </si>
  <si>
    <t xml:space="preserve">8952020520498310538 </t>
  </si>
  <si>
    <t>860900062336763</t>
  </si>
  <si>
    <t>8761-prodeskmgr@homedepot.com.mx</t>
  </si>
  <si>
    <t>8761 - PERINORTE</t>
  </si>
  <si>
    <t xml:space="preserve">8952020520498312237 </t>
  </si>
  <si>
    <t>860478064061218</t>
  </si>
  <si>
    <t>ALFREDO MAURICIO</t>
  </si>
  <si>
    <t>PALENCIA</t>
  </si>
  <si>
    <t>SANTILLAN</t>
  </si>
  <si>
    <t>8760-ProRep1@homedepot.com.mx</t>
  </si>
  <si>
    <t xml:space="preserve">8952020520498310744 </t>
  </si>
  <si>
    <t>860478062353955</t>
  </si>
  <si>
    <t>LIDIA</t>
  </si>
  <si>
    <t>RODELAS</t>
  </si>
  <si>
    <t>ALEGRE</t>
  </si>
  <si>
    <t>8760-pyme@homedepot.com.mx</t>
  </si>
  <si>
    <t>8760-representantepyme@homedepot.com.mx</t>
  </si>
  <si>
    <t xml:space="preserve">8952020021391851751 </t>
  </si>
  <si>
    <t>ARACELI</t>
  </si>
  <si>
    <t>CHAMORRO</t>
  </si>
  <si>
    <t>8760-storemgr@homedepot.com.mx</t>
  </si>
  <si>
    <t xml:space="preserve">8952020021391851389 </t>
  </si>
  <si>
    <t>35 765417 885202 9</t>
  </si>
  <si>
    <t>OSCAR RODRIGO</t>
  </si>
  <si>
    <t>MONJARAZ</t>
  </si>
  <si>
    <t>8761-delivery@homedepot.com.mx</t>
  </si>
  <si>
    <t xml:space="preserve">8952020520498310108 </t>
  </si>
  <si>
    <t>860900062336805</t>
  </si>
  <si>
    <t>8761-institsales@homedepot.com.mx</t>
  </si>
  <si>
    <t xml:space="preserve">8952020023195128477 </t>
  </si>
  <si>
    <t>860900062318613</t>
  </si>
  <si>
    <t>8762-prodeskmgr@homedepot.com.mx</t>
  </si>
  <si>
    <t>8762 - INTERLOMAS</t>
  </si>
  <si>
    <t xml:space="preserve">8952020023195128212 </t>
  </si>
  <si>
    <t>EDNA IVONNE</t>
  </si>
  <si>
    <t>8761-ProRep1@homedepot.com.mx</t>
  </si>
  <si>
    <t xml:space="preserve">8952020520498310710 </t>
  </si>
  <si>
    <t>860478062373474</t>
  </si>
  <si>
    <t>8761-pyme@homedepot.com.mx</t>
  </si>
  <si>
    <t xml:space="preserve">8952020021391851736 </t>
  </si>
  <si>
    <t>8761-salesrep@homedepot.com.mx</t>
  </si>
  <si>
    <t>8761-ProRep2@homedepot.com.mx</t>
  </si>
  <si>
    <t xml:space="preserve">8952020520498312468 </t>
  </si>
  <si>
    <t>860478064065334</t>
  </si>
  <si>
    <t>8761-storemgr@homedepot.com.mx</t>
  </si>
  <si>
    <t xml:space="preserve">8952020021391851355 </t>
  </si>
  <si>
    <t>CALVILLO</t>
  </si>
  <si>
    <t>8762-delivery@homedepot.com.mx</t>
  </si>
  <si>
    <t xml:space="preserve">8952020520498310082 </t>
  </si>
  <si>
    <t>860900062336441</t>
  </si>
  <si>
    <t>GLADYS ANABEL</t>
  </si>
  <si>
    <t>8762-institsales@homedepot.com.mx</t>
  </si>
  <si>
    <t xml:space="preserve">8952020520498310496 </t>
  </si>
  <si>
    <t>860900062336383</t>
  </si>
  <si>
    <t>8762-prorep2@homedepot.com.mx</t>
  </si>
  <si>
    <t xml:space="preserve">8952020221696538554 </t>
  </si>
  <si>
    <t>860478062378721</t>
  </si>
  <si>
    <t>8763-prodeskmgr@homedepot.com.mx</t>
  </si>
  <si>
    <t>8763 - TLATILCO</t>
  </si>
  <si>
    <t xml:space="preserve">8952020017590746073 </t>
  </si>
  <si>
    <t>860478064844308</t>
  </si>
  <si>
    <t>8762-representantepyme@homedepot.com.mx</t>
  </si>
  <si>
    <t xml:space="preserve">8952020021391851660 </t>
  </si>
  <si>
    <t>KAREN ARELY</t>
  </si>
  <si>
    <t>8762-salesrep@homedepot.com.mx</t>
  </si>
  <si>
    <t>8762-ProRep1@homedepot.com.mx</t>
  </si>
  <si>
    <t xml:space="preserve">8952020520498312484 </t>
  </si>
  <si>
    <t>860478064061689</t>
  </si>
  <si>
    <t>GAUDENCIO</t>
  </si>
  <si>
    <t>8762-storemgr@homedepot.com.mx</t>
  </si>
  <si>
    <t xml:space="preserve">8952020021391851306 </t>
  </si>
  <si>
    <t>SERGIO GIOVANY</t>
  </si>
  <si>
    <t>8763-delivery@homedepot.com.mx</t>
  </si>
  <si>
    <t xml:space="preserve">8952020020199244557 </t>
  </si>
  <si>
    <t>860900062322474</t>
  </si>
  <si>
    <t>FANNY</t>
  </si>
  <si>
    <t>BAEZ</t>
  </si>
  <si>
    <t>MONROY</t>
  </si>
  <si>
    <t>8763-institsales@homedepot.com.mx</t>
  </si>
  <si>
    <t xml:space="preserve">8952020022395488921 </t>
  </si>
  <si>
    <t>860900062322169</t>
  </si>
  <si>
    <t>8748-representantepyme@homedepot.com.mx</t>
  </si>
  <si>
    <t>8748-Pyme@homedepot.com.mx</t>
  </si>
  <si>
    <t xml:space="preserve">8952020021391851702 </t>
  </si>
  <si>
    <t>865356065672206</t>
  </si>
  <si>
    <t>ANTONIO MARTIN</t>
  </si>
  <si>
    <t>EULOPA</t>
  </si>
  <si>
    <t>8763-prorep1@homedepot.com.mx</t>
  </si>
  <si>
    <t xml:space="preserve">8952020520498310934 </t>
  </si>
  <si>
    <t>860478064865253</t>
  </si>
  <si>
    <t>MARTIN JAIRO</t>
  </si>
  <si>
    <t>8763-ProRep2@homedepot.com.mx</t>
  </si>
  <si>
    <t xml:space="preserve">8952020520498310918 </t>
  </si>
  <si>
    <t>860478064950626</t>
  </si>
  <si>
    <t>8763-representantepyme@homedepot.com.mx</t>
  </si>
  <si>
    <t xml:space="preserve">8952020520498310371 </t>
  </si>
  <si>
    <t>860900062322144</t>
  </si>
  <si>
    <t>VALTIERRA</t>
  </si>
  <si>
    <t>8763-storemgr@homedepot.com.mx</t>
  </si>
  <si>
    <t xml:space="preserve">8952020021391851322 </t>
  </si>
  <si>
    <t>357654178415082</t>
  </si>
  <si>
    <t>ARISTIDES</t>
  </si>
  <si>
    <t>8765-delivery@homedepot.com.mx</t>
  </si>
  <si>
    <t>8765 - CUAUTITLAN</t>
  </si>
  <si>
    <t xml:space="preserve">8952020520498310157 </t>
  </si>
  <si>
    <t>860900062323076</t>
  </si>
  <si>
    <t>MELISSA</t>
  </si>
  <si>
    <t>8765-Institsales@homedepot.com.mx</t>
  </si>
  <si>
    <t xml:space="preserve">8952020023195128402 </t>
  </si>
  <si>
    <t>860900062319918</t>
  </si>
  <si>
    <t>MARIBEL FERNANDA</t>
  </si>
  <si>
    <t>8765-prodesk1@homedepot.com.mx</t>
  </si>
  <si>
    <t xml:space="preserve">8952020520498312666 </t>
  </si>
  <si>
    <t>860900062336714</t>
  </si>
  <si>
    <t>MARIA CRISTINA</t>
  </si>
  <si>
    <t>8765-prodeskmgr@homedepot.com.mx</t>
  </si>
  <si>
    <t xml:space="preserve">8952020520498310736 </t>
  </si>
  <si>
    <t>860478064066621</t>
  </si>
  <si>
    <t>SERGIO</t>
  </si>
  <si>
    <t>AGUILERA</t>
  </si>
  <si>
    <t>8765-ProRep2@homedepot.com.mx</t>
  </si>
  <si>
    <t xml:space="preserve">8952020520498312120 </t>
  </si>
  <si>
    <t>860478060204630</t>
  </si>
  <si>
    <t>EDWIN</t>
  </si>
  <si>
    <t>8765-salesrep@homedepot.com.mx</t>
  </si>
  <si>
    <t>8765-prorep1@homedepot.com.mx</t>
  </si>
  <si>
    <t xml:space="preserve">8952020520498310785 </t>
  </si>
  <si>
    <t>860478062097206</t>
  </si>
  <si>
    <t>ALFONSO GERARDO</t>
  </si>
  <si>
    <t>CANALES</t>
  </si>
  <si>
    <t>8765-storemgr@homedepot.com.mx</t>
  </si>
  <si>
    <t xml:space="preserve">8952020922195647602 </t>
  </si>
  <si>
    <t>357654179527836</t>
  </si>
  <si>
    <t>ANAYA</t>
  </si>
  <si>
    <t>8766-delivery@homedepot.com.mx</t>
  </si>
  <si>
    <t xml:space="preserve">8952020021111347148 </t>
  </si>
  <si>
    <t>860900062736020</t>
  </si>
  <si>
    <t xml:space="preserve">CARGO A CENTRO DE COSTOS 7/30/2024 </t>
  </si>
  <si>
    <t>CORAZON</t>
  </si>
  <si>
    <t>8766-entregasdirecta@homedepot.com.mx</t>
  </si>
  <si>
    <t xml:space="preserve">8952020920410337942 </t>
  </si>
  <si>
    <t>8766-institsales@homedepot.com.mx</t>
  </si>
  <si>
    <t xml:space="preserve">8952020915410655590 </t>
  </si>
  <si>
    <t>860900062737358</t>
  </si>
  <si>
    <t>JULIO ALBERTO</t>
  </si>
  <si>
    <t>FIERRO</t>
  </si>
  <si>
    <t>8766-prodeskmgr@homedepot.com.mx</t>
  </si>
  <si>
    <t xml:space="preserve">8952020518614571595 </t>
  </si>
  <si>
    <t>860478063595331</t>
  </si>
  <si>
    <t>CLAUDIA CARMINA</t>
  </si>
  <si>
    <t>SARMIENTO</t>
  </si>
  <si>
    <t>8766-prorep1@homedepot.com.mx</t>
  </si>
  <si>
    <t xml:space="preserve">8952020518614571157 </t>
  </si>
  <si>
    <t>860478063598889</t>
  </si>
  <si>
    <t>8766-ProRep2@homedepot.com.mx</t>
  </si>
  <si>
    <t xml:space="preserve">8952020518614571066 </t>
  </si>
  <si>
    <t>860478064969204</t>
  </si>
  <si>
    <t>JOSE ENRIQUE</t>
  </si>
  <si>
    <t>8766-ProRep3@homedepot.com.mx</t>
  </si>
  <si>
    <t xml:space="preserve">8952020518614571124 </t>
  </si>
  <si>
    <t>860478063598905</t>
  </si>
  <si>
    <t>ERIKA ELIZABETH</t>
  </si>
  <si>
    <t>8766-representantepyme@homedepot.com.mx</t>
  </si>
  <si>
    <t xml:space="preserve">8952020920410337827 </t>
  </si>
  <si>
    <t>MANUEL VALENTIN</t>
  </si>
  <si>
    <t>8766-Storemgr@homedepot.com.mx</t>
  </si>
  <si>
    <t xml:space="preserve">8952020920410337736 </t>
  </si>
  <si>
    <t>HERIBERTO</t>
  </si>
  <si>
    <t>UBALDO</t>
  </si>
  <si>
    <t>8767-delivery@homedepot.com.mx</t>
  </si>
  <si>
    <t>8767 - XALAPA</t>
  </si>
  <si>
    <t xml:space="preserve">8952020519371172148 </t>
  </si>
  <si>
    <t>860900062321542</t>
  </si>
  <si>
    <t>RODOLFO JAVIER</t>
  </si>
  <si>
    <t>8767-institsales@homedepot.com.mx</t>
  </si>
  <si>
    <t xml:space="preserve">8952020519371172049 </t>
  </si>
  <si>
    <t>860900062321898</t>
  </si>
  <si>
    <t>8767-prodeskmgr@homedepot.com.mx</t>
  </si>
  <si>
    <t xml:space="preserve">8952020519371172437 </t>
  </si>
  <si>
    <t>860478063560814</t>
  </si>
  <si>
    <t>BETZAHYN</t>
  </si>
  <si>
    <t>BARRAGAN</t>
  </si>
  <si>
    <t>8767-ProRep1@homedepot.com.mx</t>
  </si>
  <si>
    <t xml:space="preserve">8952020519371172684 </t>
  </si>
  <si>
    <t>860478064978585</t>
  </si>
  <si>
    <t>HERBERT</t>
  </si>
  <si>
    <t>8767-ProRep2@homedepot.com.mx</t>
  </si>
  <si>
    <t xml:space="preserve">8952020521270816007 </t>
  </si>
  <si>
    <t>EDGAR LUIS</t>
  </si>
  <si>
    <t>8767-ProRep3@homedepot.com.mx</t>
  </si>
  <si>
    <t xml:space="preserve">8952020519371172494 </t>
  </si>
  <si>
    <t>860478060023642</t>
  </si>
  <si>
    <t>GLADYS GUADALUPE</t>
  </si>
  <si>
    <t>GARRIDO</t>
  </si>
  <si>
    <t>8767-representantepyme@homedepot.com.mx</t>
  </si>
  <si>
    <t>8767-pyme@homedepot.com.mx</t>
  </si>
  <si>
    <t xml:space="preserve">8952020521270815934 </t>
  </si>
  <si>
    <t>TURRUBIARTE</t>
  </si>
  <si>
    <t>8767-storemgr@homedepot.com.mx</t>
  </si>
  <si>
    <t xml:space="preserve">8952020521270815793 </t>
  </si>
  <si>
    <t>357894929721723</t>
  </si>
  <si>
    <t>JORGE ARMANDO</t>
  </si>
  <si>
    <t>8768-delivery@homedepot.com.mx</t>
  </si>
  <si>
    <t>8768 - PUEBLA II</t>
  </si>
  <si>
    <t xml:space="preserve">8952020519371172825 </t>
  </si>
  <si>
    <t>860900062321468</t>
  </si>
  <si>
    <t>TEPOX</t>
  </si>
  <si>
    <t>8768-institsales@homedepot.com</t>
  </si>
  <si>
    <t>8768-InstitSales@homedepot.com.mx</t>
  </si>
  <si>
    <t xml:space="preserve">8952020519371172270 </t>
  </si>
  <si>
    <t>860900062338744</t>
  </si>
  <si>
    <t>OCELOTL</t>
  </si>
  <si>
    <t>8768-ProRep1@homedepot.com.mx</t>
  </si>
  <si>
    <t xml:space="preserve">8952020519371172411 </t>
  </si>
  <si>
    <t>860478061969231</t>
  </si>
  <si>
    <t>CRISTINA</t>
  </si>
  <si>
    <t>ILLESCAS</t>
  </si>
  <si>
    <t>8768-ProRep2@homedepot.com.mx</t>
  </si>
  <si>
    <t xml:space="preserve">8952020318570844205 </t>
  </si>
  <si>
    <t>NORMA ANGELICA</t>
  </si>
  <si>
    <t>8768-ProRep3@homedepot.com.mx</t>
  </si>
  <si>
    <t xml:space="preserve">8952020519371172395 </t>
  </si>
  <si>
    <t>860478064969329</t>
  </si>
  <si>
    <t>ANAI</t>
  </si>
  <si>
    <t>8768-pyme@homedepot.com.mx</t>
  </si>
  <si>
    <t>8768-RepresentantePyme@homedepot.com.mx</t>
  </si>
  <si>
    <t xml:space="preserve">8952020022279148096 </t>
  </si>
  <si>
    <t>860900062338793</t>
  </si>
  <si>
    <t>GRISEL RUBI</t>
  </si>
  <si>
    <t xml:space="preserve">8952020519371172403 </t>
  </si>
  <si>
    <t>860900062321393</t>
  </si>
  <si>
    <t>JOSE EDUARDO</t>
  </si>
  <si>
    <t>8768-storemgr@homedepot.com.mx</t>
  </si>
  <si>
    <t xml:space="preserve">8952020521270815868 </t>
  </si>
  <si>
    <t>8769-delivery@homedepot.com.mx</t>
  </si>
  <si>
    <t>8769 - AGUASCALIENTES</t>
  </si>
  <si>
    <t xml:space="preserve">8952020020165698828 </t>
  </si>
  <si>
    <t>860900062337654</t>
  </si>
  <si>
    <t>NAYELI ESMERALDA</t>
  </si>
  <si>
    <t>8769-institsales@homedepot.com.mx</t>
  </si>
  <si>
    <t xml:space="preserve">8952020020165698745 </t>
  </si>
  <si>
    <t>860900062335674</t>
  </si>
  <si>
    <t>8769-prodesk1@homedepot.com.mx</t>
  </si>
  <si>
    <t>8769-pyme@homedepot.com.mx</t>
  </si>
  <si>
    <t xml:space="preserve">8952020020165699248 </t>
  </si>
  <si>
    <t>860900062338629</t>
  </si>
  <si>
    <t>PINTO</t>
  </si>
  <si>
    <t>8769-prodeskmgr@homedepot.com.mx</t>
  </si>
  <si>
    <t xml:space="preserve">8952020020165740653 </t>
  </si>
  <si>
    <t>860478064162644</t>
  </si>
  <si>
    <t>8769-ProRep1@homedepot.com.mx</t>
  </si>
  <si>
    <t xml:space="preserve">8952020020165699156 </t>
  </si>
  <si>
    <t>860478064951400</t>
  </si>
  <si>
    <t>8769-ProRep2@homedepot.com.mx</t>
  </si>
  <si>
    <t xml:space="preserve">8952020020165712041 </t>
  </si>
  <si>
    <t>860478064951541</t>
  </si>
  <si>
    <t>BLANCA MARGARITA</t>
  </si>
  <si>
    <t>VALDIVIA</t>
  </si>
  <si>
    <t>8769-ProRep3@homedepot.com.mx</t>
  </si>
  <si>
    <t xml:space="preserve">8952020020165699180 </t>
  </si>
  <si>
    <t>860478064873828</t>
  </si>
  <si>
    <t>8769-storemgr@homedepot.com.mx</t>
  </si>
  <si>
    <t xml:space="preserve">8952020920661711803 </t>
  </si>
  <si>
    <t>CARLOS DANIEL</t>
  </si>
  <si>
    <t>8771-delivery@homedepot.com.mx</t>
  </si>
  <si>
    <t>8771 - LOS MOCHIS</t>
  </si>
  <si>
    <t xml:space="preserve">8952020518621904847 </t>
  </si>
  <si>
    <t>860900062732078</t>
  </si>
  <si>
    <t xml:space="preserve">El equipo se adelanto el adendum debido que este fallaba pero telcel no le dio solucion con la garantia </t>
  </si>
  <si>
    <t>GASTELUM</t>
  </si>
  <si>
    <t>8771-institsales@homedepot.com.mx</t>
  </si>
  <si>
    <t xml:space="preserve">8952020518621903138 </t>
  </si>
  <si>
    <t>860900062735766</t>
  </si>
  <si>
    <t>EDEN YONOE</t>
  </si>
  <si>
    <t>8771-prodeskmgr@homedepot.com.mx</t>
  </si>
  <si>
    <t xml:space="preserve">8952020518220319389 </t>
  </si>
  <si>
    <t>860478062334724</t>
  </si>
  <si>
    <t>CRUZ SARAHI</t>
  </si>
  <si>
    <t>BOJORQUEZ</t>
  </si>
  <si>
    <t>8771-ProRep1@homedepot.com.mx</t>
  </si>
  <si>
    <t xml:space="preserve">8952020518621915959 </t>
  </si>
  <si>
    <t>860478064967976</t>
  </si>
  <si>
    <t>RAUL GUADALUPE</t>
  </si>
  <si>
    <t>8771-ProRep2@homedepot.com.mx</t>
  </si>
  <si>
    <t xml:space="preserve">8952020518220319397 </t>
  </si>
  <si>
    <t>860478062353989</t>
  </si>
  <si>
    <t>JAVIER IGNACIO</t>
  </si>
  <si>
    <t>8771-ProRep3@homedepot.com.mx</t>
  </si>
  <si>
    <t xml:space="preserve">8952020518220319371 </t>
  </si>
  <si>
    <t>860478062333593</t>
  </si>
  <si>
    <t>CITLALLY CATALINA</t>
  </si>
  <si>
    <t>8771-representantepyme@homedepot.com.mx</t>
  </si>
  <si>
    <t xml:space="preserve">8952020520522107876 </t>
  </si>
  <si>
    <t>VICTOR ALEJANDRO</t>
  </si>
  <si>
    <t>PALAFOX</t>
  </si>
  <si>
    <t>8771-storemgr@homedepot.com.mx</t>
  </si>
  <si>
    <t xml:space="preserve">8952020520522107801 </t>
  </si>
  <si>
    <t>RODRIGO ISRAEL</t>
  </si>
  <si>
    <t>8772_delivery@homedeport.com.mx</t>
  </si>
  <si>
    <t>8772-Delivery@homedepot.com.mx</t>
  </si>
  <si>
    <t xml:space="preserve">8952020020351372956 </t>
  </si>
  <si>
    <t>860900062254909</t>
  </si>
  <si>
    <t>8772-institsales@homedepot.com.mx</t>
  </si>
  <si>
    <t xml:space="preserve">8952020022256484100 </t>
  </si>
  <si>
    <t>860900062256011</t>
  </si>
  <si>
    <t>CANSECO</t>
  </si>
  <si>
    <t>8772-prodeskmgr@homedepot.com.mx</t>
  </si>
  <si>
    <t xml:space="preserve">8952020020252233075 </t>
  </si>
  <si>
    <t>860478063794264</t>
  </si>
  <si>
    <t>YADIRA</t>
  </si>
  <si>
    <t>OVIEDO</t>
  </si>
  <si>
    <t>8772-ProRep1@homedepot.com.mx</t>
  </si>
  <si>
    <t xml:space="preserve">8952020520652194009 </t>
  </si>
  <si>
    <t xml:space="preserve">Cambio de equipo por renovacion </t>
  </si>
  <si>
    <t>8772-ProRep2@homedepot.com.mx</t>
  </si>
  <si>
    <t xml:space="preserve">8952020020252232911 </t>
  </si>
  <si>
    <t>860478063793233</t>
  </si>
  <si>
    <t>FELIPE DE JESUS</t>
  </si>
  <si>
    <t>8772-prorep3@homedepot.com.mx</t>
  </si>
  <si>
    <t xml:space="preserve">8952020220650549490 </t>
  </si>
  <si>
    <t>860478064811562</t>
  </si>
  <si>
    <t>ALBERTO EMMANUEL</t>
  </si>
  <si>
    <t>ZAMARRIPA</t>
  </si>
  <si>
    <t>BRISEÑO</t>
  </si>
  <si>
    <t>8772-representantepyme@homedepot.com.mx</t>
  </si>
  <si>
    <t>8772-pyme@homedepot.com.mx</t>
  </si>
  <si>
    <t xml:space="preserve">8952020520652193977 </t>
  </si>
  <si>
    <t>8772-storemgr@homedepot.com.mx</t>
  </si>
  <si>
    <t xml:space="preserve">8952020520652193803 </t>
  </si>
  <si>
    <t>8774-delivery@homedepot.com.mx</t>
  </si>
  <si>
    <t>8774 - PACHUCA</t>
  </si>
  <si>
    <t xml:space="preserve">8952020520498310363 </t>
  </si>
  <si>
    <t>860900062269642</t>
  </si>
  <si>
    <t>ANA ELIZABETH</t>
  </si>
  <si>
    <t>CUNA</t>
  </si>
  <si>
    <t>RAYON</t>
  </si>
  <si>
    <t>8774-institsales@homedepot.com.mx</t>
  </si>
  <si>
    <t xml:space="preserve">8952020222391466646 </t>
  </si>
  <si>
    <t>860900062270830</t>
  </si>
  <si>
    <t>8774-prodeskmgr@homedepot.com.mx</t>
  </si>
  <si>
    <t xml:space="preserve">8952020520498312567 </t>
  </si>
  <si>
    <t>860478064969345</t>
  </si>
  <si>
    <t>8774-ProRep1@homedepot.com.mx</t>
  </si>
  <si>
    <t xml:space="preserve">8952020520498312617 </t>
  </si>
  <si>
    <t>860900062269592</t>
  </si>
  <si>
    <t>ANGEL RAFAEL</t>
  </si>
  <si>
    <t>8774-ProRep3@homedepot.com.mx</t>
  </si>
  <si>
    <t xml:space="preserve">8952020520498312609 </t>
  </si>
  <si>
    <t>860478064969287</t>
  </si>
  <si>
    <t>LUIS ANDRES</t>
  </si>
  <si>
    <t>8774-pyme@homedepot.com</t>
  </si>
  <si>
    <t>8774-pyme@homedepot.com.mx</t>
  </si>
  <si>
    <t xml:space="preserve">8952020520498310421 </t>
  </si>
  <si>
    <t>860900062269659</t>
  </si>
  <si>
    <t>HIDALGO</t>
  </si>
  <si>
    <t>8774-representantepyme@homedepot.com.mx</t>
  </si>
  <si>
    <t xml:space="preserve">8952020021391851868 </t>
  </si>
  <si>
    <t>VICTOR</t>
  </si>
  <si>
    <t>CALLEJAS</t>
  </si>
  <si>
    <t>8774-storemgr@homedepot.com.mx</t>
  </si>
  <si>
    <t>8774-Storemgr@homedepot.com.nx</t>
  </si>
  <si>
    <t xml:space="preserve">8952020021391851439 </t>
  </si>
  <si>
    <t>VICTOR FRANCISCO</t>
  </si>
  <si>
    <t>SOTELO</t>
  </si>
  <si>
    <t>8775-delivery@homedepot.com.mx</t>
  </si>
  <si>
    <t>8775 - ENSENADA</t>
  </si>
  <si>
    <t xml:space="preserve">8952020319613447691 </t>
  </si>
  <si>
    <t>860900062337985</t>
  </si>
  <si>
    <t>ELENA GUADALUPE</t>
  </si>
  <si>
    <t>BAZAN</t>
  </si>
  <si>
    <t>8775-institsales@homedepot.com.mx</t>
  </si>
  <si>
    <t xml:space="preserve">8952020319613447923 </t>
  </si>
  <si>
    <t>860900062336193</t>
  </si>
  <si>
    <t>FARFAN</t>
  </si>
  <si>
    <t>8775-prodeskmgr@homedepot.com.mx</t>
  </si>
  <si>
    <t xml:space="preserve">8952020518614571041 </t>
  </si>
  <si>
    <t>860478064863282</t>
  </si>
  <si>
    <t>8775-ProRep1@homedepot.com.mx</t>
  </si>
  <si>
    <t xml:space="preserve">8952020918615546317 </t>
  </si>
  <si>
    <t>860900062336219</t>
  </si>
  <si>
    <t>RENOVACION 2028</t>
  </si>
  <si>
    <t>CHRISTIAN ALFONSO</t>
  </si>
  <si>
    <t>VALERIO</t>
  </si>
  <si>
    <t>8775-ProRep2@homedepot.com.mx</t>
  </si>
  <si>
    <t xml:space="preserve">8952020518614571074 </t>
  </si>
  <si>
    <t>860478064863365</t>
  </si>
  <si>
    <t>OMAR ANTONIO</t>
  </si>
  <si>
    <t>8775-ProRep3@homedepot.com.mx</t>
  </si>
  <si>
    <t xml:space="preserve">8952020518614571215 </t>
  </si>
  <si>
    <t>860478064845347</t>
  </si>
  <si>
    <t>CARLOS ADRIAN</t>
  </si>
  <si>
    <t>LOYA</t>
  </si>
  <si>
    <t>8775-representantepyme@homedepot.com.mx</t>
  </si>
  <si>
    <t xml:space="preserve">8952020920410337835 </t>
  </si>
  <si>
    <t>8775-storemgr@homedepot.com.mx</t>
  </si>
  <si>
    <t xml:space="preserve">8952020920410337744 </t>
  </si>
  <si>
    <t>FAUSTINO</t>
  </si>
  <si>
    <t>ESCRIBANO</t>
  </si>
  <si>
    <t>GEREZANO</t>
  </si>
  <si>
    <t>ASOCIADO(A) DE EMBARQUES</t>
  </si>
  <si>
    <t>8776-delivery@homedepot.com.mx</t>
  </si>
  <si>
    <t>8776 - VERACRUZ</t>
  </si>
  <si>
    <t xml:space="preserve">8952020519371172213 </t>
  </si>
  <si>
    <t>860900062321914</t>
  </si>
  <si>
    <t>GUADALUPE CECILIA</t>
  </si>
  <si>
    <t>MIJARES</t>
  </si>
  <si>
    <t>CANDELARIO</t>
  </si>
  <si>
    <t>8776-institsales@homedepot.com.mx</t>
  </si>
  <si>
    <t xml:space="preserve">8952020519371172056 </t>
  </si>
  <si>
    <t>860900062338603</t>
  </si>
  <si>
    <t>8776-prodeskmgr@homedepot.com.mx</t>
  </si>
  <si>
    <t xml:space="preserve">8952020519371172536 </t>
  </si>
  <si>
    <t>860478064978395</t>
  </si>
  <si>
    <t>8776-ProRep1@homedepot.com.mx</t>
  </si>
  <si>
    <t xml:space="preserve">8952020519371172551 </t>
  </si>
  <si>
    <t>860478064978676</t>
  </si>
  <si>
    <t>8776-ProRep2@homedepot.com.mx</t>
  </si>
  <si>
    <t xml:space="preserve">8952020521270815645 </t>
  </si>
  <si>
    <t>860478064978718</t>
  </si>
  <si>
    <t>AGUSTIN</t>
  </si>
  <si>
    <t>VALLECILLO</t>
  </si>
  <si>
    <t>8776-ProRep3@homedepot.com.mx</t>
  </si>
  <si>
    <t xml:space="preserve">8952020519371172510 </t>
  </si>
  <si>
    <t>860478064865097</t>
  </si>
  <si>
    <t>CONCEPCION</t>
  </si>
  <si>
    <t>ARLANDIZ</t>
  </si>
  <si>
    <t>8776-representantepyme@homedepot.com.mx</t>
  </si>
  <si>
    <t xml:space="preserve">8952020519371172239 </t>
  </si>
  <si>
    <t>860900062322003</t>
  </si>
  <si>
    <t>MIRON</t>
  </si>
  <si>
    <t>8776-storemgr@homedepot.com.mx</t>
  </si>
  <si>
    <t xml:space="preserve">8952020521270815801 </t>
  </si>
  <si>
    <t>RENTERIA</t>
  </si>
  <si>
    <t>8777-delivery@homedepot.com.mx</t>
  </si>
  <si>
    <t>8777 - IRAPUATO</t>
  </si>
  <si>
    <t xml:space="preserve">8952020020165698836 </t>
  </si>
  <si>
    <t>860900062338124</t>
  </si>
  <si>
    <t>YESICA FABIOLA</t>
  </si>
  <si>
    <t>8777-institsales@homedepot.com.mx</t>
  </si>
  <si>
    <t xml:space="preserve">8952020020165698794 </t>
  </si>
  <si>
    <t>860900062337522</t>
  </si>
  <si>
    <t>MARIA DEL ROCIO</t>
  </si>
  <si>
    <t>TELLES</t>
  </si>
  <si>
    <t>8777-prodeskmgr@homedepot.com.x</t>
  </si>
  <si>
    <t>8777-ProdeskMgr@homedepot.com.mx</t>
  </si>
  <si>
    <t xml:space="preserve">8952020020165741123 </t>
  </si>
  <si>
    <t>860478064951533</t>
  </si>
  <si>
    <t>ERNESTO JOSUE</t>
  </si>
  <si>
    <t>8777-ProRep1@homedepot.com.mx</t>
  </si>
  <si>
    <t xml:space="preserve">8952020020165698935 </t>
  </si>
  <si>
    <t>860478064951277</t>
  </si>
  <si>
    <t>8777-ProRep2@homedepot.com.mx</t>
  </si>
  <si>
    <t xml:space="preserve">8952020020165741149 </t>
  </si>
  <si>
    <t>860478064978759</t>
  </si>
  <si>
    <t>ALFONSO FRANCISCO</t>
  </si>
  <si>
    <t>MORIN</t>
  </si>
  <si>
    <t>8777-representantepyme@homedepot.com.mx</t>
  </si>
  <si>
    <t xml:space="preserve">8952020920661711944 </t>
  </si>
  <si>
    <t>8777-storemgr@homedepot.com.mx</t>
  </si>
  <si>
    <t xml:space="preserve">8952020920661711829 </t>
  </si>
  <si>
    <t>8778-delivery@homedepot.com.mx</t>
  </si>
  <si>
    <t>8778 - CELAYA</t>
  </si>
  <si>
    <t xml:space="preserve">8952020518661985029 </t>
  </si>
  <si>
    <t>860900062336268</t>
  </si>
  <si>
    <t>LUCIA</t>
  </si>
  <si>
    <t>MATA</t>
  </si>
  <si>
    <t>8778-institsales@homedepot.com.mx</t>
  </si>
  <si>
    <t xml:space="preserve">8952020020165698786 </t>
  </si>
  <si>
    <t>860900062336433</t>
  </si>
  <si>
    <t>FCO JAVIER</t>
  </si>
  <si>
    <t>ALDANA</t>
  </si>
  <si>
    <t>8778-prodeskmgr@homedepot.com.mx</t>
  </si>
  <si>
    <t xml:space="preserve">8952020020165699230 </t>
  </si>
  <si>
    <t>860900062334495</t>
  </si>
  <si>
    <t>8778-ProRep2@homedepot.com.mx</t>
  </si>
  <si>
    <t xml:space="preserve">8952020020165699081 </t>
  </si>
  <si>
    <t>860478064863704</t>
  </si>
  <si>
    <t>8781-ProRep2@homedepot.com.mx</t>
  </si>
  <si>
    <t>8781 - TUXTLA</t>
  </si>
  <si>
    <t xml:space="preserve">8952020222183071679 </t>
  </si>
  <si>
    <t>861383071457178</t>
  </si>
  <si>
    <t>MARIA DEL ROSARIO</t>
  </si>
  <si>
    <t>DE ANDA</t>
  </si>
  <si>
    <t>8778-representantepyme@homedepot.com.mx</t>
  </si>
  <si>
    <t xml:space="preserve">8952020920661711902 </t>
  </si>
  <si>
    <t>JUAN</t>
  </si>
  <si>
    <t>8778-storemgr@homedepot.com.mx</t>
  </si>
  <si>
    <t xml:space="preserve">8952020920661711878 </t>
  </si>
  <si>
    <t>JORGE OCTAVIO</t>
  </si>
  <si>
    <t>8781-delivery@homedepot.com.mx</t>
  </si>
  <si>
    <t xml:space="preserve">8952020519481244159 </t>
  </si>
  <si>
    <t>860900062266242</t>
  </si>
  <si>
    <t>ELIAS</t>
  </si>
  <si>
    <t>8781-institsales@homedepot.com.mx</t>
  </si>
  <si>
    <t xml:space="preserve">8952020519481244464 </t>
  </si>
  <si>
    <t>860900062265772</t>
  </si>
  <si>
    <t>KARLA REBECA</t>
  </si>
  <si>
    <t>ORANTES</t>
  </si>
  <si>
    <t>8781-prodeskmgr@homedepot.com.mx</t>
  </si>
  <si>
    <t xml:space="preserve">8952020519481244191 </t>
  </si>
  <si>
    <t>860478064811174</t>
  </si>
  <si>
    <t>MARICARMEN</t>
  </si>
  <si>
    <t>8781-ProRep1@homedepot.com.mx</t>
  </si>
  <si>
    <t xml:space="preserve">8952020519481244340 </t>
  </si>
  <si>
    <t>860478064627950</t>
  </si>
  <si>
    <t>8778-ProRep1@homedepot.com.mx</t>
  </si>
  <si>
    <t xml:space="preserve">8952020021160859753 </t>
  </si>
  <si>
    <t>860478064484428</t>
  </si>
  <si>
    <t>JUAN DIEGO</t>
  </si>
  <si>
    <t>PAZ</t>
  </si>
  <si>
    <t>GUMETA</t>
  </si>
  <si>
    <t>8781-ProRep3@homedepot.com.mx</t>
  </si>
  <si>
    <t xml:space="preserve">8952020519481244332 </t>
  </si>
  <si>
    <t>860478064811216</t>
  </si>
  <si>
    <t>8781-representantepyme@homedepot.com.mx</t>
  </si>
  <si>
    <t>8781-pyme@homedepot.com.mx</t>
  </si>
  <si>
    <t xml:space="preserve">8952020520682980955 </t>
  </si>
  <si>
    <t>8781-storemgr@homedepot.com.mx</t>
  </si>
  <si>
    <t xml:space="preserve">8952020520682980898 </t>
  </si>
  <si>
    <t>CESAR OMAR</t>
  </si>
  <si>
    <t>8784-delivery@homedepot.com.mx</t>
  </si>
  <si>
    <t>8784 - MAZATLAN</t>
  </si>
  <si>
    <t xml:space="preserve">8952020518621904813 </t>
  </si>
  <si>
    <t>860900062732086</t>
  </si>
  <si>
    <t>FATIMA GUADALUPE</t>
  </si>
  <si>
    <t>8784-institsales@homedepot.com.mx</t>
  </si>
  <si>
    <t xml:space="preserve">8952020518621945576 </t>
  </si>
  <si>
    <t>860900062735774</t>
  </si>
  <si>
    <t>TERESA DE JESUS</t>
  </si>
  <si>
    <t>OSUNA</t>
  </si>
  <si>
    <t>8784-prodesk2@homedepot.com.mx</t>
  </si>
  <si>
    <t>8784-pyme@homedepot.com.mx</t>
  </si>
  <si>
    <t xml:space="preserve">8952020520522107918 </t>
  </si>
  <si>
    <t>GENARO</t>
  </si>
  <si>
    <t>8784-prodeskmgr@homedepot.com.mx</t>
  </si>
  <si>
    <t xml:space="preserve">8952020518220319405 </t>
  </si>
  <si>
    <t>860478062099202</t>
  </si>
  <si>
    <t>ANA CAROLINA</t>
  </si>
  <si>
    <t>8784-prorep1@homedepot.com.mx</t>
  </si>
  <si>
    <t xml:space="preserve">8952020518621915769 </t>
  </si>
  <si>
    <t>860478064772566</t>
  </si>
  <si>
    <t>EDUARDO ISIDORO</t>
  </si>
  <si>
    <t>8784-ProRep2@homedepot.com.mx</t>
  </si>
  <si>
    <t xml:space="preserve">8952020518621915777 </t>
  </si>
  <si>
    <t>860478064810911</t>
  </si>
  <si>
    <t>ANA KARINA</t>
  </si>
  <si>
    <t>8784-ProRep3@homedepot.com.mx</t>
  </si>
  <si>
    <t xml:space="preserve">8952020518621915785 </t>
  </si>
  <si>
    <t>860478064811265</t>
  </si>
  <si>
    <t xml:space="preserve">8952020520522107728 </t>
  </si>
  <si>
    <t>AIDA VANESSA</t>
  </si>
  <si>
    <t>8784-storemgr@homedepot.com.mx</t>
  </si>
  <si>
    <t xml:space="preserve">8952020520522107819 </t>
  </si>
  <si>
    <t>AVALOS</t>
  </si>
  <si>
    <t>8785-delivery@homedepot.com.mx</t>
  </si>
  <si>
    <t>8785 - PUERTO VALLARTA</t>
  </si>
  <si>
    <t xml:space="preserve">8952020020252232622 </t>
  </si>
  <si>
    <t>860900062255054</t>
  </si>
  <si>
    <t>RACHEL</t>
  </si>
  <si>
    <t>JOYA</t>
  </si>
  <si>
    <t>8785-institsales@homedepot.com.mx</t>
  </si>
  <si>
    <t xml:space="preserve">8952020520652193993 </t>
  </si>
  <si>
    <t>860900062255906</t>
  </si>
  <si>
    <t>JAZMIN MIGUELINA</t>
  </si>
  <si>
    <t>GRAVE</t>
  </si>
  <si>
    <t>ROJO</t>
  </si>
  <si>
    <t>8785-prodesk1@homedepot.com.mx</t>
  </si>
  <si>
    <t>8785-pyme@homedepot.com.mx</t>
  </si>
  <si>
    <t xml:space="preserve">8952020520652193720 </t>
  </si>
  <si>
    <t>PARAMO</t>
  </si>
  <si>
    <t>8785-prodeskmgr@homedepot.com.mx</t>
  </si>
  <si>
    <t xml:space="preserve">8952020617652987059 </t>
  </si>
  <si>
    <t>860478064067132</t>
  </si>
  <si>
    <t>GIOVANY ALFONSO</t>
  </si>
  <si>
    <t>GAYTAN</t>
  </si>
  <si>
    <t>8785-ProRep1@homedepot.com.mx</t>
  </si>
  <si>
    <t xml:space="preserve">8952020020252232952 </t>
  </si>
  <si>
    <t>860478063821810</t>
  </si>
  <si>
    <t>8785-ProRep2@homedepot.com.mx</t>
  </si>
  <si>
    <t xml:space="preserve">8952020220650545985 </t>
  </si>
  <si>
    <t>860478063741497</t>
  </si>
  <si>
    <t>8785-ProRep3@homedepot.com.mx</t>
  </si>
  <si>
    <t xml:space="preserve">8952020020252232945 </t>
  </si>
  <si>
    <t>860478064800078</t>
  </si>
  <si>
    <t>EMILIANO</t>
  </si>
  <si>
    <t>8785-storemgr@homedepot.com.mx</t>
  </si>
  <si>
    <t xml:space="preserve">8952020520652193761 </t>
  </si>
  <si>
    <t>8788-prorep1@homedepot.com.mx</t>
  </si>
  <si>
    <t xml:space="preserve">8952020023195138609 </t>
  </si>
  <si>
    <t>860478062333528</t>
  </si>
  <si>
    <t>ZALMA BERENICE</t>
  </si>
  <si>
    <t>8786-delivery@homedepot.com.mx</t>
  </si>
  <si>
    <t>8786 - NUEVO VALLARTA</t>
  </si>
  <si>
    <t xml:space="preserve">8952020024455921908 </t>
  </si>
  <si>
    <t>SANTANA</t>
  </si>
  <si>
    <t>8786-Institsales@homedepot.com.mx</t>
  </si>
  <si>
    <t>8786-institsales@homedepot.com.mx</t>
  </si>
  <si>
    <t xml:space="preserve">8952020024455921882 </t>
  </si>
  <si>
    <t>ALDO RAFAEL</t>
  </si>
  <si>
    <t>SALCIDO</t>
  </si>
  <si>
    <t>ROMO</t>
  </si>
  <si>
    <t>8786-ProRep1@homedepot.com.mx</t>
  </si>
  <si>
    <t xml:space="preserve">8952020024455921932 </t>
  </si>
  <si>
    <t>861383070408842</t>
  </si>
  <si>
    <t>JOSE ABENAMAR</t>
  </si>
  <si>
    <t>8786-storemgr@homedepot.com.mx</t>
  </si>
  <si>
    <t xml:space="preserve">8952020024455921957 </t>
  </si>
  <si>
    <t>OLASCOAGA</t>
  </si>
  <si>
    <t>DOTOR</t>
  </si>
  <si>
    <t>8788-delivery@homedepot.com.mx</t>
  </si>
  <si>
    <t xml:space="preserve">8952020520498310165 </t>
  </si>
  <si>
    <t>860900062323142</t>
  </si>
  <si>
    <t>DORIAN GUSTAVO</t>
  </si>
  <si>
    <t>8788-institsales@homedepot.com.mx</t>
  </si>
  <si>
    <t xml:space="preserve">8952020520498310447 </t>
  </si>
  <si>
    <t>860900062323035</t>
  </si>
  <si>
    <t>8788-prodeskmgr@homedepot.com.mx</t>
  </si>
  <si>
    <t xml:space="preserve">8952020520498350468 </t>
  </si>
  <si>
    <t>860478062354466</t>
  </si>
  <si>
    <t>8788-ProRep2@homedepot.com.mx</t>
  </si>
  <si>
    <t xml:space="preserve">8952020520498310827 </t>
  </si>
  <si>
    <t>860478062096471</t>
  </si>
  <si>
    <t>8789-institsales@homedepot.com.mx</t>
  </si>
  <si>
    <t>8789 - MIGUEL ALEMAN</t>
  </si>
  <si>
    <t xml:space="preserve">8952020020340517059 </t>
  </si>
  <si>
    <t>860900062336623</t>
  </si>
  <si>
    <t>ARELLANES</t>
  </si>
  <si>
    <t>8788-storemgr@homedepot.com.mx</t>
  </si>
  <si>
    <t xml:space="preserve">8952020021391851280 </t>
  </si>
  <si>
    <t>FLOR ESTHELA</t>
  </si>
  <si>
    <t>ALEJOS</t>
  </si>
  <si>
    <t>8789-delivery@homedepot.com.mx</t>
  </si>
  <si>
    <t xml:space="preserve">8952020622442626793 </t>
  </si>
  <si>
    <t>860900062338397</t>
  </si>
  <si>
    <t>PALACIOS</t>
  </si>
  <si>
    <t>8789-ProRep1@homedepot.com.mx</t>
  </si>
  <si>
    <t xml:space="preserve">8952020020340515749 </t>
  </si>
  <si>
    <t>860478064633461</t>
  </si>
  <si>
    <t>8789-prodeskmgr@homedepot.com.mx</t>
  </si>
  <si>
    <t xml:space="preserve">8952020020340517158 </t>
  </si>
  <si>
    <t>860478060664445</t>
  </si>
  <si>
    <t>8795-prodeskmgr@homedepot.com.mx</t>
  </si>
  <si>
    <t>8795 - CANCUN</t>
  </si>
  <si>
    <t xml:space="preserve">8952020519481244167 </t>
  </si>
  <si>
    <t>860478064844928</t>
  </si>
  <si>
    <t>JESUS LUIS</t>
  </si>
  <si>
    <t>8789-ProRep2@homedepot.com.mx</t>
  </si>
  <si>
    <t xml:space="preserve">8952020020340515384 </t>
  </si>
  <si>
    <t>860478062354029</t>
  </si>
  <si>
    <t>FERNANDO DAVID</t>
  </si>
  <si>
    <t>8789-representantepyme@homedepot.com.mx</t>
  </si>
  <si>
    <t>8789-pyme@homedepot.com.mx</t>
  </si>
  <si>
    <t xml:space="preserve">8952020021241728118 </t>
  </si>
  <si>
    <t>8789-storemgr@homedepot.com.mx</t>
  </si>
  <si>
    <t xml:space="preserve">8952020021241726617 </t>
  </si>
  <si>
    <t>TOLENTINO</t>
  </si>
  <si>
    <t>8793-delivery@homedepot.com.mx</t>
  </si>
  <si>
    <t>8793 - POZA RICA</t>
  </si>
  <si>
    <t xml:space="preserve">8952020519371172122 </t>
  </si>
  <si>
    <t>860900062321823</t>
  </si>
  <si>
    <t>MILTON</t>
  </si>
  <si>
    <t>MELGAREJO</t>
  </si>
  <si>
    <t>8793-institsales@homedepot.com.mx</t>
  </si>
  <si>
    <t xml:space="preserve">8952020519371172072 </t>
  </si>
  <si>
    <t>860900062321930</t>
  </si>
  <si>
    <t>8793-prodeskmgr@homedepot.com.mx</t>
  </si>
  <si>
    <t xml:space="preserve">8952020519371172544 </t>
  </si>
  <si>
    <t>860478064978783</t>
  </si>
  <si>
    <t>DIANA BERENICE</t>
  </si>
  <si>
    <t>8793-ProRep1@homedepot.com.mx</t>
  </si>
  <si>
    <t xml:space="preserve">8952020519371172593 </t>
  </si>
  <si>
    <t>860478060428973</t>
  </si>
  <si>
    <t>MOISES</t>
  </si>
  <si>
    <t>BORBOYA</t>
  </si>
  <si>
    <t>8793-ProRep2@homedepot.com.mx</t>
  </si>
  <si>
    <t xml:space="preserve">8952020519371172569 </t>
  </si>
  <si>
    <t>860478063557414</t>
  </si>
  <si>
    <t>8793-representantepyme@homedepot.com.mx</t>
  </si>
  <si>
    <t xml:space="preserve">8952020521270815975 </t>
  </si>
  <si>
    <t>8793-storemgr@homedepot.com.mx</t>
  </si>
  <si>
    <t xml:space="preserve">8952020521270815819 </t>
  </si>
  <si>
    <t>SANANTONIO</t>
  </si>
  <si>
    <t>8795-delivery@homedepot.com.mx</t>
  </si>
  <si>
    <t xml:space="preserve">8952020519481244068 </t>
  </si>
  <si>
    <t>860900062257043</t>
  </si>
  <si>
    <t>TZIU</t>
  </si>
  <si>
    <t>8795-entregasdirectas@homedepot.com.mx</t>
  </si>
  <si>
    <t xml:space="preserve">8952020520682980971 </t>
  </si>
  <si>
    <t>YEMY JAQUELINE</t>
  </si>
  <si>
    <t>MONSREAL</t>
  </si>
  <si>
    <t>MOO</t>
  </si>
  <si>
    <t>8795-institsales@homedepot.com.mx</t>
  </si>
  <si>
    <t xml:space="preserve">8952020519481244480 </t>
  </si>
  <si>
    <t>860900062256706</t>
  </si>
  <si>
    <t>8795-Prorep1@homedepot.com.mx</t>
  </si>
  <si>
    <t xml:space="preserve">8952020519481244282 </t>
  </si>
  <si>
    <t>860900062256755</t>
  </si>
  <si>
    <t>8795-ProRep5@homedepot.com.mx</t>
  </si>
  <si>
    <t xml:space="preserve">8952020519481244324 </t>
  </si>
  <si>
    <t>860478064969444</t>
  </si>
  <si>
    <t>IGNACIA</t>
  </si>
  <si>
    <t>8795-ProRep2@homedepot.com.mx</t>
  </si>
  <si>
    <t xml:space="preserve">8952020519481244290 </t>
  </si>
  <si>
    <t>860478064968750</t>
  </si>
  <si>
    <t>8795-prorep3@homedepot.com.mx</t>
  </si>
  <si>
    <t xml:space="preserve">8952020519481244266 </t>
  </si>
  <si>
    <t>860478064845271</t>
  </si>
  <si>
    <t>ANA GABRIELA</t>
  </si>
  <si>
    <t>8795-ProRep4@homedepot.com.mx</t>
  </si>
  <si>
    <t xml:space="preserve">8952020519481244308 </t>
  </si>
  <si>
    <t>860478064968198</t>
  </si>
  <si>
    <t>ALEX</t>
  </si>
  <si>
    <t>ALDERETE</t>
  </si>
  <si>
    <t>8796-storemgr@homedepot.com.mx</t>
  </si>
  <si>
    <t xml:space="preserve">8952020024448185322 </t>
  </si>
  <si>
    <t>BELEN ALEXA</t>
  </si>
  <si>
    <t>8795-pyme1@homedepot.com.mx</t>
  </si>
  <si>
    <t>8795-prodesk1@homedepot.com.mx</t>
  </si>
  <si>
    <t xml:space="preserve">8952020920180889270 </t>
  </si>
  <si>
    <t>8795-pyme2@homedepot.com.mx</t>
  </si>
  <si>
    <t>8795-pyme@homedepot.com.mx</t>
  </si>
  <si>
    <t xml:space="preserve">8952020918380430770 </t>
  </si>
  <si>
    <t>860900062257431</t>
  </si>
  <si>
    <t>equipo entregado</t>
  </si>
  <si>
    <t>HAMAIRANI ZAIRE</t>
  </si>
  <si>
    <t>BAAS</t>
  </si>
  <si>
    <t>8795-Pyme3@homedepot.com.mx</t>
  </si>
  <si>
    <t>8795-Pyme@homedepot.com.mx</t>
  </si>
  <si>
    <t xml:space="preserve">8952020518381981175 </t>
  </si>
  <si>
    <t>860900062257456</t>
  </si>
  <si>
    <t>CASTAN</t>
  </si>
  <si>
    <t>8795-storemgr@homedepot.com.mx</t>
  </si>
  <si>
    <t xml:space="preserve">8952020520682980922 </t>
  </si>
  <si>
    <t>JOSUE JAZAEL</t>
  </si>
  <si>
    <t>8796-delivery@homedepot.com.mx</t>
  </si>
  <si>
    <t xml:space="preserve">8952020024543268783 </t>
  </si>
  <si>
    <t>tienda</t>
  </si>
  <si>
    <t>ANAHI GUADALUPE</t>
  </si>
  <si>
    <t>8796-institsales@homedepot.com.mx</t>
  </si>
  <si>
    <t xml:space="preserve">8952020020340516648 </t>
  </si>
  <si>
    <t>860900062336946</t>
  </si>
  <si>
    <t>BEATRIZ ADRIANA</t>
  </si>
  <si>
    <t>8796-Prodeskmgr@homedepot.com.mx</t>
  </si>
  <si>
    <t xml:space="preserve">8952020020340515442 </t>
  </si>
  <si>
    <t>860478064773358</t>
  </si>
  <si>
    <t>MAYRA ALICIA</t>
  </si>
  <si>
    <t>GODINA</t>
  </si>
  <si>
    <t>8796-representantepyme@homedepot.com.mx</t>
  </si>
  <si>
    <t xml:space="preserve">8952020021241728084 </t>
  </si>
  <si>
    <t>REGALADO</t>
  </si>
  <si>
    <t>8796-representantepyme1@homedepot.com.mx</t>
  </si>
  <si>
    <t xml:space="preserve">8952020518141772583 </t>
  </si>
  <si>
    <t>860900062319413</t>
  </si>
  <si>
    <t xml:space="preserve">8952020523342145100 </t>
  </si>
  <si>
    <t>860900062338710</t>
  </si>
  <si>
    <t>SIN EQUIPO</t>
  </si>
  <si>
    <t>PRESTAMO</t>
  </si>
  <si>
    <t xml:space="preserve">8952020921246258989 </t>
  </si>
  <si>
    <t>860900062337134</t>
  </si>
  <si>
    <t>VADIERIO</t>
  </si>
  <si>
    <t>8797-delivery@homedepot.com.mx</t>
  </si>
  <si>
    <t>8797 - SALTILLO NOGALERA</t>
  </si>
  <si>
    <t xml:space="preserve">8952020020340517109 </t>
  </si>
  <si>
    <t>860900062337084</t>
  </si>
  <si>
    <t>8797-entregasdirectas@homedepot.com.mx</t>
  </si>
  <si>
    <t xml:space="preserve">8952020020340518206 </t>
  </si>
  <si>
    <t>8797-representantepyme@homedepot.com.mx</t>
  </si>
  <si>
    <t>8797-pyme@homedepot.com.mx</t>
  </si>
  <si>
    <t xml:space="preserve">8952020021241728050 </t>
  </si>
  <si>
    <t>CLAUDIA SYNTHIA</t>
  </si>
  <si>
    <t>8797-institsales@homedepot.com.mx</t>
  </si>
  <si>
    <t xml:space="preserve">8952020020340517042 </t>
  </si>
  <si>
    <t>ANHEL ALEJANDRA MARTHA PATRICIA</t>
  </si>
  <si>
    <t>8797-ProRep1@homedepot.com.mx</t>
  </si>
  <si>
    <t xml:space="preserve">8952020020340516127 </t>
  </si>
  <si>
    <t>860478062096695</t>
  </si>
  <si>
    <t>ARTURO EMILIO</t>
  </si>
  <si>
    <t xml:space="preserve">8952020020340515426 </t>
  </si>
  <si>
    <t>860478063821372</t>
  </si>
  <si>
    <t>8786-</t>
  </si>
  <si>
    <t xml:space="preserve">8952020024455921866 </t>
  </si>
  <si>
    <t>8797-storemgr@homedepot.com.mx</t>
  </si>
  <si>
    <t xml:space="preserve">8952020021241727706 </t>
  </si>
  <si>
    <t>8798-delivery@homedepot.com.mx</t>
  </si>
  <si>
    <t>8798 - TEXCOCO</t>
  </si>
  <si>
    <t xml:space="preserve">8952020023195128469 </t>
  </si>
  <si>
    <t>FRAGOZO</t>
  </si>
  <si>
    <t>8798-institsales@homedepot.com.mx</t>
  </si>
  <si>
    <t xml:space="preserve">8952020520498310140 </t>
  </si>
  <si>
    <t>860900062269782</t>
  </si>
  <si>
    <t>MUNIVE</t>
  </si>
  <si>
    <t>CHAMARRO</t>
  </si>
  <si>
    <t>8798-prodeskmgr@homedepot.com.mx</t>
  </si>
  <si>
    <t xml:space="preserve">8952020520498312377 </t>
  </si>
  <si>
    <t>860478062410771</t>
  </si>
  <si>
    <t>DAVID ERNESTO</t>
  </si>
  <si>
    <t>LUENGAS</t>
  </si>
  <si>
    <t>LUCRECIO</t>
  </si>
  <si>
    <t>8798-prorep1@homedepot.com.mx</t>
  </si>
  <si>
    <t xml:space="preserve">8952020920694036830 </t>
  </si>
  <si>
    <t>860478063557513</t>
  </si>
  <si>
    <t>ANGEL ANTONIO</t>
  </si>
  <si>
    <t>8798-prorep2@homedepot.com.mx</t>
  </si>
  <si>
    <t xml:space="preserve">8952020520498312492 </t>
  </si>
  <si>
    <t>860478060033211</t>
  </si>
  <si>
    <t>8798-storemgr@homedepot.com.mx</t>
  </si>
  <si>
    <t xml:space="preserve">8952020021391851272 </t>
  </si>
  <si>
    <t>GERMAN GABRIEL</t>
  </si>
  <si>
    <t>ventas8797@homedepot.com.mx</t>
  </si>
  <si>
    <t>8797-Prodeskmgr@homedepot.com.mx</t>
  </si>
  <si>
    <t xml:space="preserve">8952020020340515434 </t>
  </si>
  <si>
    <t>860478060690051</t>
  </si>
  <si>
    <t>8799_gerenciapyp@homedepot.com.mx</t>
  </si>
  <si>
    <t>8799 - MDC ATITALAQUIA</t>
  </si>
  <si>
    <t xml:space="preserve">8952020022191364698 </t>
  </si>
  <si>
    <t>358366320438164</t>
  </si>
  <si>
    <t>OPPO CPH2477</t>
  </si>
  <si>
    <t>OPPO A17</t>
  </si>
  <si>
    <t>ZAYRA LISSET</t>
  </si>
  <si>
    <t>COORDINACION DE TRANSPORTE DIRECTO</t>
  </si>
  <si>
    <t>8799-auxiliarDTS@homedepot.com.mx</t>
  </si>
  <si>
    <t xml:space="preserve">8952020023494627013 </t>
  </si>
  <si>
    <t>EMELYN</t>
  </si>
  <si>
    <t>ESPECIALISTA DE TRANSPORTE DIRECTO</t>
  </si>
  <si>
    <t>8799-auxiliardts1@homedepot.com.mx</t>
  </si>
  <si>
    <t xml:space="preserve">8952020023195128352 </t>
  </si>
  <si>
    <t>NADIA ALMIRA</t>
  </si>
  <si>
    <t xml:space="preserve">JEFATURA CITAS CENTRALIZADAS SINIESTROS </t>
  </si>
  <si>
    <t>8799-CitasCentralizadas@homedepot.com.mx</t>
  </si>
  <si>
    <t xml:space="preserve">8952020520498310298 </t>
  </si>
  <si>
    <t>860900062337357</t>
  </si>
  <si>
    <t>8799-consol@homedepot.com.mx</t>
  </si>
  <si>
    <t xml:space="preserve">8952020520498310264 </t>
  </si>
  <si>
    <t>860900062337530</t>
  </si>
  <si>
    <t>8799-hdelivery@homedepot.com.mx</t>
  </si>
  <si>
    <t xml:space="preserve">8952020520498310561 </t>
  </si>
  <si>
    <t>860900062331046</t>
  </si>
  <si>
    <t>ANA ANGELICA</t>
  </si>
  <si>
    <t xml:space="preserve">8952020520498310397 </t>
  </si>
  <si>
    <t>860900062337514</t>
  </si>
  <si>
    <t xml:space="preserve">8952020017590747584 </t>
  </si>
  <si>
    <t>860900062337001</t>
  </si>
  <si>
    <t>MARIA SELENE</t>
  </si>
  <si>
    <t>COORDINACION DE BAHIA EXTENDIDA Y ORDENES ESPECIALES</t>
  </si>
  <si>
    <t>8799-hdelivery2@homedepot.com.mx</t>
  </si>
  <si>
    <t xml:space="preserve">8952020520498310579 </t>
  </si>
  <si>
    <t>860900062319223</t>
  </si>
  <si>
    <t>EMMA LUCIANA</t>
  </si>
  <si>
    <t>GERENCIA RECURSOS HUMANOS MDC</t>
  </si>
  <si>
    <t>8799-humrec1@homedepot.com.mx</t>
  </si>
  <si>
    <t xml:space="preserve">8952020520498312187 </t>
  </si>
  <si>
    <t>860900062337340</t>
  </si>
  <si>
    <t>MARCOS</t>
  </si>
  <si>
    <t>8799-inventory1@homedepot.com.mx</t>
  </si>
  <si>
    <t xml:space="preserve">8952020520498310439 </t>
  </si>
  <si>
    <t>860900062335328</t>
  </si>
  <si>
    <t>MARIA ESTELA</t>
  </si>
  <si>
    <t>8799-inventory2@homedepot.com.mx</t>
  </si>
  <si>
    <t xml:space="preserve">8952020318592177691 </t>
  </si>
  <si>
    <t>860900062337282</t>
  </si>
  <si>
    <t>EMMANUEL SAJID</t>
  </si>
  <si>
    <t>ESCAMILLA</t>
  </si>
  <si>
    <t>8799-jefeplaneacion@homedepot.com.mx</t>
  </si>
  <si>
    <t xml:space="preserve">8952020022191364920 </t>
  </si>
  <si>
    <t>860900062322532</t>
  </si>
  <si>
    <t>HUGO</t>
  </si>
  <si>
    <t>GERENCIA DE MDC</t>
  </si>
  <si>
    <t>8799-manager@homedepot.com.mx</t>
  </si>
  <si>
    <t xml:space="preserve">8952020520498310025 </t>
  </si>
  <si>
    <t>351307357703192</t>
  </si>
  <si>
    <t>NADYA JOCELYN</t>
  </si>
  <si>
    <t>GODINEZ</t>
  </si>
  <si>
    <t>AUXILIAR DE EMBARQUES DE SALIDA</t>
  </si>
  <si>
    <t>8799-mcartaporte1@homedepot.com.mx</t>
  </si>
  <si>
    <t xml:space="preserve">8952020221496807456 </t>
  </si>
  <si>
    <t>860900062319504</t>
  </si>
  <si>
    <t>BARRIOS</t>
  </si>
  <si>
    <t>8799-operaciones1@homedepot.com.mx</t>
  </si>
  <si>
    <t xml:space="preserve">8952020520498310611 </t>
  </si>
  <si>
    <t>860900062337381</t>
  </si>
  <si>
    <t xml:space="preserve">8952020520498310389 </t>
  </si>
  <si>
    <t>860900062337308</t>
  </si>
  <si>
    <t xml:space="preserve">8952020520498310272 </t>
  </si>
  <si>
    <t>860900062337175</t>
  </si>
  <si>
    <t>RUBEN DARIO</t>
  </si>
  <si>
    <t>COORDINACION DE PLANEACIÓN OPERATIVA MDC</t>
  </si>
  <si>
    <t xml:space="preserve">8952020520498312336 </t>
  </si>
  <si>
    <t>860900062321500</t>
  </si>
  <si>
    <t>8799-security@homedepot.com.mx</t>
  </si>
  <si>
    <t xml:space="preserve">8952020023195128378 </t>
  </si>
  <si>
    <t>860900062337019</t>
  </si>
  <si>
    <t>8799-security2@homedepot.com.mx</t>
  </si>
  <si>
    <t xml:space="preserve">8952020520498310249 </t>
  </si>
  <si>
    <t>860900062319066</t>
  </si>
  <si>
    <t>8799-servicioscentralizados@homedepot.com.mx</t>
  </si>
  <si>
    <t>8799-serviciocentralizado@homedepot.com.mx</t>
  </si>
  <si>
    <t xml:space="preserve">8952020021391851157 </t>
  </si>
  <si>
    <t>8799-siniestroscentralizados@homedepot.com.mx</t>
  </si>
  <si>
    <t xml:space="preserve">8952020520498312690 </t>
  </si>
  <si>
    <t>860900062337316</t>
  </si>
  <si>
    <t>MARCO ANTONIO IVAN</t>
  </si>
  <si>
    <t>8799-sistemsupport1@homedepot.com.mx</t>
  </si>
  <si>
    <t xml:space="preserve">8952020023494627039 </t>
  </si>
  <si>
    <t>860900062338827</t>
  </si>
  <si>
    <t>ALEJANDRO OMAR</t>
  </si>
  <si>
    <t>8799-sistemsupport2@homedepot.com.mx</t>
  </si>
  <si>
    <t xml:space="preserve">8952020023494627047 </t>
  </si>
  <si>
    <t>JESUS JHOVANI</t>
  </si>
  <si>
    <t>MAY</t>
  </si>
  <si>
    <t xml:space="preserve">8952020520498310603 </t>
  </si>
  <si>
    <t>860900062337191</t>
  </si>
  <si>
    <t>COORDINACION DE RACK</t>
  </si>
  <si>
    <t>8799-stock3@homedepot.com.mx</t>
  </si>
  <si>
    <t xml:space="preserve">8952020021391851926 </t>
  </si>
  <si>
    <t>860900062337571</t>
  </si>
  <si>
    <t>8799-stock4@homedepot.com.mx</t>
  </si>
  <si>
    <t xml:space="preserve">8952020520498310595 </t>
  </si>
  <si>
    <t>860900062331145</t>
  </si>
  <si>
    <t>CHRISTIAN</t>
  </si>
  <si>
    <t>8799-transport@homedepot.com.mx</t>
  </si>
  <si>
    <t xml:space="preserve">8952020023195128386 </t>
  </si>
  <si>
    <t>860900062337548</t>
  </si>
  <si>
    <t>YENY</t>
  </si>
  <si>
    <t>COORDINACION DE RECIBO</t>
  </si>
  <si>
    <t>8799-transport1@homedepot.com.mx</t>
  </si>
  <si>
    <t xml:space="preserve">8952020520498310405 </t>
  </si>
  <si>
    <t>860900062337365</t>
  </si>
  <si>
    <t>AZAMAR</t>
  </si>
  <si>
    <t>8799-transport7@homedepot.com.mx</t>
  </si>
  <si>
    <t xml:space="preserve">8952020520498310256 </t>
  </si>
  <si>
    <t>860900062335872</t>
  </si>
  <si>
    <t>8799-transport8@homedepot.com.mx</t>
  </si>
  <si>
    <t xml:space="preserve">8952020520498310413 </t>
  </si>
  <si>
    <t>860900062335658</t>
  </si>
  <si>
    <t>LUIS JOZIC</t>
  </si>
  <si>
    <t>VALENCIA</t>
  </si>
  <si>
    <t>8799-xd@homedepot.com.mx</t>
  </si>
  <si>
    <t xml:space="preserve">8952020520498310587 </t>
  </si>
  <si>
    <t>860900062337209</t>
  </si>
  <si>
    <t>IVONNE</t>
  </si>
  <si>
    <t>8799-atransport1@homedepot.com.mx</t>
  </si>
  <si>
    <t xml:space="preserve">8952020520498310629 </t>
  </si>
  <si>
    <t>860900062330956</t>
  </si>
  <si>
    <t>IMEI: 860900062330956 -UPDATE feb-2026</t>
  </si>
  <si>
    <t>JOSE ROBERTO</t>
  </si>
  <si>
    <t>TAPIA</t>
  </si>
  <si>
    <t>8852-delivery@homedepot.com.mx</t>
  </si>
  <si>
    <t>8852 - COLIMA</t>
  </si>
  <si>
    <t xml:space="preserve">8952020020252232580 </t>
  </si>
  <si>
    <t>860900062254487</t>
  </si>
  <si>
    <t>ZEFERINO</t>
  </si>
  <si>
    <t>8852-institsales@homedepot.com.mx</t>
  </si>
  <si>
    <t xml:space="preserve">8952020020252232515 </t>
  </si>
  <si>
    <t>860900062238795</t>
  </si>
  <si>
    <t>OCTAVIO</t>
  </si>
  <si>
    <t>JEFATURA DE MANTENIMIENTO DE CL</t>
  </si>
  <si>
    <t>8799-kpi@homedepot.com.mx</t>
  </si>
  <si>
    <t xml:space="preserve">8952020020340517943 </t>
  </si>
  <si>
    <t>860900062338157</t>
  </si>
  <si>
    <t>MARCELA GUADALUPE</t>
  </si>
  <si>
    <t>8852-ProRep1@homedepot.com.mx</t>
  </si>
  <si>
    <t xml:space="preserve">8952020520652193985 </t>
  </si>
  <si>
    <t>LAURA BETZABE</t>
  </si>
  <si>
    <t>8852-ProRep2@homedepot.com.mx</t>
  </si>
  <si>
    <t xml:space="preserve">8952020020252233042 </t>
  </si>
  <si>
    <t>860478063778515</t>
  </si>
  <si>
    <t>ALAN EDUARDO</t>
  </si>
  <si>
    <t>BETANCOURT</t>
  </si>
  <si>
    <t>8852-representantepyme@homedepot.com.mx</t>
  </si>
  <si>
    <t xml:space="preserve">8952020020252232937 </t>
  </si>
  <si>
    <t>860900062254073</t>
  </si>
  <si>
    <t>HILARION</t>
  </si>
  <si>
    <t>ZARCO</t>
  </si>
  <si>
    <t>8852-storemgr@homedepot.com.mx</t>
  </si>
  <si>
    <t xml:space="preserve">8952020520652193746 </t>
  </si>
  <si>
    <t>NUVIA ALEJANDRA</t>
  </si>
  <si>
    <t>GARZON</t>
  </si>
  <si>
    <t>8854-delivery@homedepot.com.mx</t>
  </si>
  <si>
    <t>8854-Delivery@homedepot.com.mx</t>
  </si>
  <si>
    <t>8854 - TIJUANA 2000</t>
  </si>
  <si>
    <t xml:space="preserve">8952020319613447956 </t>
  </si>
  <si>
    <t>860900062256896</t>
  </si>
  <si>
    <t xml:space="preserve">8952020920410337884 </t>
  </si>
  <si>
    <t>LITZI AMAIRANI</t>
  </si>
  <si>
    <t>OTERO</t>
  </si>
  <si>
    <t>8854-entregasdirectas@homedepot.com.mx</t>
  </si>
  <si>
    <t xml:space="preserve">8952020517510150520 </t>
  </si>
  <si>
    <t>860900062337324</t>
  </si>
  <si>
    <t>VIRIDIANA JANETH</t>
  </si>
  <si>
    <t>BALLEZA</t>
  </si>
  <si>
    <t>8854-institsales@homedepot.com.mx</t>
  </si>
  <si>
    <t xml:space="preserve">8952020518614571165 </t>
  </si>
  <si>
    <t>860900062337043</t>
  </si>
  <si>
    <t>EDUARDO FRANCISCO</t>
  </si>
  <si>
    <t>8854-prodeskmgr@homedepot.com.mx</t>
  </si>
  <si>
    <t xml:space="preserve">8952020518614571587 </t>
  </si>
  <si>
    <t>860478064952689</t>
  </si>
  <si>
    <t>ALDAPE</t>
  </si>
  <si>
    <t>8854-prorep1@homedepot.com.mx</t>
  </si>
  <si>
    <t xml:space="preserve">8952020518614571561 </t>
  </si>
  <si>
    <t>860478064862508</t>
  </si>
  <si>
    <t>WALTON</t>
  </si>
  <si>
    <t>8854-ProRep2@homedepot.com.mx</t>
  </si>
  <si>
    <t xml:space="preserve">8952020518614571579 </t>
  </si>
  <si>
    <t>860478064951442</t>
  </si>
  <si>
    <t>SAMANTHA MELISSA</t>
  </si>
  <si>
    <t>MERA</t>
  </si>
  <si>
    <t>8854-representantepyme@homedepot.com.mx</t>
  </si>
  <si>
    <t xml:space="preserve">8952020920410337843 </t>
  </si>
  <si>
    <t>8854-storemgr@homedepot.com.mx</t>
  </si>
  <si>
    <t xml:space="preserve">8952020920410337751 </t>
  </si>
  <si>
    <t>EULISES</t>
  </si>
  <si>
    <t>DORANTES</t>
  </si>
  <si>
    <t>8857-delivery@homedepot.com.mx</t>
  </si>
  <si>
    <t>8857 - ACAPULCO DIAMANTE</t>
  </si>
  <si>
    <t xml:space="preserve">8952020519371172106 </t>
  </si>
  <si>
    <t>860900062256334</t>
  </si>
  <si>
    <t>JESUS ENRIQUE</t>
  </si>
  <si>
    <t>FONSECA</t>
  </si>
  <si>
    <t>8852-prodeskmgr@homedepot.com.mx</t>
  </si>
  <si>
    <t xml:space="preserve">8952020020252233034 </t>
  </si>
  <si>
    <t>860478064067140</t>
  </si>
  <si>
    <t>CANDIDO</t>
  </si>
  <si>
    <t>8857-prodeskmgr@homedepot.com.mx</t>
  </si>
  <si>
    <t xml:space="preserve">8952020519371172668 </t>
  </si>
  <si>
    <t>860478060204077</t>
  </si>
  <si>
    <t>ERICK YAHIR</t>
  </si>
  <si>
    <t>8857-ProRep1@homedepot.com.mx</t>
  </si>
  <si>
    <t xml:space="preserve">8952020519371172676 </t>
  </si>
  <si>
    <t>860478062333486</t>
  </si>
  <si>
    <t>JOSE ROGELIO</t>
  </si>
  <si>
    <t>ZACAPALA</t>
  </si>
  <si>
    <t>8857-ProRep2@homedepot.com.mx</t>
  </si>
  <si>
    <t xml:space="preserve">8952020519371172759 </t>
  </si>
  <si>
    <t>860478064067934</t>
  </si>
  <si>
    <t>ULISES</t>
  </si>
  <si>
    <t>8857-ProRep3@homedepot.com.mx</t>
  </si>
  <si>
    <t xml:space="preserve">8952020918674927143 </t>
  </si>
  <si>
    <t>860478064810978</t>
  </si>
  <si>
    <t>8857-representantepyme@homedepot.com.mx</t>
  </si>
  <si>
    <t xml:space="preserve">8952020521270815983 </t>
  </si>
  <si>
    <t>8857-storemgr@homedepot.com.mx</t>
  </si>
  <si>
    <t xml:space="preserve">8952020521270815884 </t>
  </si>
  <si>
    <t>TECUATL</t>
  </si>
  <si>
    <t>8860-delivery@homedepot.com.mx</t>
  </si>
  <si>
    <t>8860 - CENTRO</t>
  </si>
  <si>
    <t xml:space="preserve">8952020918392328269 </t>
  </si>
  <si>
    <t>860900062322227</t>
  </si>
  <si>
    <t>ERIK</t>
  </si>
  <si>
    <t>8860-institsales@homedepot.com.mx</t>
  </si>
  <si>
    <t xml:space="preserve">8952020520498310546 </t>
  </si>
  <si>
    <t>860900062319462</t>
  </si>
  <si>
    <t>ISABEL</t>
  </si>
  <si>
    <t>8860-prodesk1@homedepot.com.mx</t>
  </si>
  <si>
    <t>8860-Pyme@homedepot.com.mx</t>
  </si>
  <si>
    <t xml:space="preserve">8952020520498312674 </t>
  </si>
  <si>
    <t>860900062322094</t>
  </si>
  <si>
    <t>LEON JESUS</t>
  </si>
  <si>
    <t>8860-prodeskmgr@homedepot.com.mx</t>
  </si>
  <si>
    <t xml:space="preserve">8952020520498310884 </t>
  </si>
  <si>
    <t>860478064952770</t>
  </si>
  <si>
    <t>ERIK GEOVANI</t>
  </si>
  <si>
    <t>BECERRIL</t>
  </si>
  <si>
    <t>CHIRINOS</t>
  </si>
  <si>
    <t>8860-ProRep1@homedepot.com.mx</t>
  </si>
  <si>
    <t xml:space="preserve">8952020520498310876 </t>
  </si>
  <si>
    <t>860478064165449</t>
  </si>
  <si>
    <t>SERGIO MOISES</t>
  </si>
  <si>
    <t>NIETO</t>
  </si>
  <si>
    <t>8860-ProRep2@homedepot.com.mx</t>
  </si>
  <si>
    <t xml:space="preserve">8952020520498310892 </t>
  </si>
  <si>
    <t>860478062408726</t>
  </si>
  <si>
    <t>8857-institsales@homedepot.com.mx</t>
  </si>
  <si>
    <t xml:space="preserve">8952020519371172064 </t>
  </si>
  <si>
    <t>860900062256326</t>
  </si>
  <si>
    <t>GLORIA ABIGAIL</t>
  </si>
  <si>
    <t>8860-ProRep4@homedepot.com.mx</t>
  </si>
  <si>
    <t xml:space="preserve">8952020520498310900 </t>
  </si>
  <si>
    <t>860478063560822</t>
  </si>
  <si>
    <t>CAROLINA</t>
  </si>
  <si>
    <t>MONTERRUBIO</t>
  </si>
  <si>
    <t xml:space="preserve">8952020021391851017 </t>
  </si>
  <si>
    <t>860900062323563</t>
  </si>
  <si>
    <t>NORA JUANA</t>
  </si>
  <si>
    <t>8860-storemgr@homedepot.com.mx</t>
  </si>
  <si>
    <t xml:space="preserve">8952020021391851330 </t>
  </si>
  <si>
    <t>ABEL</t>
  </si>
  <si>
    <t>FABELA</t>
  </si>
  <si>
    <t>DISTRICT MET DEPARTMENT HEAD</t>
  </si>
  <si>
    <t>abel_avalos@homedepot.com.mx</t>
  </si>
  <si>
    <t xml:space="preserve">8952020921551326454 </t>
  </si>
  <si>
    <t>358366320310496</t>
  </si>
  <si>
    <t>ABRAHAM DE JESUS</t>
  </si>
  <si>
    <t>AVELAR</t>
  </si>
  <si>
    <t>DISTRICT CREDITS DEPARTMENT HEAD</t>
  </si>
  <si>
    <t>FINANCE</t>
  </si>
  <si>
    <t>abraham_avelar@homedepot.com.mx</t>
  </si>
  <si>
    <t>Abraham-Avelar@homedepot.com.mx</t>
  </si>
  <si>
    <t xml:space="preserve">8952020519371172767 </t>
  </si>
  <si>
    <t>860900062337621</t>
  </si>
  <si>
    <t>ABRIL CRISTINA</t>
  </si>
  <si>
    <t>MERCHANDISING SR MANAGER</t>
  </si>
  <si>
    <t>abril_ramirez@homedepot.com.mx</t>
  </si>
  <si>
    <t>Abril-Ramirez@homedepot.com.mx</t>
  </si>
  <si>
    <t xml:space="preserve">8952020021241726138 </t>
  </si>
  <si>
    <t>iPhone 13 (128 GB Red)</t>
  </si>
  <si>
    <t>ADOLFO</t>
  </si>
  <si>
    <t>adolfo_lopez@homedepot.com.mx</t>
  </si>
  <si>
    <t xml:space="preserve">8952020520498310017 </t>
  </si>
  <si>
    <t>351307358634925</t>
  </si>
  <si>
    <t>35 130735 863492 5</t>
  </si>
  <si>
    <t>CLEMENTE</t>
  </si>
  <si>
    <t>adrian_clemente@homedepot.com.mx</t>
  </si>
  <si>
    <t xml:space="preserve">8952020020340516242 </t>
  </si>
  <si>
    <t>860900062338678</t>
  </si>
  <si>
    <t>adriana_espinoza@homedepot.com.mx</t>
  </si>
  <si>
    <t>545004@homedepot.com.mx</t>
  </si>
  <si>
    <t xml:space="preserve">8952020923313474390 </t>
  </si>
  <si>
    <t>860900062337993</t>
  </si>
  <si>
    <t>GUERRA</t>
  </si>
  <si>
    <t>SR SALES AUDITOR</t>
  </si>
  <si>
    <t>agustin_hernandez@homedepot.com.mx</t>
  </si>
  <si>
    <t xml:space="preserve">8952020022340550874 </t>
  </si>
  <si>
    <t>AGUSTIN NASSAU</t>
  </si>
  <si>
    <t>MAYORGA</t>
  </si>
  <si>
    <t>MAINTENANCE ANALYST</t>
  </si>
  <si>
    <t>OPERATIONS</t>
  </si>
  <si>
    <t>agustin_rodriguez@homedepot.com.mx</t>
  </si>
  <si>
    <t xml:space="preserve">8952020921544128124 </t>
  </si>
  <si>
    <t>860900062735964</t>
  </si>
  <si>
    <t>Cambiar en renovacion 2026</t>
  </si>
  <si>
    <t>ESCARCEGA</t>
  </si>
  <si>
    <t>MERCHANDISING SPECIALIST</t>
  </si>
  <si>
    <t>alan_escarcega@homedepot.com.mx</t>
  </si>
  <si>
    <t xml:space="preserve">8952020921242744750 </t>
  </si>
  <si>
    <t>MERCHANDISING DEPARTMENT HEAD</t>
  </si>
  <si>
    <t>alberto_alvarado@homedepot.com.mx</t>
  </si>
  <si>
    <t>1046669@homedepot.com.mx</t>
  </si>
  <si>
    <t xml:space="preserve">8952020021241728019 </t>
  </si>
  <si>
    <t>860900062337829</t>
  </si>
  <si>
    <t>DISTRICT OPERATIONS MANAGER</t>
  </si>
  <si>
    <t>alberto_diaz@homedepot.com.mx</t>
  </si>
  <si>
    <t xml:space="preserve">8952020021241726187 </t>
  </si>
  <si>
    <t>ELIUD ALBERTO</t>
  </si>
  <si>
    <t>SR. NETWORK ENGINEER</t>
  </si>
  <si>
    <t>alberto_luna@homedepot.com.mx</t>
  </si>
  <si>
    <t xml:space="preserve">8952020024447000738 </t>
  </si>
  <si>
    <t>860478063758327</t>
  </si>
  <si>
    <t>LOBEIRA</t>
  </si>
  <si>
    <t>LEGAL SR DIRECTOR</t>
  </si>
  <si>
    <t>Alberto_paez@homedepot.com.mx</t>
  </si>
  <si>
    <t xml:space="preserve">8952020515241029682 </t>
  </si>
  <si>
    <t>356879777988285</t>
  </si>
  <si>
    <t>iPhone 13</t>
  </si>
  <si>
    <t>2023-11-23</t>
  </si>
  <si>
    <t>2025-12-23</t>
  </si>
  <si>
    <t xml:space="preserve">PEMPRESA 5 D 24VCI  </t>
  </si>
  <si>
    <t>TREASURY SR MANAGER</t>
  </si>
  <si>
    <t>alberto_rodriguez@homedepot.com.mx</t>
  </si>
  <si>
    <t>Alberto-Rodriguez@homedepot.com.mx</t>
  </si>
  <si>
    <t xml:space="preserve">8952020021241726195 </t>
  </si>
  <si>
    <t>LAST MILE SR MANAGER</t>
  </si>
  <si>
    <t>alberto_sanchez@homedepot.com.mx</t>
  </si>
  <si>
    <t>Alberto-Sanchez@homedepot.com.mx</t>
  </si>
  <si>
    <t xml:space="preserve">8952020021241480926 </t>
  </si>
  <si>
    <t>SR LAWYER</t>
  </si>
  <si>
    <t>sergio_trevino@homedepot.com.mx</t>
  </si>
  <si>
    <t xml:space="preserve">8952020020340517281 </t>
  </si>
  <si>
    <t>860900062338447</t>
  </si>
  <si>
    <t>KARLA DENISSE</t>
  </si>
  <si>
    <t>DE HOYOS</t>
  </si>
  <si>
    <t>SR PRO SALES ANALYTICS</t>
  </si>
  <si>
    <t>Karla_Trevino@homedepot.com.mx</t>
  </si>
  <si>
    <t xml:space="preserve">8952020021241726807 </t>
  </si>
  <si>
    <t>860900062337233</t>
  </si>
  <si>
    <t>ELIZONDO</t>
  </si>
  <si>
    <t>OMNICHANNEL PROCESS DH</t>
  </si>
  <si>
    <t>alejandra_gutierrez@homedepot.com.mx</t>
  </si>
  <si>
    <t>1021555@homedepot.com.mx</t>
  </si>
  <si>
    <t xml:space="preserve">8952020021241728373 </t>
  </si>
  <si>
    <t>INTERNAL AUDIT &amp; BUSINESS PROCESS DIRECTOR</t>
  </si>
  <si>
    <t>AUDIT</t>
  </si>
  <si>
    <t>alejandra_herrera@homedepot.com.mx</t>
  </si>
  <si>
    <t>Alejandra-Herrera@homedepot.com.mx</t>
  </si>
  <si>
    <t xml:space="preserve">8952020021241726450 </t>
  </si>
  <si>
    <t>BALLESTEROS</t>
  </si>
  <si>
    <t>HR SSC, INTERNAL COMMUNICATION, TALENT &amp; OE DIRECTOR</t>
  </si>
  <si>
    <t>HUMAN RESOURCES</t>
  </si>
  <si>
    <t>alejandra_morales@homedepot.com.mx</t>
  </si>
  <si>
    <t xml:space="preserve">8952020020340516432 </t>
  </si>
  <si>
    <t>351307358285066</t>
  </si>
  <si>
    <t>DISTRICT HR MANAGER</t>
  </si>
  <si>
    <t>alejandra_villanueva@homedepot.com.mx</t>
  </si>
  <si>
    <t xml:space="preserve">8952020520522107736 </t>
  </si>
  <si>
    <t>ALEJANDRO GUADALUPE</t>
  </si>
  <si>
    <t>ABUNDIS</t>
  </si>
  <si>
    <t>SR VENDOR COMPLIANCE</t>
  </si>
  <si>
    <t>alejandro_abundis@homedepot.com.mx</t>
  </si>
  <si>
    <t xml:space="preserve">8952020924240664889 </t>
  </si>
  <si>
    <t>ALANIS</t>
  </si>
  <si>
    <t>BARBOSA</t>
  </si>
  <si>
    <t>FIXTURES PROCUREMENT BUYER</t>
  </si>
  <si>
    <t>alejandro_alanis@homedepot.com.mx</t>
  </si>
  <si>
    <t>Alejandro-Alanis@homedepot.com.mx</t>
  </si>
  <si>
    <t xml:space="preserve">8952020021241727805 </t>
  </si>
  <si>
    <t>ERHARD</t>
  </si>
  <si>
    <t>alejandro_erhad@homedepot.com.mx</t>
  </si>
  <si>
    <t xml:space="preserve">8952020021444325019 </t>
  </si>
  <si>
    <t>860900062264122</t>
  </si>
  <si>
    <t>JAVIER ALEJANDRO</t>
  </si>
  <si>
    <t>DEYTA</t>
  </si>
  <si>
    <t>SALES AUDIT DEPARTMENT HEAD</t>
  </si>
  <si>
    <t>ALEJANDRO_GUEVARA@HOMEDEPOT.COM.MX</t>
  </si>
  <si>
    <t xml:space="preserve">8952020021444325183 </t>
  </si>
  <si>
    <t>860900062257837</t>
  </si>
  <si>
    <t>alejandro_hernandez@homedepot.com.mx</t>
  </si>
  <si>
    <t xml:space="preserve">8952020622442626769 </t>
  </si>
  <si>
    <t>860900062264551</t>
  </si>
  <si>
    <t>CORTAZAR</t>
  </si>
  <si>
    <t>REAL ESTATE SR MANAGER</t>
  </si>
  <si>
    <t>REAL ESTATE</t>
  </si>
  <si>
    <t>alejandro_marquez@homedepot.com.mx</t>
  </si>
  <si>
    <t xml:space="preserve">8952020020340516358 </t>
  </si>
  <si>
    <t>358366320436366</t>
  </si>
  <si>
    <t>8860-ProRep3@homedepot.com.mx</t>
  </si>
  <si>
    <t xml:space="preserve">8952020520498312831 </t>
  </si>
  <si>
    <t>860478062409047</t>
  </si>
  <si>
    <t>FRAGOSO</t>
  </si>
  <si>
    <t>PRO SALES REGIONAL SR MANAGER</t>
  </si>
  <si>
    <t>alejandro_torres@homedepot.com.mx</t>
  </si>
  <si>
    <t>Alejandro-Torres@homedepot.com.mx</t>
  </si>
  <si>
    <t xml:space="preserve">8952020521270815710 </t>
  </si>
  <si>
    <t>SUPPLY CHAIN OPERATIONS SR DIRECTOR</t>
  </si>
  <si>
    <t>alejandro_valdez@homedepot.com.mx</t>
  </si>
  <si>
    <t>Alejandro-Valdez@homedepot.com.mx</t>
  </si>
  <si>
    <t xml:space="preserve">8952020221440701979 </t>
  </si>
  <si>
    <t>iPhone 13 (256 GB Midnight)</t>
  </si>
  <si>
    <t>WISE</t>
  </si>
  <si>
    <t>GARCIA CORRAL</t>
  </si>
  <si>
    <t>Alejandro_Wise@homedepot.com.mx</t>
  </si>
  <si>
    <t xml:space="preserve">8952020221641341161 </t>
  </si>
  <si>
    <t>ROSA ALEXA</t>
  </si>
  <si>
    <t>GLOBAL SOURCING DH</t>
  </si>
  <si>
    <t>GLOBAL SOURCING</t>
  </si>
  <si>
    <t>ALEXA_SANTIAGO@HOMEDEPOT.COM.MX</t>
  </si>
  <si>
    <t>alexa.santiago@homedepot.com.mx</t>
  </si>
  <si>
    <t xml:space="preserve">8952020021444325191 </t>
  </si>
  <si>
    <t>860900062264056</t>
  </si>
  <si>
    <t>ALEXIS IVAN</t>
  </si>
  <si>
    <t>DISTRICT SPECIAL SERVICES &amp; INSTITUTIONAL SALES COORDINATOR</t>
  </si>
  <si>
    <t>alexis_cardenas@homedepot.com.mx</t>
  </si>
  <si>
    <t>260463@homedepot.com.mx</t>
  </si>
  <si>
    <t xml:space="preserve">8952020021425187123 </t>
  </si>
  <si>
    <t>ACEBO</t>
  </si>
  <si>
    <t>alfonso_acebo@homedepot.com.mx</t>
  </si>
  <si>
    <t>Alfonso-Acebo@homedepot.com.mx</t>
  </si>
  <si>
    <t xml:space="preserve">8952020520640045909 </t>
  </si>
  <si>
    <t>860900062338363</t>
  </si>
  <si>
    <t>GLOBAL SOURCING SR DIRECTOR</t>
  </si>
  <si>
    <t>alfonso_jimenez@homedepot.com.mx</t>
  </si>
  <si>
    <t>Alfonso-Jimenez@homedepot.com.mx</t>
  </si>
  <si>
    <t xml:space="preserve">8952020021241726849 </t>
  </si>
  <si>
    <t>iPhone 14 (256 GB Midnight)</t>
  </si>
  <si>
    <t xml:space="preserve">PEMPRESA 6D 12VTR   </t>
  </si>
  <si>
    <t>alejandro_mora@homedepot.com.mx</t>
  </si>
  <si>
    <t>Alejandro-Mora@homedepot.com.mx</t>
  </si>
  <si>
    <t>APERTURA</t>
  </si>
  <si>
    <t xml:space="preserve">8952020521270815728 </t>
  </si>
  <si>
    <t>ALICIA CAROLINA</t>
  </si>
  <si>
    <t>CASTAÑON</t>
  </si>
  <si>
    <t>PRO SALES ADMINISTRATIVE ASSISTANT</t>
  </si>
  <si>
    <t>ALICIA_CASTANON@HOMEDEPOT.COM.MX</t>
  </si>
  <si>
    <t xml:space="preserve">8952020021241726716 </t>
  </si>
  <si>
    <t>ALMA ROSA</t>
  </si>
  <si>
    <t>ZARAGOZA</t>
  </si>
  <si>
    <t>MET OPERATIONS MANAGER</t>
  </si>
  <si>
    <t>alma_zaragoza@homedepot.com.mx</t>
  </si>
  <si>
    <t>160132@homedepot.com.mx</t>
  </si>
  <si>
    <t xml:space="preserve">8952020021391851223 </t>
  </si>
  <si>
    <t>AMAIRANI</t>
  </si>
  <si>
    <t>AMAIRANI_MARIN@HOMEDEPOT.COM.MX</t>
  </si>
  <si>
    <t xml:space="preserve">8952020920180889593 </t>
  </si>
  <si>
    <t>860900062336102</t>
  </si>
  <si>
    <t>AMALIA GUADALUPE</t>
  </si>
  <si>
    <t>amalia_alcala@homedepot.com.mx</t>
  </si>
  <si>
    <t>Amalia-Alcala@homedepot.com.mx</t>
  </si>
  <si>
    <t xml:space="preserve">8952020920410337793 </t>
  </si>
  <si>
    <t>LAST MILE CUSTOMER EXPERIENCE DEPARTMENT HEAD</t>
  </si>
  <si>
    <t>ana_caballero@homedepot.com.mx</t>
  </si>
  <si>
    <t>Ana-Caballero@homedepot.com.mx</t>
  </si>
  <si>
    <t xml:space="preserve">8952020021241727953 </t>
  </si>
  <si>
    <t>ANA LIZA</t>
  </si>
  <si>
    <t>MERCHANDISING PROJECT ADMIN DH</t>
  </si>
  <si>
    <t>ana_espinosa@homedepot.com.mx</t>
  </si>
  <si>
    <t>Ana-Espinosa@homedepot.com.mx</t>
  </si>
  <si>
    <t xml:space="preserve">8952020020340517927 </t>
  </si>
  <si>
    <t>860900062338330</t>
  </si>
  <si>
    <t>KARAM</t>
  </si>
  <si>
    <t>ana_fernandez@homedepot.com.mx</t>
  </si>
  <si>
    <t>Ana-Fernandez@homedepot.com.mx</t>
  </si>
  <si>
    <t xml:space="preserve">8952020021595921962 </t>
  </si>
  <si>
    <t>ANA LUISA</t>
  </si>
  <si>
    <t>DISTRICT ASSISTANT</t>
  </si>
  <si>
    <t>ana_garza@homedepot.com.mx</t>
  </si>
  <si>
    <t>Ana-Garza@homedepot.com.mx</t>
  </si>
  <si>
    <t xml:space="preserve">8952020020340517968 </t>
  </si>
  <si>
    <t>860900062334388</t>
  </si>
  <si>
    <t>ANA VICTORIA</t>
  </si>
  <si>
    <t>GHIO</t>
  </si>
  <si>
    <t>SEGOVIANO</t>
  </si>
  <si>
    <t>LAWYER</t>
  </si>
  <si>
    <t>ana_ghio@homedepot.com.mx</t>
  </si>
  <si>
    <t xml:space="preserve">8952020021241726286 </t>
  </si>
  <si>
    <t>ANA SOFIA</t>
  </si>
  <si>
    <t>GLOBAL SOURCING DEPARTMENT HEAD</t>
  </si>
  <si>
    <t>ana_gonzalez@homedepot.com.mx</t>
  </si>
  <si>
    <t xml:space="preserve">8952020022340550783 </t>
  </si>
  <si>
    <t>andrea_cardenas@homedepot.com.mx</t>
  </si>
  <si>
    <t xml:space="preserve">8952020021241726757 </t>
  </si>
  <si>
    <t>860900062255344</t>
  </si>
  <si>
    <t>ANDREA CECILIA</t>
  </si>
  <si>
    <t>LEGAL MANAGER</t>
  </si>
  <si>
    <t>andrea_garcia@homedepot.com.mx</t>
  </si>
  <si>
    <t>1048080@homedepot.com.mx</t>
  </si>
  <si>
    <t xml:space="preserve">8952020221440704122 </t>
  </si>
  <si>
    <t>MEDRANO</t>
  </si>
  <si>
    <t>andrea_medrano@homedepot.com.mx</t>
  </si>
  <si>
    <t>1039491@homedepot.com.mx</t>
  </si>
  <si>
    <t xml:space="preserve">8952020518141772609 </t>
  </si>
  <si>
    <t>860900062337761</t>
  </si>
  <si>
    <t>SR BI ANALYTICS ENGINEER</t>
  </si>
  <si>
    <t>andrea_ramirez@homedepot.com.mx</t>
  </si>
  <si>
    <t xml:space="preserve">8952020024446998916 </t>
  </si>
  <si>
    <t>2025-10-08</t>
  </si>
  <si>
    <t>2026-10-08</t>
  </si>
  <si>
    <t>ARANTZA</t>
  </si>
  <si>
    <t>YAÑEZ</t>
  </si>
  <si>
    <t>EXTENDED BAY &amp; SPECIAL ORDERS DELIVERY SPECIALIST</t>
  </si>
  <si>
    <t>Andrea_ramirez@homedepot.com.mx</t>
  </si>
  <si>
    <t xml:space="preserve">8952020021440171920 </t>
  </si>
  <si>
    <t>860900062338231</t>
  </si>
  <si>
    <t>ANDRES IGNACIO</t>
  </si>
  <si>
    <t>LARRAZABAL</t>
  </si>
  <si>
    <t>REPLENISHMENT DIRECTOR</t>
  </si>
  <si>
    <t>andres_larrazabal@homedepot.com.mx</t>
  </si>
  <si>
    <t xml:space="preserve">8952020020340516481 </t>
  </si>
  <si>
    <t>358366320272373</t>
  </si>
  <si>
    <t>JESUS ANDRES</t>
  </si>
  <si>
    <t>andres_villarreal@homedepot.com.mx</t>
  </si>
  <si>
    <t xml:space="preserve">8952020523140390163 </t>
  </si>
  <si>
    <t>ANEL</t>
  </si>
  <si>
    <t>anel_flores@homedepot.com.mx</t>
  </si>
  <si>
    <t>360371@homedepot.com.mx</t>
  </si>
  <si>
    <t xml:space="preserve">8952020520652193886 </t>
  </si>
  <si>
    <t>ANGEL ISRAEL</t>
  </si>
  <si>
    <t>SYSTEMS ENGINEER LEADER</t>
  </si>
  <si>
    <t>angel_aguilar@homedepot.com.mx</t>
  </si>
  <si>
    <t>Angel-Aguilar@homedepot.com.mx</t>
  </si>
  <si>
    <t xml:space="preserve">8952020221641341195 </t>
  </si>
  <si>
    <t xml:space="preserve">TI </t>
  </si>
  <si>
    <t>ANGEL EMMANUEL</t>
  </si>
  <si>
    <t>SOFTWARE ENGINEER</t>
  </si>
  <si>
    <t>angel_reyes@homedepot.com.mx</t>
  </si>
  <si>
    <t xml:space="preserve">8952020221440704130 </t>
  </si>
  <si>
    <t>ANGELA PATRICIA</t>
  </si>
  <si>
    <t>angela_medellin@homedepot.com.mx</t>
  </si>
  <si>
    <t xml:space="preserve">8952020920540492377 </t>
  </si>
  <si>
    <t>ANGELA ALEJANDRA</t>
  </si>
  <si>
    <t>GLOBAL SOURCING ONBOARDING SPECIALIST</t>
  </si>
  <si>
    <t>angela_vega@homedepot.com.mx</t>
  </si>
  <si>
    <t xml:space="preserve">8952020020340516291 </t>
  </si>
  <si>
    <t>860900062335716</t>
  </si>
  <si>
    <t>ANGELICA</t>
  </si>
  <si>
    <t>LSC DISTRICT HR MANAGER</t>
  </si>
  <si>
    <t>angelica_velazquez@homedepot.com.mx</t>
  </si>
  <si>
    <t>1018506@homedepot.com.mx</t>
  </si>
  <si>
    <t xml:space="preserve">8952020021444325092 </t>
  </si>
  <si>
    <t>860900062264304</t>
  </si>
  <si>
    <t>ANTONIA</t>
  </si>
  <si>
    <t>PORTILLO</t>
  </si>
  <si>
    <t>PUGA</t>
  </si>
  <si>
    <t>antonia_portillo@homedepot.com.mx</t>
  </si>
  <si>
    <t>Antonia-Portillo@homedepot.com.mx</t>
  </si>
  <si>
    <t xml:space="preserve">8952020319630257883 </t>
  </si>
  <si>
    <t>860900062335724</t>
  </si>
  <si>
    <t>antonio_flores@homedepot.com.mx</t>
  </si>
  <si>
    <t>395093@homedepot.com.mx</t>
  </si>
  <si>
    <t xml:space="preserve">8952020521270815926 </t>
  </si>
  <si>
    <t>LOGISTICS SYSTEMS MANAGER</t>
  </si>
  <si>
    <t>antonio_garcia@homedepot.com.mx</t>
  </si>
  <si>
    <t>6147@homedepot.com.mx</t>
  </si>
  <si>
    <t xml:space="preserve">8952020021241726013 </t>
  </si>
  <si>
    <t>ANTONIO ISRAEL</t>
  </si>
  <si>
    <t>DISTRICT ASSET PROTECTION MANAGER</t>
  </si>
  <si>
    <t>antonio_gomez@homedepot.com.mx</t>
  </si>
  <si>
    <t>Antonio-Gomez@homedepot.com.mx</t>
  </si>
  <si>
    <t xml:space="preserve">8952020021241727235 </t>
  </si>
  <si>
    <t>LOPEZ DE LA PARRA</t>
  </si>
  <si>
    <t>MAINTENANCE SR MANAGER</t>
  </si>
  <si>
    <t>antonio_lopez@homedepot.com.mx</t>
  </si>
  <si>
    <t xml:space="preserve">8952020024140190935 </t>
  </si>
  <si>
    <t>358366320730701</t>
  </si>
  <si>
    <t>MARIO ANTONIO</t>
  </si>
  <si>
    <t>antonio_martinez@homedepot.com.mx</t>
  </si>
  <si>
    <t xml:space="preserve">8952020920661711670 </t>
  </si>
  <si>
    <t>CAAMAÑO</t>
  </si>
  <si>
    <t>IT PROCUREMENT MANAGER</t>
  </si>
  <si>
    <t>Antonio_reyna@homedepot.com.mx</t>
  </si>
  <si>
    <t xml:space="preserve">8952020921544128132 </t>
  </si>
  <si>
    <t>ISAIAS</t>
  </si>
  <si>
    <t>Isaias_torres@homedepot.com.mx</t>
  </si>
  <si>
    <t>1044201@HOMEDEPOT.COM.MX</t>
  </si>
  <si>
    <t xml:space="preserve">8952020021241728340 </t>
  </si>
  <si>
    <t>860900062336938</t>
  </si>
  <si>
    <t>ARELI</t>
  </si>
  <si>
    <t>DISTRICT SPECIAL SERVICES MANAGER</t>
  </si>
  <si>
    <t>areli_gonzalez@homedepot.com.mx</t>
  </si>
  <si>
    <t xml:space="preserve">8952020021391851231 </t>
  </si>
  <si>
    <t>REPLENISHMENT SPECIALIST</t>
  </si>
  <si>
    <t>fernanda_sanchez@homedepot.com.mx</t>
  </si>
  <si>
    <t xml:space="preserve">8952020021440171912 </t>
  </si>
  <si>
    <t>860900062337803</t>
  </si>
  <si>
    <t>ARMANDO GERARDO</t>
  </si>
  <si>
    <t>SOUTH DELIVERY LEADER</t>
  </si>
  <si>
    <t>armando_campos@homedepot.com.mx</t>
  </si>
  <si>
    <t>995358@homedepot.com.mx</t>
  </si>
  <si>
    <t xml:space="preserve">8952020520568819947 </t>
  </si>
  <si>
    <t>860900062337605</t>
  </si>
  <si>
    <t>alfredo martinez</t>
  </si>
  <si>
    <t>999577@homedepot.com.mx</t>
  </si>
  <si>
    <t xml:space="preserve">8952020520640045875 </t>
  </si>
  <si>
    <t>860900062238571</t>
  </si>
  <si>
    <t>ARTURO ALEJANDRO</t>
  </si>
  <si>
    <t>FINANCE INTEGRATION MANAGER</t>
  </si>
  <si>
    <t>arturo_munoz@homedepot.com.mx</t>
  </si>
  <si>
    <t>Arturo-Munoz@homedepot.com.mx</t>
  </si>
  <si>
    <t xml:space="preserve">8952020021241727870 </t>
  </si>
  <si>
    <t>Bam Equipo Finanzas Erika Azua</t>
  </si>
  <si>
    <t>erika_azua@homedepot.com.mx</t>
  </si>
  <si>
    <t xml:space="preserve">8952020018340009176 </t>
  </si>
  <si>
    <t>BAM</t>
  </si>
  <si>
    <t>INTPLUSEMPRESA 4 C12</t>
  </si>
  <si>
    <t>Bam Equipo Erika AZUA</t>
  </si>
  <si>
    <t>AURELIO</t>
  </si>
  <si>
    <t>PRO SALES CRM SPECIALIST</t>
  </si>
  <si>
    <t>aurelio_medina@homedepot.com.mx</t>
  </si>
  <si>
    <t xml:space="preserve">8952020921544130179 </t>
  </si>
  <si>
    <t>860478063793027</t>
  </si>
  <si>
    <t>JOSE AURELIO</t>
  </si>
  <si>
    <t>LSC OPERATIONS MANAGER</t>
  </si>
  <si>
    <t>aurelio_ruiz@homedepot.com.mx</t>
  </si>
  <si>
    <t xml:space="preserve">8952020020340516382 </t>
  </si>
  <si>
    <t>351307356097471</t>
  </si>
  <si>
    <t>arturo_casas@homedepot.com.mx</t>
  </si>
  <si>
    <t>Arturo-Casas@homedepot.com.mx</t>
  </si>
  <si>
    <t xml:space="preserve">8952020020340515913 </t>
  </si>
  <si>
    <t>860900062255328</t>
  </si>
  <si>
    <t>BARBARA</t>
  </si>
  <si>
    <t>barbara_cruz@homedepot.com.mx</t>
  </si>
  <si>
    <t xml:space="preserve">8952020622441603660 </t>
  </si>
  <si>
    <t>PENDIENTE</t>
  </si>
  <si>
    <t>BEATRIZ ALICIA</t>
  </si>
  <si>
    <t>TRANSPORTATION PROJECTS COORDINATOR</t>
  </si>
  <si>
    <t>beatriz_valdez@homedepot.com.mx</t>
  </si>
  <si>
    <t>1035232@homedepot.com.mx</t>
  </si>
  <si>
    <t xml:space="preserve">8952020520640060940 </t>
  </si>
  <si>
    <t>BELINDA MONSERRAT</t>
  </si>
  <si>
    <t>CONSTRUCTION ADMINISTRATOR</t>
  </si>
  <si>
    <t>CONSTRUCTION</t>
  </si>
  <si>
    <t>Belinda_contreras@homedepot.com.mx</t>
  </si>
  <si>
    <t xml:space="preserve">8952020021444325175 </t>
  </si>
  <si>
    <t>860900062257746</t>
  </si>
  <si>
    <t xml:space="preserve">CAMBIO DE PUESTO </t>
  </si>
  <si>
    <t>NO RENOVAR 2024</t>
  </si>
  <si>
    <t>BEATRIZ MARCELA</t>
  </si>
  <si>
    <t>TUBASI</t>
  </si>
  <si>
    <t>SR ADMINISTRATIVE ASSISTANT</t>
  </si>
  <si>
    <t>PRESIDENT</t>
  </si>
  <si>
    <t>betty_tubasi@homedepot.com.mx</t>
  </si>
  <si>
    <t>Betty-Tubasi@homedepot.com.mx</t>
  </si>
  <si>
    <t xml:space="preserve">8952020021241727821 </t>
  </si>
  <si>
    <t xml:space="preserve">8952020025344119588 </t>
  </si>
  <si>
    <t>351307358000648</t>
  </si>
  <si>
    <t xml:space="preserve">T CORPO CVPN 3 L    </t>
  </si>
  <si>
    <t>BRENDA SAMANTHA</t>
  </si>
  <si>
    <t>REGULATORY COMPLIANCE MANAGER</t>
  </si>
  <si>
    <t>brenda_montes@homedepot.com.mx</t>
  </si>
  <si>
    <t>1025355@homedepot.com.mx</t>
  </si>
  <si>
    <t xml:space="preserve">8952020019348092891 </t>
  </si>
  <si>
    <t>358366320542098</t>
  </si>
  <si>
    <t>YOLANDA AIDEE</t>
  </si>
  <si>
    <t>CALL CENTER SPECIAL SERVICES SPECIALIST</t>
  </si>
  <si>
    <t>callcenter_instalaciones@homedepot.com.mx</t>
  </si>
  <si>
    <t xml:space="preserve">8952020024446998932 </t>
  </si>
  <si>
    <t>CAMILA</t>
  </si>
  <si>
    <t>GLOBAL SOURCING MANAGER</t>
  </si>
  <si>
    <t>camila_garza@homedepot.com.mx</t>
  </si>
  <si>
    <t>1020781@homedepot.com.mx</t>
  </si>
  <si>
    <t xml:space="preserve">8952020020340516564 </t>
  </si>
  <si>
    <t>SR IT PROCUREMENT BUYER</t>
  </si>
  <si>
    <t>carlos_gomez@homedepot.com.mx</t>
  </si>
  <si>
    <t xml:space="preserve">8952020021241727839 </t>
  </si>
  <si>
    <t>CARLOS ALBERTO MARTIN</t>
  </si>
  <si>
    <t>CIENFUEGOS</t>
  </si>
  <si>
    <t>carlos_gonzalez@homedepot.com.mx</t>
  </si>
  <si>
    <t>Carlos-Gonzalez@homedepot.com.mx</t>
  </si>
  <si>
    <t xml:space="preserve">8952020021241727268 </t>
  </si>
  <si>
    <t>CARLOS ENRIQUE</t>
  </si>
  <si>
    <t>INVENTORY PLANNING MANAGER</t>
  </si>
  <si>
    <t>carlos_martinez@homedepot.com.mx</t>
  </si>
  <si>
    <t xml:space="preserve">8952020523342145076 </t>
  </si>
  <si>
    <t>860900062732383</t>
  </si>
  <si>
    <t>MUÑIZ</t>
  </si>
  <si>
    <t>COMPENSATION DEPARTMENT HEAD</t>
  </si>
  <si>
    <t>CARLOS_MUNIZ@HOMEDEPOT.COM.MX</t>
  </si>
  <si>
    <t xml:space="preserve">8952020221442204444 </t>
  </si>
  <si>
    <t>TELLEZ</t>
  </si>
  <si>
    <t>PARCEL &amp; EXTENDED BAY OPERATIONS MANAGER</t>
  </si>
  <si>
    <t>carlos_novelo@homedepot.com.mx</t>
  </si>
  <si>
    <t>Carlos-Novelo@homedepot.com.mx</t>
  </si>
  <si>
    <t xml:space="preserve">8952020520640060916 </t>
  </si>
  <si>
    <t>iPhone 12</t>
  </si>
  <si>
    <t>carlos_perez@homedepot.com.mx</t>
  </si>
  <si>
    <t xml:space="preserve">8952020021241726484 </t>
  </si>
  <si>
    <t>18848031</t>
  </si>
  <si>
    <t>CARLOS ALFREDO</t>
  </si>
  <si>
    <t>SEIJAS</t>
  </si>
  <si>
    <t>carlos_seijas@homedepot.com.mx</t>
  </si>
  <si>
    <t xml:space="preserve">8952020523342145209 </t>
  </si>
  <si>
    <t>CARLOS FEDERICO</t>
  </si>
  <si>
    <t>SOFTWARE ENGINEER MANAGER</t>
  </si>
  <si>
    <t>carlos_villarreal@homedepot.com.mx</t>
  </si>
  <si>
    <t xml:space="preserve">8952020221440704148 </t>
  </si>
  <si>
    <t>CAROLINA DANAE</t>
  </si>
  <si>
    <t>SENA</t>
  </si>
  <si>
    <t>INTERCONNECTED SUPPORT SPECIALIST</t>
  </si>
  <si>
    <t>MARKETING</t>
  </si>
  <si>
    <t>carolina_sena@homedepot.com.mx</t>
  </si>
  <si>
    <t xml:space="preserve">8952020521240869391 </t>
  </si>
  <si>
    <t>CASTALIA MARBELLA</t>
  </si>
  <si>
    <t>FINANCE CONSTRUCTION ADMINISTRATOR</t>
  </si>
  <si>
    <t>castalia_gonzalez@homedepot.com.mx</t>
  </si>
  <si>
    <t xml:space="preserve">8952020021444325738 </t>
  </si>
  <si>
    <t>860900062338116</t>
  </si>
  <si>
    <t>arturo_rodriguez@homedepot.com.mx</t>
  </si>
  <si>
    <t>arturo-rodriguez@homedepot.com.mx</t>
  </si>
  <si>
    <t xml:space="preserve">8952020020340517810 </t>
  </si>
  <si>
    <t>860900062336029</t>
  </si>
  <si>
    <t>CEFERINO</t>
  </si>
  <si>
    <t>ESCUDERO</t>
  </si>
  <si>
    <t>ceferino_mendoza@homedepot.com.mx</t>
  </si>
  <si>
    <t xml:space="preserve">8952020021444325746 </t>
  </si>
  <si>
    <t>860900062338165</t>
  </si>
  <si>
    <t>CELIA</t>
  </si>
  <si>
    <t>ACUÑA</t>
  </si>
  <si>
    <t>celia_nunez@homedepot.com.mx</t>
  </si>
  <si>
    <t>Celia-Nunez@homedepot.com.mx</t>
  </si>
  <si>
    <t xml:space="preserve">8952020521270815736 </t>
  </si>
  <si>
    <t>35 765417 863094 6</t>
  </si>
  <si>
    <t>DULCE CORAZON</t>
  </si>
  <si>
    <t>CACHO</t>
  </si>
  <si>
    <t>centrodeinnovacion@homedepot.com.mx</t>
  </si>
  <si>
    <t xml:space="preserve">8952020221641341179 </t>
  </si>
  <si>
    <t>CESAR AVITH</t>
  </si>
  <si>
    <t>REZA</t>
  </si>
  <si>
    <t>cesar_bernal@homedepot.com.mx</t>
  </si>
  <si>
    <t>Cesar-Bernal@homedepot.com.mx</t>
  </si>
  <si>
    <t xml:space="preserve">8952020021391851199 </t>
  </si>
  <si>
    <t>Cecilia_salinas@homdepot.com</t>
  </si>
  <si>
    <t xml:space="preserve">8952020520640060981 </t>
  </si>
  <si>
    <t>cesar_ortiz@homedepot.com.mx</t>
  </si>
  <si>
    <t xml:space="preserve">8952020020340516754 </t>
  </si>
  <si>
    <t>860900062336086</t>
  </si>
  <si>
    <t>CESAR CHRISTIAN</t>
  </si>
  <si>
    <t>NETWORK MANAGER</t>
  </si>
  <si>
    <t>christian_davalos@homedepot.com.mx</t>
  </si>
  <si>
    <t>Christian-Davalos@homedepot.com.mx</t>
  </si>
  <si>
    <t xml:space="preserve">8952020021241726559 </t>
  </si>
  <si>
    <t>CHRISTOFER JAMES</t>
  </si>
  <si>
    <t>Christofer_cardenas@homedepot.com.mx</t>
  </si>
  <si>
    <t xml:space="preserve">8952020520640045891 </t>
  </si>
  <si>
    <t>CINTIA</t>
  </si>
  <si>
    <t>MANRIQUE</t>
  </si>
  <si>
    <t>PRODUCT MANAGEMENT INTERCONNECTED &amp; EXTENDED BAY DH</t>
  </si>
  <si>
    <t>Cintia-Montalvo@homedepot.com.mx</t>
  </si>
  <si>
    <t xml:space="preserve">8952020020340515863 </t>
  </si>
  <si>
    <t>860900062338371</t>
  </si>
  <si>
    <t>CITLALLITL IJNALOC</t>
  </si>
  <si>
    <t>REAL ESTATE DIRECTOR</t>
  </si>
  <si>
    <t>citlallitl_cabrera@homedepot.com.mx</t>
  </si>
  <si>
    <t>Citlallitl-Cabrera@homedepot.com.mx</t>
  </si>
  <si>
    <t xml:space="preserve">8952020924240664954 </t>
  </si>
  <si>
    <t>Equipo robado el día que se asigno, se le dio el mismo modelo verificar si renueva en 2025</t>
  </si>
  <si>
    <t>CLAUDIA LILIANA</t>
  </si>
  <si>
    <t>ALDACO</t>
  </si>
  <si>
    <t>ADMINISTRATIVE CREDITS COORDINATOR</t>
  </si>
  <si>
    <t>claudia_aldaco@homedepot.com.mx</t>
  </si>
  <si>
    <t>Claudia-Aldaco@homedepot.com.mx</t>
  </si>
  <si>
    <t xml:space="preserve">8952020518141773375 </t>
  </si>
  <si>
    <t>860900062337639</t>
  </si>
  <si>
    <t>CLAUDIA ELIZABETH</t>
  </si>
  <si>
    <t>claudia_cavazos@homedepot.com.mx</t>
  </si>
  <si>
    <t xml:space="preserve">8952020021241726369 </t>
  </si>
  <si>
    <t>CLAUDIA GUILLERMINA</t>
  </si>
  <si>
    <t>DE KOSTER</t>
  </si>
  <si>
    <t>IT SR DIRECTOR</t>
  </si>
  <si>
    <t>claudia_dekoster@homedepot.com.mx</t>
  </si>
  <si>
    <t>Claudia-DeKoster@homedepot.com.mx</t>
  </si>
  <si>
    <t xml:space="preserve">8952020021241726401 </t>
  </si>
  <si>
    <t>iPhone 13 (256 GB Pink)</t>
  </si>
  <si>
    <t>CLAUDIA YANETT</t>
  </si>
  <si>
    <t>BOCANEGRA</t>
  </si>
  <si>
    <t>IT PROCUREMENT LEADER</t>
  </si>
  <si>
    <t>Claudia_Guerra@homedepot.com.mx</t>
  </si>
  <si>
    <t xml:space="preserve">8952020924240664871 </t>
  </si>
  <si>
    <t>860900062335369</t>
  </si>
  <si>
    <t>CLAUDIA ALEJANDRA</t>
  </si>
  <si>
    <t>JARAMILLO</t>
  </si>
  <si>
    <t>DIRECT DELIVERY COORDINATOR</t>
  </si>
  <si>
    <t>claudia_perez@homedepot.com.mx</t>
  </si>
  <si>
    <t xml:space="preserve">8952020523342145134 </t>
  </si>
  <si>
    <t>CLAUDIO ANTONIO</t>
  </si>
  <si>
    <t>claudio-martinez@homedepot.com.mx</t>
  </si>
  <si>
    <t>claudio_martinez@homedepot.com.mx</t>
  </si>
  <si>
    <t xml:space="preserve">8952020521442962994 </t>
  </si>
  <si>
    <t>860900062735923</t>
  </si>
  <si>
    <t>CONSTANTINO</t>
  </si>
  <si>
    <t>IT INFRASTRUCTURE &amp; FACILITIES MANAGER</t>
  </si>
  <si>
    <t>constantino_maldonado@homedepot.com.mx</t>
  </si>
  <si>
    <t>1038788@homedepot.com.mx</t>
  </si>
  <si>
    <t xml:space="preserve">8952020520640045859 </t>
  </si>
  <si>
    <t>CYNTHIA GUADALUPE</t>
  </si>
  <si>
    <t>LEARNING DIRECTOR</t>
  </si>
  <si>
    <t>cynthia_elizondo@homedepot.com.mx</t>
  </si>
  <si>
    <t>Cynthia-Elizondo@homedepot.com.mx</t>
  </si>
  <si>
    <t xml:space="preserve">8952020021241726526 </t>
  </si>
  <si>
    <t>DAFNE</t>
  </si>
  <si>
    <t>BORTONI</t>
  </si>
  <si>
    <t>dafne_bortoni@homedepot.com.mx</t>
  </si>
  <si>
    <t xml:space="preserve"> dafne_bortoni@homedepot.com.mx</t>
  </si>
  <si>
    <t xml:space="preserve">8952020921544128173 </t>
  </si>
  <si>
    <t>860900062337902</t>
  </si>
  <si>
    <t>CHOFER SEGURIDAD CDMX</t>
  </si>
  <si>
    <t xml:space="preserve">8952020221641341120 </t>
  </si>
  <si>
    <t>CAMARAS CAMIONETA DE SEGURIDAD</t>
  </si>
  <si>
    <t>LOGISTICS CENTERS ASSET PROTECTION DEPARTMENT HEAD</t>
  </si>
  <si>
    <t>daniel_morales@homedepot.com.mx</t>
  </si>
  <si>
    <t>1035454@homedepot.com.mx</t>
  </si>
  <si>
    <t xml:space="preserve">8952020021241728324 </t>
  </si>
  <si>
    <t>DAVID II</t>
  </si>
  <si>
    <t>BRUNER</t>
  </si>
  <si>
    <t>david_bruner@homedepot.com.mx</t>
  </si>
  <si>
    <t xml:space="preserve">8952020020340515939 </t>
  </si>
  <si>
    <t>860900062327549</t>
  </si>
  <si>
    <t>DAVID ARMANDO</t>
  </si>
  <si>
    <t>IT OMNICHANNEL PORTFOLIO DIRECTOR</t>
  </si>
  <si>
    <t>david_cabrera@homedepot.com.mx</t>
  </si>
  <si>
    <t>1039826@homedepot.com.mx</t>
  </si>
  <si>
    <t xml:space="preserve">8952020520640045842 </t>
  </si>
  <si>
    <t>DAVID ALEXANDRO</t>
  </si>
  <si>
    <t>DE OCHOA</t>
  </si>
  <si>
    <t>SR SOFTWARE ENGINEER</t>
  </si>
  <si>
    <t>david_deochoa@homedepot.com.mx</t>
  </si>
  <si>
    <t>David-DeOchoa@homedepot.com.mx</t>
  </si>
  <si>
    <t xml:space="preserve">8952020021241727904 </t>
  </si>
  <si>
    <t>PRODUCT ENGINEER COORDINATOR</t>
  </si>
  <si>
    <t>david_garza@homedepot.com.mx</t>
  </si>
  <si>
    <t xml:space="preserve">8952020622441601011 </t>
  </si>
  <si>
    <t>David_puente@homedepot.com.mx</t>
  </si>
  <si>
    <t>1040307@homedepot.com.mx</t>
  </si>
  <si>
    <t xml:space="preserve">8952020019348093105 </t>
  </si>
  <si>
    <t>ARNULFO DAVID</t>
  </si>
  <si>
    <t>david_rodriguez@homedepot.com.mx</t>
  </si>
  <si>
    <t>David-Rodriguez@homedepot.com.mx</t>
  </si>
  <si>
    <t xml:space="preserve">8952020020340515897 </t>
  </si>
  <si>
    <t>860900062335708</t>
  </si>
  <si>
    <t>LEVY</t>
  </si>
  <si>
    <t>david_villarreal@homedepot.com.mx</t>
  </si>
  <si>
    <t>David-Villarreal@homedepot.com.mx</t>
  </si>
  <si>
    <t xml:space="preserve">8952020021241726096 </t>
  </si>
  <si>
    <t>DEMOSTENES DE JESUS</t>
  </si>
  <si>
    <t>demostenes_delgado@homedepot.com.mx</t>
  </si>
  <si>
    <t>Demostenes-Delgado@homedepot.com.mx</t>
  </si>
  <si>
    <t xml:space="preserve">8952020021241727086 </t>
  </si>
  <si>
    <t xml:space="preserve">PEMPRESA 5D 12VTR   </t>
  </si>
  <si>
    <t>DENISE DEVIN</t>
  </si>
  <si>
    <t>DENISE_RUIZ@HOMEDEPOT.COM.MX</t>
  </si>
  <si>
    <t xml:space="preserve">8952020023195128311 </t>
  </si>
  <si>
    <t>860900062337738</t>
  </si>
  <si>
    <t>DENISSE MERAB</t>
  </si>
  <si>
    <t>COMPENSATION MANAGER</t>
  </si>
  <si>
    <t>denisse_martinez@homedepot.com.mx</t>
  </si>
  <si>
    <t>1040311@homedepot.com.mx</t>
  </si>
  <si>
    <t xml:space="preserve">8952020520640060924 </t>
  </si>
  <si>
    <t>358366320605051</t>
  </si>
  <si>
    <t>DIANA MARCELA</t>
  </si>
  <si>
    <t>REPLENISHMENT MANAGER</t>
  </si>
  <si>
    <t>diana_solis@homedepot.com.mx</t>
  </si>
  <si>
    <t>1014613@homedepot.com.mx</t>
  </si>
  <si>
    <t xml:space="preserve">8952020020340516457 </t>
  </si>
  <si>
    <t>358366320316493</t>
  </si>
  <si>
    <t xml:space="preserve">NO PASO POR SU IPHONE 14 EN LA RENO </t>
  </si>
  <si>
    <t>DIEGO</t>
  </si>
  <si>
    <t>diego_espinosa@homedepot.com.mx</t>
  </si>
  <si>
    <t>1040412@homedepot.com.mx</t>
  </si>
  <si>
    <t xml:space="preserve">8952020521190276811 </t>
  </si>
  <si>
    <t>358366320270575</t>
  </si>
  <si>
    <t>DORIS LUCERO</t>
  </si>
  <si>
    <t>LOGISTIC CENTERS DISTRICT HR MANAGER</t>
  </si>
  <si>
    <t>doris_hernandez@homedepot.com.mx</t>
  </si>
  <si>
    <t>1039053@homedepot.com.mx</t>
  </si>
  <si>
    <t xml:space="preserve">8952020921246258971 </t>
  </si>
  <si>
    <t>358366320308284</t>
  </si>
  <si>
    <t>DULCE MARIA</t>
  </si>
  <si>
    <t>dulce_gonzalez@homedepot.com.mx</t>
  </si>
  <si>
    <t>Dulce-Gonzalez@homedepot.com.mx</t>
  </si>
  <si>
    <t xml:space="preserve">8952020020340515616 </t>
  </si>
  <si>
    <t>860900062255351</t>
  </si>
  <si>
    <t>EDER ERNESTO</t>
  </si>
  <si>
    <t>ONTIVEROS</t>
  </si>
  <si>
    <t>SECURITY ENGINEER LEADER</t>
  </si>
  <si>
    <t>eder_ibarra@homedepot.com.mx</t>
  </si>
  <si>
    <t>1016038@homedepot.com.mx</t>
  </si>
  <si>
    <t xml:space="preserve">8952020021241482708 </t>
  </si>
  <si>
    <t>edgar_angeles@homedepot.com.mx</t>
  </si>
  <si>
    <t>Edgar-Angeles@homedepot.com.mx</t>
  </si>
  <si>
    <t xml:space="preserve">8952020021391851108 </t>
  </si>
  <si>
    <t>EDGAR MOISES</t>
  </si>
  <si>
    <t>OVALLE</t>
  </si>
  <si>
    <t>PAYMENTS DH</t>
  </si>
  <si>
    <t>EDGAR_PESINA@HOMEDEPOT.COM.MX</t>
  </si>
  <si>
    <t xml:space="preserve">8952020021444325167 </t>
  </si>
  <si>
    <t>860900062257704</t>
  </si>
  <si>
    <t>BLANCA EDITH</t>
  </si>
  <si>
    <t>edith_martinez@homedepot.com.mx</t>
  </si>
  <si>
    <t>Edith-Martinez@homedepot.com.mx</t>
  </si>
  <si>
    <t xml:space="preserve">8952020520498312161 </t>
  </si>
  <si>
    <t>860900062323068</t>
  </si>
  <si>
    <t>EDITH XITLALIC</t>
  </si>
  <si>
    <t>edith_medina@homedepot.com.mx</t>
  </si>
  <si>
    <t xml:space="preserve">8952020020340516366 </t>
  </si>
  <si>
    <t>358366320586194</t>
  </si>
  <si>
    <t xml:space="preserve">Cambiar de plan en renovacion </t>
  </si>
  <si>
    <t>daniel_cerda@homedepot.com.mx</t>
  </si>
  <si>
    <t xml:space="preserve">8952020020340517125 </t>
  </si>
  <si>
    <t>359928213934606</t>
  </si>
  <si>
    <t>LEGAL OPERATIONS MANAGER</t>
  </si>
  <si>
    <t>eduardo_blanco@homedepot.com.mx</t>
  </si>
  <si>
    <t>Eduardo-Blanco@homedepot.com.mx</t>
  </si>
  <si>
    <t xml:space="preserve">8952020921544151423 </t>
  </si>
  <si>
    <t>860900062742416</t>
  </si>
  <si>
    <t>VALENTI</t>
  </si>
  <si>
    <t>HUMAN RESOURCES VP</t>
  </si>
  <si>
    <t>eduardo_valenti@homedepot.com.mx</t>
  </si>
  <si>
    <t>Eduardo-Valenti@homedepot.com.mx</t>
  </si>
  <si>
    <t xml:space="preserve">8952020021241726419 </t>
  </si>
  <si>
    <t>354784322440018</t>
  </si>
  <si>
    <t>iPhone 15 Pro Max (256 GB Black Titanium)</t>
  </si>
  <si>
    <t xml:space="preserve">CAMBIAR EQUIPO 256 GB </t>
  </si>
  <si>
    <t>EFRAIN ALEJANDRO</t>
  </si>
  <si>
    <t>efrain_gonzalez@homedepot.com.mx</t>
  </si>
  <si>
    <t>1019360@homedepot.com.mx</t>
  </si>
  <si>
    <t xml:space="preserve">8952020921544151449 </t>
  </si>
  <si>
    <t>MARES</t>
  </si>
  <si>
    <t>efrain_mares@homedepot.com.mx</t>
  </si>
  <si>
    <t xml:space="preserve">8952020021670758966 </t>
  </si>
  <si>
    <t>860900062337712</t>
  </si>
  <si>
    <t>ELI DAVID</t>
  </si>
  <si>
    <t>SANTOYO</t>
  </si>
  <si>
    <t>eli_santoyo@homedepot.com.mx</t>
  </si>
  <si>
    <t xml:space="preserve">8952020022340550106 </t>
  </si>
  <si>
    <t>860900062264411</t>
  </si>
  <si>
    <t>LABOR MANAGER</t>
  </si>
  <si>
    <t>elias_armenta@homedepot.com.mx</t>
  </si>
  <si>
    <t>Elias-Armenta@homedepot.com.mx</t>
  </si>
  <si>
    <t xml:space="preserve">8952020021148630151 </t>
  </si>
  <si>
    <t>358366320833240</t>
  </si>
  <si>
    <t>ELIER ALAN</t>
  </si>
  <si>
    <t>elier_delgado@homedepot.com.mx</t>
  </si>
  <si>
    <t>Elier-Delgado@homedepot.com.mx</t>
  </si>
  <si>
    <t xml:space="preserve">8952020021241727128 </t>
  </si>
  <si>
    <t>ELISEO III</t>
  </si>
  <si>
    <t>COMPENSATION, PAYROLL AND BENEFITS DIRECTOR</t>
  </si>
  <si>
    <t>eliseo_martinez@homedepot.com.mx</t>
  </si>
  <si>
    <t xml:space="preserve">8952020020340516440 </t>
  </si>
  <si>
    <t>351307357410780</t>
  </si>
  <si>
    <t>ELPIDIO</t>
  </si>
  <si>
    <t>elpidio_lozano@homedepot.com.mx</t>
  </si>
  <si>
    <t>Elpidio-Lozano@homedepot.com.mx</t>
  </si>
  <si>
    <t xml:space="preserve">8952020021241727276 </t>
  </si>
  <si>
    <t>ELSA MARIA</t>
  </si>
  <si>
    <t>CURIEL</t>
  </si>
  <si>
    <t>elsa_curiel@homedepot.com.mx</t>
  </si>
  <si>
    <t>Elsa-Curiel@homedepot.com.mx</t>
  </si>
  <si>
    <t xml:space="preserve">8952020520498312344 </t>
  </si>
  <si>
    <t>860900062335567</t>
  </si>
  <si>
    <t>ELSA MIREYA</t>
  </si>
  <si>
    <t>elsa_saldana@homedepot.com.mx</t>
  </si>
  <si>
    <t>Elsa-Saldana@homedepot.com.mx</t>
  </si>
  <si>
    <t xml:space="preserve">8952020020340515327 </t>
  </si>
  <si>
    <t>860900062336284</t>
  </si>
  <si>
    <t>EMETERIO</t>
  </si>
  <si>
    <t>IT GOVERNANCE, ITSM &amp; BRM SR MANAGER</t>
  </si>
  <si>
    <t>emeterio_delarosa@homedepot.com.mx</t>
  </si>
  <si>
    <t>6995@homedepot.com.mx</t>
  </si>
  <si>
    <t xml:space="preserve">8952020021241728001 </t>
  </si>
  <si>
    <t>EMILIO IVAN</t>
  </si>
  <si>
    <t>INVENTORY PLANNING DEPARTMENT HEAD</t>
  </si>
  <si>
    <t>emilio_Herrera@homedepot.com.mx</t>
  </si>
  <si>
    <t>1041291@homedepot.com.mx</t>
  </si>
  <si>
    <t xml:space="preserve">8952020521240869326 </t>
  </si>
  <si>
    <t>CORPORATE SECURITY SPECIALIST</t>
  </si>
  <si>
    <t xml:space="preserve">EQUIPO NO ENROLADO </t>
  </si>
  <si>
    <t xml:space="preserve">8952020021241727771 </t>
  </si>
  <si>
    <t xml:space="preserve">EQUIPO USADO POR EXTERNO NO USA EQUIPO CELULAR </t>
  </si>
  <si>
    <t>ERIC ABRAHAM</t>
  </si>
  <si>
    <t>BENEFITS MANAGER</t>
  </si>
  <si>
    <t>eric_dominguez@homedepot.com.mx</t>
  </si>
  <si>
    <t>1020479@homedepot.com.mx</t>
  </si>
  <si>
    <t xml:space="preserve">8952020622442626785 </t>
  </si>
  <si>
    <t>351307355050042</t>
  </si>
  <si>
    <t>Perdio su equipo y hacer cargo</t>
  </si>
  <si>
    <t>QUALITY ENGINEER DH</t>
  </si>
  <si>
    <t>ERICK_NARANJO@HOMEDEPOT.COM.MX</t>
  </si>
  <si>
    <t>1047234@homedepot.com.mx</t>
  </si>
  <si>
    <t xml:space="preserve">8952020921246259011 </t>
  </si>
  <si>
    <t>860900062337290</t>
  </si>
  <si>
    <t>ERICK_ORTEGA@HOMEDEPOT.COM.MX</t>
  </si>
  <si>
    <t xml:space="preserve">8952020518614571082 </t>
  </si>
  <si>
    <t>860900062336276</t>
  </si>
  <si>
    <t>ERICK FERNANDO</t>
  </si>
  <si>
    <t>SR COMMERCIAL ADMINISTRATOR</t>
  </si>
  <si>
    <t>erick_perez@homedepot.com.mx</t>
  </si>
  <si>
    <t>Erick-Perez@homedepot.com.mx</t>
  </si>
  <si>
    <t xml:space="preserve">8952020021241727508 </t>
  </si>
  <si>
    <t>ERICK EMMANUEL</t>
  </si>
  <si>
    <t>TAMEZ</t>
  </si>
  <si>
    <t>erick_tamez@homedepot.com.mx</t>
  </si>
  <si>
    <t xml:space="preserve">8952020021241726088 </t>
  </si>
  <si>
    <t>860900062334917</t>
  </si>
  <si>
    <t>tiene un equipo de prestamo oppo a79</t>
  </si>
  <si>
    <t>erik_diaz@homedepot.com.mx</t>
  </si>
  <si>
    <t xml:space="preserve">8952020920410343015 </t>
  </si>
  <si>
    <t>ERIKA LORELI</t>
  </si>
  <si>
    <t>FIXTURES PROCUREMENT MANAGER</t>
  </si>
  <si>
    <t>erika_bernal@homedepot.com.mx</t>
  </si>
  <si>
    <t xml:space="preserve">8952020020340516341 </t>
  </si>
  <si>
    <t>351307355532536</t>
  </si>
  <si>
    <t>VILLAFRANCA</t>
  </si>
  <si>
    <t>ONLINE &amp; MARKETING VP</t>
  </si>
  <si>
    <t>erika_diaz@homedepot.com.mx</t>
  </si>
  <si>
    <t>Erika-Diaz@homedepot.com.mx</t>
  </si>
  <si>
    <t xml:space="preserve">8952020021241727102 </t>
  </si>
  <si>
    <t>ERIKA KARINNA</t>
  </si>
  <si>
    <t>PAVLOVICH</t>
  </si>
  <si>
    <t>CUSTOMER INTELLIGENCE &amp; MERCHANDISE MARKETING MANAGER</t>
  </si>
  <si>
    <t>erika_macias@homedepot.com.mx</t>
  </si>
  <si>
    <t xml:space="preserve">8952020020340516507 </t>
  </si>
  <si>
    <t>358366320419511</t>
  </si>
  <si>
    <t>ERIKA MARLENE</t>
  </si>
  <si>
    <t>SAUCEDO</t>
  </si>
  <si>
    <t>HR SUPPLY CHAIN OPERATIONS DIRECTOR</t>
  </si>
  <si>
    <t>erika_martinez@homedepot.com.mx</t>
  </si>
  <si>
    <t xml:space="preserve">8952020019348092081 </t>
  </si>
  <si>
    <t>358366320498606</t>
  </si>
  <si>
    <t>ERIX DANIEL</t>
  </si>
  <si>
    <t>erix_salas@homedepot.com.mx</t>
  </si>
  <si>
    <t xml:space="preserve">8952020022340550197 </t>
  </si>
  <si>
    <t>358366320182242</t>
  </si>
  <si>
    <t>CARLOS ESTEBAN</t>
  </si>
  <si>
    <t>REPLENISHMENT DEPARTMENT HEAD</t>
  </si>
  <si>
    <t>esteban_moreno@homedepot.com.mx</t>
  </si>
  <si>
    <t>Esteban-Moreno@homedepot.com.mx</t>
  </si>
  <si>
    <t xml:space="preserve">8952020020340517786 </t>
  </si>
  <si>
    <t>860900062335740</t>
  </si>
  <si>
    <t>ETHEL IRACEMA</t>
  </si>
  <si>
    <t>CHACON</t>
  </si>
  <si>
    <t>REYNOSA</t>
  </si>
  <si>
    <t>ethel_chacon@homedepot.com.mx</t>
  </si>
  <si>
    <t>Ethel-Chacon@homedepot.com.mx</t>
  </si>
  <si>
    <t xml:space="preserve">8952020021391851546 </t>
  </si>
  <si>
    <t>ETNA NAZIRA</t>
  </si>
  <si>
    <t>MURAIRA</t>
  </si>
  <si>
    <t>CANTU</t>
  </si>
  <si>
    <t>ONLINE PROJECT MANAGEMENT &amp; UX SR MANAGER</t>
  </si>
  <si>
    <t>etna_muraira@homedepot.com.mx</t>
  </si>
  <si>
    <t xml:space="preserve">8952020020340517075 </t>
  </si>
  <si>
    <t>358366320216602</t>
  </si>
  <si>
    <t>EUNICE</t>
  </si>
  <si>
    <t>INTERCONNECTED PROJECTS &amp; DROPSHIP SR MANAGER</t>
  </si>
  <si>
    <t>eunice_garza@homedepot.com.mx</t>
  </si>
  <si>
    <t>Eunice-Garza@homedepot.com.mx</t>
  </si>
  <si>
    <t xml:space="preserve">8952020021241726385 </t>
  </si>
  <si>
    <t>EVLIN</t>
  </si>
  <si>
    <t>ZAZUETA</t>
  </si>
  <si>
    <t>evlin_cardenas@homedepot.com.mx</t>
  </si>
  <si>
    <t>Evlin-Cardenas@homedepot.com.mx</t>
  </si>
  <si>
    <t xml:space="preserve">8952020518621908657 </t>
  </si>
  <si>
    <t>860900062338025</t>
  </si>
  <si>
    <t>FABIAN</t>
  </si>
  <si>
    <t>ASSET PROTECTION SR MANAGER</t>
  </si>
  <si>
    <t>fabian_martinez@homedepot.com.mx</t>
  </si>
  <si>
    <t>Fabian-Martinez@homedepot.com.mx</t>
  </si>
  <si>
    <t xml:space="preserve">8952020021241726856 </t>
  </si>
  <si>
    <t>FABIOLA</t>
  </si>
  <si>
    <t>fabiola_ortiz@homedepot.com.mx</t>
  </si>
  <si>
    <t xml:space="preserve">8952020021241726161 </t>
  </si>
  <si>
    <t>CANDIA</t>
  </si>
  <si>
    <t>MAINTENANCE LEADER</t>
  </si>
  <si>
    <t>fatima_martinez@homedepot.com.mx</t>
  </si>
  <si>
    <t>1019684@homedepot.com.mx</t>
  </si>
  <si>
    <t xml:space="preserve">8952020921246258963 </t>
  </si>
  <si>
    <t>JESUS FEDERICO</t>
  </si>
  <si>
    <t>federico_vazquez@homedepot.com.mx</t>
  </si>
  <si>
    <t>Federico-Vazquez@homedepot.com.mx</t>
  </si>
  <si>
    <t xml:space="preserve">8952020519371172627 </t>
  </si>
  <si>
    <t>860900062338686</t>
  </si>
  <si>
    <t>FELIPE ANTONIO</t>
  </si>
  <si>
    <t>ZERTUCHE</t>
  </si>
  <si>
    <t>MERCHANDISING SR DIRECTOR</t>
  </si>
  <si>
    <t>felipe_hernandez@homedepot.com.mx</t>
  </si>
  <si>
    <t xml:space="preserve">8952020019348092149 </t>
  </si>
  <si>
    <t>iPhone 12 Pro Max (128 GB Graphite)</t>
  </si>
  <si>
    <t>FERNANDA LORENA</t>
  </si>
  <si>
    <t>PRO SALES ANALYTICS MANAGER</t>
  </si>
  <si>
    <t>fernanda_elizondo@homedepot.com.mx</t>
  </si>
  <si>
    <t>1019463@homedepot.com.mx</t>
  </si>
  <si>
    <t xml:space="preserve">8952020020340515491 </t>
  </si>
  <si>
    <t>860900062254396</t>
  </si>
  <si>
    <t>GAONA</t>
  </si>
  <si>
    <t>STORE PROCESS COORDINATOR</t>
  </si>
  <si>
    <t>fernanda_martinez@homedepot.com.mx</t>
  </si>
  <si>
    <t xml:space="preserve">8952020022340550858 </t>
  </si>
  <si>
    <t>fernando_aguilar@homedepot.com.mx</t>
  </si>
  <si>
    <t>Fernando-Aguilar@homedepot.com.mx</t>
  </si>
  <si>
    <t xml:space="preserve">8952020023195128329 </t>
  </si>
  <si>
    <t>860900062334933</t>
  </si>
  <si>
    <t>JUAN FERNANDO</t>
  </si>
  <si>
    <t>CASILLAS</t>
  </si>
  <si>
    <t>NORTH DELIVERY LEADER</t>
  </si>
  <si>
    <t>fernando_calderon@homedepot.com.mx</t>
  </si>
  <si>
    <t>520378@homedepot.com.mx</t>
  </si>
  <si>
    <t xml:space="preserve">8952020020555857752 </t>
  </si>
  <si>
    <t>860900062337597</t>
  </si>
  <si>
    <t>JOSE FERNANDO</t>
  </si>
  <si>
    <t>DE BLAS</t>
  </si>
  <si>
    <t>fernando_deblas@homedepot.com.mx</t>
  </si>
  <si>
    <t>Fernando-DeBlas@homedepot.com.mx</t>
  </si>
  <si>
    <t xml:space="preserve">8952020021391851132 </t>
  </si>
  <si>
    <t>MAYRA ALEJANDRA</t>
  </si>
  <si>
    <t>MEDIA &amp; REGIONAL MARKETING DEPARTMENT HEAD</t>
  </si>
  <si>
    <t>fernando_duran@homedepot.com.mx</t>
  </si>
  <si>
    <t>mayra_tamez@homedepot.com.mx</t>
  </si>
  <si>
    <t xml:space="preserve">8952020021241726658 </t>
  </si>
  <si>
    <t>fernando_gomez@homedepot.com.mx</t>
  </si>
  <si>
    <t>Fernando_Gomez@homedepot.com.mx</t>
  </si>
  <si>
    <t xml:space="preserve">8952020920120908503 </t>
  </si>
  <si>
    <t>JOSE GERMAN</t>
  </si>
  <si>
    <t xml:space="preserve">8952020520640060965 </t>
  </si>
  <si>
    <t>FERNANDO MANUEL</t>
  </si>
  <si>
    <t>LAVIN</t>
  </si>
  <si>
    <t>PRIVATE BRANDS MANAGER</t>
  </si>
  <si>
    <t>fernando_lavin@homedepot.com.mx</t>
  </si>
  <si>
    <t>Fernando-Lavin@homedepot.com.mx</t>
  </si>
  <si>
    <t xml:space="preserve">8952020021241726906 </t>
  </si>
  <si>
    <t>FERNANDO MARCELO</t>
  </si>
  <si>
    <t>RAVEL</t>
  </si>
  <si>
    <t>CONSTRUCTION PROJECT SR MANAGER</t>
  </si>
  <si>
    <t>fernando_ravel@homedepot.com.mx</t>
  </si>
  <si>
    <t xml:space="preserve">8952020021241726492 </t>
  </si>
  <si>
    <t>357654179623502</t>
  </si>
  <si>
    <t>FERNANDO IVAN</t>
  </si>
  <si>
    <t>fernando_treviño@homedepot.com.mx</t>
  </si>
  <si>
    <t xml:space="preserve">8952020024243367844 </t>
  </si>
  <si>
    <t>356638832445255</t>
  </si>
  <si>
    <t>eduardo_barrera@homedepot.com.mx</t>
  </si>
  <si>
    <t xml:space="preserve">8952020021241728209 </t>
  </si>
  <si>
    <t>SOCIAL RESPONSIBILITY &amp; SUSTAINABILITY ANALYST</t>
  </si>
  <si>
    <t>fondo_naranja@homedepot.com.mx</t>
  </si>
  <si>
    <t xml:space="preserve">8952020622442628054 </t>
  </si>
  <si>
    <t>FRANCELIA</t>
  </si>
  <si>
    <t>BRITO</t>
  </si>
  <si>
    <t>SUPPLY CHAIN OPERATIONS PROCESS &amp; PRODUCTIVITY MANAGER</t>
  </si>
  <si>
    <t>francelia_brito@homedepot.com.mx</t>
  </si>
  <si>
    <t>Francelia-Brito@homedepot.com.mx</t>
  </si>
  <si>
    <t xml:space="preserve">8952020021241727920 </t>
  </si>
  <si>
    <t>FRANCISCO DE JESUS</t>
  </si>
  <si>
    <t>CONSTRUCTION SR MANAGER</t>
  </si>
  <si>
    <t>francisco_gamboa@homedepot.com.mx</t>
  </si>
  <si>
    <t>Francisco-Gamboa@homedepot.com.mx</t>
  </si>
  <si>
    <t xml:space="preserve">8952020021241726898 </t>
  </si>
  <si>
    <t>FRANCISCO FABIAN</t>
  </si>
  <si>
    <t>francisco_lopez@homedepot.com.mx</t>
  </si>
  <si>
    <t>Francisco-Lopez@homedepot.com.mx</t>
  </si>
  <si>
    <t xml:space="preserve">8952020020165698984 </t>
  </si>
  <si>
    <t>860900062336243</t>
  </si>
  <si>
    <t>francisco_ortiz@homedepot.com.mx</t>
  </si>
  <si>
    <t>Francisco-Ortiz@homedepot.com.mx</t>
  </si>
  <si>
    <t xml:space="preserve">8952020020340515475 </t>
  </si>
  <si>
    <t>860900062238662</t>
  </si>
  <si>
    <t>HOME DELIVERY SPECIALIST</t>
  </si>
  <si>
    <t>francisco_ramirez@homedepot.com.mx</t>
  </si>
  <si>
    <t>Francisco-Ramirez@homedepot.com.mx</t>
  </si>
  <si>
    <t xml:space="preserve">8952020020340515640 </t>
  </si>
  <si>
    <t>860900062732367</t>
  </si>
  <si>
    <t>FRANCISCO ENRIQUE</t>
  </si>
  <si>
    <t>FRANCISCO_SIFUENTES@HOMEDEPOT.COM.MX</t>
  </si>
  <si>
    <t>francisco_sifuentes@homedepot.com.mx</t>
  </si>
  <si>
    <t xml:space="preserve">8952020221440701987 </t>
  </si>
  <si>
    <t>cambiar en reno</t>
  </si>
  <si>
    <t>FRIDA ANALIA</t>
  </si>
  <si>
    <t>NERI</t>
  </si>
  <si>
    <t>frida_valdivia@homedepot.com.mx</t>
  </si>
  <si>
    <t xml:space="preserve">8952020521240869375 </t>
  </si>
  <si>
    <t>GABRIEL ROGELIO</t>
  </si>
  <si>
    <t>INFRASTRUCTURE PROJECT MANAGER</t>
  </si>
  <si>
    <t>gabriel_delarosa@homedepot.com.mx</t>
  </si>
  <si>
    <t xml:space="preserve">8952020024243367851 </t>
  </si>
  <si>
    <t>359928213753402</t>
  </si>
  <si>
    <t>PARRELLA</t>
  </si>
  <si>
    <t>SR SYSTEMS ENGINEER</t>
  </si>
  <si>
    <t>gabriela_parrella@homedepot.com.mx</t>
  </si>
  <si>
    <t xml:space="preserve">8952020221442204477 </t>
  </si>
  <si>
    <t>GABRIELA TERESA</t>
  </si>
  <si>
    <t>RIVERO</t>
  </si>
  <si>
    <t>CHAPA</t>
  </si>
  <si>
    <t>gabriela_rivero@homedepot.com.mx</t>
  </si>
  <si>
    <t>Gabriela-Rivero@homedepot.com.mx</t>
  </si>
  <si>
    <t xml:space="preserve">8952020021241480983 </t>
  </si>
  <si>
    <t>LOPEZ NEGRETE</t>
  </si>
  <si>
    <t>STOAKS</t>
  </si>
  <si>
    <t>MERCHANDISING VP</t>
  </si>
  <si>
    <t>Gabriel-Lopeznegrete@homedepot.com.mx</t>
  </si>
  <si>
    <t xml:space="preserve">8952020025441757280 </t>
  </si>
  <si>
    <t>357654178412303</t>
  </si>
  <si>
    <t>GERALDINE</t>
  </si>
  <si>
    <t>AJAS</t>
  </si>
  <si>
    <t>VISUAL MERCHANDISING DH</t>
  </si>
  <si>
    <t>Geraldine_Ramos@homedepot.com.mx</t>
  </si>
  <si>
    <t>Geraldine-Ramos@homedepot.com.mx</t>
  </si>
  <si>
    <t xml:space="preserve">8952020021148630193 </t>
  </si>
  <si>
    <t>GERARDO JR.</t>
  </si>
  <si>
    <t>CABELLO</t>
  </si>
  <si>
    <t>ACCOUNTS PAYABLE &amp; CREDITS MANAGER</t>
  </si>
  <si>
    <t>gerardo_cabello@homedepot.com.mx</t>
  </si>
  <si>
    <t>gerardo-cabello@homedepot.com.mx</t>
  </si>
  <si>
    <t xml:space="preserve">8952020021241726351 </t>
  </si>
  <si>
    <t>gerardo_elizondo@homedepot.com.mx</t>
  </si>
  <si>
    <t xml:space="preserve">8952020221641341039 </t>
  </si>
  <si>
    <t>GERARDO ANTONIO</t>
  </si>
  <si>
    <t>FARIAS</t>
  </si>
  <si>
    <t>ALEJO</t>
  </si>
  <si>
    <t>gerardo_farias@homedpeot.com.mx</t>
  </si>
  <si>
    <t>1021851@homedepot.com.mx</t>
  </si>
  <si>
    <t xml:space="preserve">8952020021241727409 </t>
  </si>
  <si>
    <t>GERARDO HUMBERTO</t>
  </si>
  <si>
    <t>gerardo_garcia@homedepot.com.mx</t>
  </si>
  <si>
    <t>Gerardo-Garcia@homedepot.com.mx</t>
  </si>
  <si>
    <t xml:space="preserve">8952020020340515954 </t>
  </si>
  <si>
    <t>860900062238563</t>
  </si>
  <si>
    <t>GUARDADO</t>
  </si>
  <si>
    <t>FINANCE VP</t>
  </si>
  <si>
    <t>gerardo_guardado@homedepot.com.mx</t>
  </si>
  <si>
    <t xml:space="preserve">8952020024140347857 </t>
  </si>
  <si>
    <t>351307359829359</t>
  </si>
  <si>
    <t>iPhone 16 Pro Max (256 GB Black Titanium)</t>
  </si>
  <si>
    <t>BERMUDES</t>
  </si>
  <si>
    <t>gerardo_mendoza@homedepot.com.mx</t>
  </si>
  <si>
    <t>luis_bermudes@homedepot.com.mx</t>
  </si>
  <si>
    <t xml:space="preserve">8952020021241728316 </t>
  </si>
  <si>
    <t>gerardo_silva@homedepot.com.mx</t>
  </si>
  <si>
    <t>Gerardo-Silva@homedepot.com.mx</t>
  </si>
  <si>
    <t xml:space="preserve">8952020021241726104 </t>
  </si>
  <si>
    <t>CALL CENTER SPECIALIST</t>
  </si>
  <si>
    <t xml:space="preserve">gerardo_valdez@homedepot.com.mx </t>
  </si>
  <si>
    <t>Gerardo-Valdez@homedepot.com.mx</t>
  </si>
  <si>
    <t xml:space="preserve">8952020021148630110 </t>
  </si>
  <si>
    <t>LOGISTICS SYSTEMS ADMINISTRATION</t>
  </si>
  <si>
    <t>German_martinez@homedepot.com.mx</t>
  </si>
  <si>
    <t>1038732@homedepot.com.mx</t>
  </si>
  <si>
    <t xml:space="preserve">8952020921242744685 </t>
  </si>
  <si>
    <t>EHS &amp; LABOUR RELATIONS SR MANAGER</t>
  </si>
  <si>
    <t>german_torres@homedepot.com.mx</t>
  </si>
  <si>
    <t>1023453@homedepot.com.mx</t>
  </si>
  <si>
    <t xml:space="preserve">8952020021241727862 </t>
  </si>
  <si>
    <t>VILLACORTA</t>
  </si>
  <si>
    <t>OPERATIONS VP</t>
  </si>
  <si>
    <t>german_villacorta@homedepot.com.mx</t>
  </si>
  <si>
    <t xml:space="preserve">8952020020340516390 </t>
  </si>
  <si>
    <t>35 081489 270335 6</t>
  </si>
  <si>
    <t>iPhone 14 Plus (256 GB Red)</t>
  </si>
  <si>
    <t xml:space="preserve">PEMPRESA 5D 12VC    </t>
  </si>
  <si>
    <t>GILBERTO ALEJANDRO</t>
  </si>
  <si>
    <t>gilberto_razo@homedepot.com.mx</t>
  </si>
  <si>
    <t xml:space="preserve">8952020518141773672 </t>
  </si>
  <si>
    <t>860900062338389</t>
  </si>
  <si>
    <t>GIULIANA RENATA</t>
  </si>
  <si>
    <t>GLOBAL SOURCING SPECIALIST</t>
  </si>
  <si>
    <t>giuliana_ordaz@homedepot.com.mx</t>
  </si>
  <si>
    <t xml:space="preserve">8952020020340515889 </t>
  </si>
  <si>
    <t>860900062337894</t>
  </si>
  <si>
    <t>GLORILAURA</t>
  </si>
  <si>
    <t>glorilaura_gutierrez@homedepot.com.mx</t>
  </si>
  <si>
    <t xml:space="preserve">8952020024446637795 </t>
  </si>
  <si>
    <t>860900062257878</t>
  </si>
  <si>
    <t>GONZALO</t>
  </si>
  <si>
    <t>OPERATIONS DIRECTOR</t>
  </si>
  <si>
    <t>gonzalo_villegas@homedepot.com.mx</t>
  </si>
  <si>
    <t>Gonzalo-Villegas@homedepot.com.mx</t>
  </si>
  <si>
    <t xml:space="preserve">8952020021391851058 </t>
  </si>
  <si>
    <t>TPE CONT VPN 8 DD 12</t>
  </si>
  <si>
    <t>GRISELDA PATRICIA</t>
  </si>
  <si>
    <t>ACCOUNTING &amp; CONSOLIDATIONS SR MANAGER</t>
  </si>
  <si>
    <t>griselda_mata@homedepot.com.mx</t>
  </si>
  <si>
    <t>Griselda-Mata@homedepot.com.mx</t>
  </si>
  <si>
    <t xml:space="preserve">8952020021241727573 </t>
  </si>
  <si>
    <t>GUILLERMO DANIEL</t>
  </si>
  <si>
    <t>SONETTI</t>
  </si>
  <si>
    <t>CONSTRUCTION &amp; REAL ESTATE SR. DIRECTOR</t>
  </si>
  <si>
    <t>guillermo_sonetti@homedepot.com.mx</t>
  </si>
  <si>
    <t xml:space="preserve">8952020924240664947 </t>
  </si>
  <si>
    <t>GUMARO</t>
  </si>
  <si>
    <t>VALADEZ</t>
  </si>
  <si>
    <t>gumaro_valadez@homedepot.com.mx</t>
  </si>
  <si>
    <t>Gumaro-Valadez@homedepot.com.mx</t>
  </si>
  <si>
    <t xml:space="preserve">8952020521270815652 </t>
  </si>
  <si>
    <t>GUSTAVO ALONSO</t>
  </si>
  <si>
    <t>CREDITS DEPARTMENT HEAD</t>
  </si>
  <si>
    <t>gustavo_ramirez@homedepot.com.mx</t>
  </si>
  <si>
    <t xml:space="preserve">8952020020340515566 </t>
  </si>
  <si>
    <t>860900062337787</t>
  </si>
  <si>
    <t>gustavo_sanchez@homedepot.com.mx</t>
  </si>
  <si>
    <t>Gustavo-Sanchez@homedepot.com.mx</t>
  </si>
  <si>
    <t xml:space="preserve">8952020021241727045 </t>
  </si>
  <si>
    <t>HARY ALFONSO</t>
  </si>
  <si>
    <t>LOGISTICS CENTERS MAINTENANCE DH</t>
  </si>
  <si>
    <t>hary_resendiz@homedepot.com.mx</t>
  </si>
  <si>
    <t>Hary-Resendiz@homedepot.com.mx</t>
  </si>
  <si>
    <t xml:space="preserve">8952020021241726534 </t>
  </si>
  <si>
    <t>MOHENO</t>
  </si>
  <si>
    <t>TRANSPORTATION DIRECTOR</t>
  </si>
  <si>
    <t>heberto_moheno@homedepot.com.mx</t>
  </si>
  <si>
    <t>Heberto-Moheno@homedepot.com.mx</t>
  </si>
  <si>
    <t xml:space="preserve">8952020021241726443 </t>
  </si>
  <si>
    <t>HECTOR DE JESUS</t>
  </si>
  <si>
    <t>hector_hernandez@homedepot.com.mx</t>
  </si>
  <si>
    <t>80635@homedepot.com.mx</t>
  </si>
  <si>
    <t xml:space="preserve">8952020520522107926 </t>
  </si>
  <si>
    <t>HONORIO ALBERTO</t>
  </si>
  <si>
    <t>honorio_cruz@homedepot.com.mx</t>
  </si>
  <si>
    <t>Honorio-Cruz@homedepot.com.mx</t>
  </si>
  <si>
    <t xml:space="preserve">8952020920661711779 </t>
  </si>
  <si>
    <t>HOUSTON</t>
  </si>
  <si>
    <t>CAPEX PROJECT LEADER</t>
  </si>
  <si>
    <t>houston_gutierrez@homedepot.com.mx</t>
  </si>
  <si>
    <t>Houston-Gutierrez@homedepot.com.mx</t>
  </si>
  <si>
    <t xml:space="preserve">8952020020340517919 </t>
  </si>
  <si>
    <t>860900062338322</t>
  </si>
  <si>
    <t>HUGO ANDRES</t>
  </si>
  <si>
    <t>hugo_gonzalez@homedepot.com.mx</t>
  </si>
  <si>
    <t xml:space="preserve">8952020022340550809 </t>
  </si>
  <si>
    <t>IT FINANCE &amp; HR SYSTEMS PORTFOLIO SR MANAGER</t>
  </si>
  <si>
    <t>hugo_sanchez@homedepot.com.mx</t>
  </si>
  <si>
    <t>Hugo-Sanchez@homedepot.com.mx</t>
  </si>
  <si>
    <t xml:space="preserve">8952020021241727532 </t>
  </si>
  <si>
    <t>IRAIS LIZBETH</t>
  </si>
  <si>
    <t>ALARCÓN</t>
  </si>
  <si>
    <t>CAPEX PROJECT SPECIALIST</t>
  </si>
  <si>
    <t>irais_mora@homedepot.com.mx</t>
  </si>
  <si>
    <t xml:space="preserve">8952020021241727888 </t>
  </si>
  <si>
    <t>IRIS DAISY</t>
  </si>
  <si>
    <t>iris_duran@homedepot.com.mx</t>
  </si>
  <si>
    <t xml:space="preserve">8952020319630257776 </t>
  </si>
  <si>
    <t>358366320804175</t>
  </si>
  <si>
    <t>irma_escalona@homedepot.com.mx</t>
  </si>
  <si>
    <t>470043@homedepot.com.mx</t>
  </si>
  <si>
    <t xml:space="preserve">8952020920694073346 </t>
  </si>
  <si>
    <t>CAMARGO</t>
  </si>
  <si>
    <t>isaac_camargo@homedepot.com.mx</t>
  </si>
  <si>
    <t>630011@homedepot.com.mx</t>
  </si>
  <si>
    <t xml:space="preserve">8952020020199239334 </t>
  </si>
  <si>
    <t>358366320793626</t>
  </si>
  <si>
    <t>ISABELA</t>
  </si>
  <si>
    <t>MOYA</t>
  </si>
  <si>
    <t>isabela_moya@homedepot.com.mx</t>
  </si>
  <si>
    <t xml:space="preserve">8952020021241726336 </t>
  </si>
  <si>
    <t>ISIDRO FRANCISCO</t>
  </si>
  <si>
    <t>CASAS</t>
  </si>
  <si>
    <t>isidro_casas@homedepot.com.mx</t>
  </si>
  <si>
    <t xml:space="preserve">8952020021241727284 </t>
  </si>
  <si>
    <t>ISRAEL DANIEL</t>
  </si>
  <si>
    <t>CORICHE</t>
  </si>
  <si>
    <t>israel_coriche@homedepot.com.mx</t>
  </si>
  <si>
    <t>Israel-Coriche@homedepot.com.mx</t>
  </si>
  <si>
    <t xml:space="preserve">8952020021391851090 </t>
  </si>
  <si>
    <t>fernando_zavala@homedepot.com.mx</t>
  </si>
  <si>
    <t>Fernando-Zavala@homedepot.com.mx</t>
  </si>
  <si>
    <t xml:space="preserve">8952020020340516259 </t>
  </si>
  <si>
    <t>860900062335492</t>
  </si>
  <si>
    <t>SYSTEMS ENGINEER</t>
  </si>
  <si>
    <t>israel_quiroga@homedepot.com.mx</t>
  </si>
  <si>
    <t xml:space="preserve">8952020024543268809 </t>
  </si>
  <si>
    <t xml:space="preserve">GENERAL OAT </t>
  </si>
  <si>
    <t>JOSE ISRAEL</t>
  </si>
  <si>
    <t>israel_venegas@homedepot.com.mx</t>
  </si>
  <si>
    <t>Israel-Venegas@homedepot.com.mx</t>
  </si>
  <si>
    <t xml:space="preserve">8952020021241727243 </t>
  </si>
  <si>
    <t>ALATORRE</t>
  </si>
  <si>
    <t>ivan_alatorre@homedepot.com.mx</t>
  </si>
  <si>
    <t>Ivan-AlaTorre@homedepot.com.mx</t>
  </si>
  <si>
    <t xml:space="preserve">8952020021241726427 </t>
  </si>
  <si>
    <t>IVAN ALEJANDRO</t>
  </si>
  <si>
    <t>ivan_garcia@homedepot.com.mx</t>
  </si>
  <si>
    <t>360092@homedepot.com.mx</t>
  </si>
  <si>
    <t xml:space="preserve">8952020520682980989 </t>
  </si>
  <si>
    <t>ivan_ortiz@homedepot.com.mx</t>
  </si>
  <si>
    <t>Ivan-Ortiz@homedepot.com.mx</t>
  </si>
  <si>
    <t xml:space="preserve">8952020020340515699 </t>
  </si>
  <si>
    <t>860900062335880</t>
  </si>
  <si>
    <t>ivan_rodriguez@homedepot.com.mx</t>
  </si>
  <si>
    <t>1045761@homedepot.com.mx</t>
  </si>
  <si>
    <t xml:space="preserve">8952020021241482732 </t>
  </si>
  <si>
    <t>860900062337845</t>
  </si>
  <si>
    <t>IVONNE MELISSA</t>
  </si>
  <si>
    <t>LEGAL ADMINISTRATIVE ASSISTANT</t>
  </si>
  <si>
    <t>ivonne_alvarado@homedepot.com.mx</t>
  </si>
  <si>
    <t xml:space="preserve">8952020021241727367 </t>
  </si>
  <si>
    <t xml:space="preserve">cambio de puesto he ingreso a nueva area </t>
  </si>
  <si>
    <t>LEMUS</t>
  </si>
  <si>
    <t>VP ASSISTANT</t>
  </si>
  <si>
    <t>ivonne_lemus@homedepot.com.mx</t>
  </si>
  <si>
    <t>1033125@homedepot.com.mx</t>
  </si>
  <si>
    <t xml:space="preserve">8952020020340518263 </t>
  </si>
  <si>
    <t>ADOLFO JAEN</t>
  </si>
  <si>
    <t>MERCHANDISING SUPPORT SR DIRECTOR</t>
  </si>
  <si>
    <t>jaen_rodriguez@homedepot.com.mx</t>
  </si>
  <si>
    <t>Jaen-Rodriguez@homedepot.com.mx</t>
  </si>
  <si>
    <t xml:space="preserve">8952020021241727425 </t>
  </si>
  <si>
    <t>GILBERTO JAIR</t>
  </si>
  <si>
    <t>jair_contreras@homedepot.com.mx</t>
  </si>
  <si>
    <t>Jair-Contreras@homedepot.com.mx</t>
  </si>
  <si>
    <t xml:space="preserve">8952020020340515541 </t>
  </si>
  <si>
    <t>860900062337720</t>
  </si>
  <si>
    <t>JAIR ERNESTO</t>
  </si>
  <si>
    <t>INTERCONNECTED SUPPORT DH</t>
  </si>
  <si>
    <t>jair_rios@homedepot.com.mx</t>
  </si>
  <si>
    <t>Jair-Rios@homedepot.com.mx</t>
  </si>
  <si>
    <t xml:space="preserve">8952020520652193894 </t>
  </si>
  <si>
    <t>JAMIE OLIVER</t>
  </si>
  <si>
    <t>BRADLEY</t>
  </si>
  <si>
    <t>TAX DIRECTOR</t>
  </si>
  <si>
    <t>jamie_cruz@homedepot.com.mx</t>
  </si>
  <si>
    <t xml:space="preserve">8952020021241727565 </t>
  </si>
  <si>
    <t>FRANCISCO JERONIMO</t>
  </si>
  <si>
    <t>LEARNING MANAGER</t>
  </si>
  <si>
    <t>jeronimo trevino@homedepot.com.mx</t>
  </si>
  <si>
    <t>Jeronimo_Trevino@homedepot.com.mx</t>
  </si>
  <si>
    <t xml:space="preserve">8952020021148630169 </t>
  </si>
  <si>
    <t>JESSICA ALEJANDRA</t>
  </si>
  <si>
    <t>CARDONA</t>
  </si>
  <si>
    <t>BANDA</t>
  </si>
  <si>
    <t>jessica_cardona@homedepot.com.mx</t>
  </si>
  <si>
    <t>Jessica-Cardona@homedepot.com.mx</t>
  </si>
  <si>
    <t xml:space="preserve">8952020021241727490 </t>
  </si>
  <si>
    <t>JESSICA</t>
  </si>
  <si>
    <t>MERCHANDISING ONBOARDING PLANNER</t>
  </si>
  <si>
    <t>jessica_salas@homedepot.com.mx</t>
  </si>
  <si>
    <t>Jessica-Salas@homedepot.com.mx</t>
  </si>
  <si>
    <t xml:space="preserve">8952020021241727607 </t>
  </si>
  <si>
    <t>jesus_almaguer@homedepot.com.mx</t>
  </si>
  <si>
    <t>Jesus-Almaguer@homedepot.com.mx</t>
  </si>
  <si>
    <t xml:space="preserve">8952020021241726633 </t>
  </si>
  <si>
    <t>JESUS ARMANDO</t>
  </si>
  <si>
    <t>INTEGRATION ENGINEER MANAGER</t>
  </si>
  <si>
    <t>jesus_martinez@homedepot.com.mx</t>
  </si>
  <si>
    <t>Jesus-Martinez@homedepot.com.mx</t>
  </si>
  <si>
    <t xml:space="preserve">8952020020340515632 </t>
  </si>
  <si>
    <t>JESUS GERARDO</t>
  </si>
  <si>
    <t>TORAL</t>
  </si>
  <si>
    <t>jesus_pantoja@homedepot.com.mx</t>
  </si>
  <si>
    <t>Jesus-Pantoja@homedepot.com.mx</t>
  </si>
  <si>
    <t xml:space="preserve">8952020021391851207 </t>
  </si>
  <si>
    <t>SALDIVAR</t>
  </si>
  <si>
    <t>SR BENEFITS ADMINISTRATOR</t>
  </si>
  <si>
    <t>Jesus_salvidar@homedepot.com.mx</t>
  </si>
  <si>
    <t>jesus_saldivar@homedepot.com.mx</t>
  </si>
  <si>
    <t xml:space="preserve">8952020523140390254 </t>
  </si>
  <si>
    <t>JOEL ANTONIO</t>
  </si>
  <si>
    <t>ALMENDARIZ</t>
  </si>
  <si>
    <t>INVENTORY AUDIT COORDINATOR</t>
  </si>
  <si>
    <t>joel_almendariz@homedepot.com.mx</t>
  </si>
  <si>
    <t xml:space="preserve">8952020921544130195 </t>
  </si>
  <si>
    <t>860900062238480</t>
  </si>
  <si>
    <t>JOEL MARTIN</t>
  </si>
  <si>
    <t>ARANA</t>
  </si>
  <si>
    <t>joel_arana@homedepot.com.mx</t>
  </si>
  <si>
    <t>490027@homedepot.com.mx</t>
  </si>
  <si>
    <t xml:space="preserve">8952020520498312153 </t>
  </si>
  <si>
    <t>860900062322011</t>
  </si>
  <si>
    <t>JOEL ALEJANDRO</t>
  </si>
  <si>
    <t>STORE PROCESS DH</t>
  </si>
  <si>
    <t>joel_calderon@homedepot.com.mx</t>
  </si>
  <si>
    <t xml:space="preserve">8952020022340550775 </t>
  </si>
  <si>
    <t>DONJUAN</t>
  </si>
  <si>
    <t>joel_donjuan@homedepot.com.mx</t>
  </si>
  <si>
    <t>Joel-Donjuan@homedepot.com.mx</t>
  </si>
  <si>
    <t xml:space="preserve">8952020920661711886 </t>
  </si>
  <si>
    <t>JONAS HERMES</t>
  </si>
  <si>
    <t>INVENTORY AUDIT MANAGER</t>
  </si>
  <si>
    <t>jonas_santos@homedepot.com.mx</t>
  </si>
  <si>
    <t>Jonas-Santos@homedepot.com.mx</t>
  </si>
  <si>
    <t xml:space="preserve">8952020021241727854 </t>
  </si>
  <si>
    <t>iPhone 13 (128 GB Midnight)</t>
  </si>
  <si>
    <t>JONATHAN FRANCISCO</t>
  </si>
  <si>
    <t>jonathan_valdez@homedepot.com.mx</t>
  </si>
  <si>
    <t>JONATHAN_VALDEZ@homedepot.com.mx</t>
  </si>
  <si>
    <t xml:space="preserve">8952020024447000720 </t>
  </si>
  <si>
    <t>860900062336631</t>
  </si>
  <si>
    <t>LEARNING SERVICES DH</t>
  </si>
  <si>
    <t>Jonathan-Maciel@homedepot.com.mx</t>
  </si>
  <si>
    <t xml:space="preserve">8952020520652193928 </t>
  </si>
  <si>
    <t xml:space="preserve">Se presto el equipo al asociado hasta el 4 de abril </t>
  </si>
  <si>
    <t>JORDAN JAIR</t>
  </si>
  <si>
    <t>ADMINISTRATIVE CREDITS SPECIALIST</t>
  </si>
  <si>
    <t>jordan_coronado@homedepot.com.mx</t>
  </si>
  <si>
    <t xml:space="preserve">8952020021241727326 </t>
  </si>
  <si>
    <t>JORGE DAVID</t>
  </si>
  <si>
    <t>jorge_arroyo@homedepot.com.mx</t>
  </si>
  <si>
    <t>Jorge-Arroyo@homedepot.com.mx</t>
  </si>
  <si>
    <t xml:space="preserve">8952020020340517794 </t>
  </si>
  <si>
    <t>860900062336128</t>
  </si>
  <si>
    <t>JORGE EUGENIO</t>
  </si>
  <si>
    <t>BARRON</t>
  </si>
  <si>
    <t>JORGE_BARRON@HOMEDEPOT.COM.MX</t>
  </si>
  <si>
    <t>1040588@homedepot.com.mx</t>
  </si>
  <si>
    <t xml:space="preserve">8952020921242744511 </t>
  </si>
  <si>
    <t>860900062255286</t>
  </si>
  <si>
    <t>JORGE IRAM</t>
  </si>
  <si>
    <t>jorge_chavez@homedepot.com.mx</t>
  </si>
  <si>
    <t>1039972@homedepot.com.mx</t>
  </si>
  <si>
    <t xml:space="preserve">8952020521240869318 </t>
  </si>
  <si>
    <t>JORGE AARON</t>
  </si>
  <si>
    <t>CROSS</t>
  </si>
  <si>
    <t>FIELD CAPITAL PROJECTS DEPARTMENT HEAD</t>
  </si>
  <si>
    <t>jorge_cross@homedepot.com.mx</t>
  </si>
  <si>
    <t>Jorge-Cross@homedepot.com.mx</t>
  </si>
  <si>
    <t xml:space="preserve">8952020020340515574 </t>
  </si>
  <si>
    <t>860900062335617</t>
  </si>
  <si>
    <t>FIELD CAPITAL PROJECT MANAGER</t>
  </si>
  <si>
    <t>jorge_cruz@homedepot.com.mx</t>
  </si>
  <si>
    <t>Jorge-Cruz@homedepot.com.mx</t>
  </si>
  <si>
    <t xml:space="preserve">8952020021241727391 </t>
  </si>
  <si>
    <t>FARES</t>
  </si>
  <si>
    <t>SUPPLY CHAIN DEVELOPMENT SR DIRECTOR</t>
  </si>
  <si>
    <t>jorge_fares@homedepot.com.mx</t>
  </si>
  <si>
    <t>Jorge-Fares@homedepot.com.mx</t>
  </si>
  <si>
    <t xml:space="preserve">8952020021241727052 </t>
  </si>
  <si>
    <t>jorge_garcia@homedepot.com.mx</t>
  </si>
  <si>
    <t xml:space="preserve">8952020918380430697 </t>
  </si>
  <si>
    <t>860900062257035</t>
  </si>
  <si>
    <t>JORGE ALEJANDRO</t>
  </si>
  <si>
    <t>SPACE MANAGEMENT MANAGER</t>
  </si>
  <si>
    <t>jorge_garza@homedepot.com.mx</t>
  </si>
  <si>
    <t xml:space="preserve">8952020520640045826 </t>
  </si>
  <si>
    <t>PESCINA</t>
  </si>
  <si>
    <t>OCADIZ</t>
  </si>
  <si>
    <t>jorge_pescina@homedepot.com.mx</t>
  </si>
  <si>
    <t>Jorge-Pescina@homedepot.com.mx</t>
  </si>
  <si>
    <t xml:space="preserve">8952020020252233059 </t>
  </si>
  <si>
    <t>860900062337423</t>
  </si>
  <si>
    <t>Jorge_pinto@homedepot.com.mx</t>
  </si>
  <si>
    <t xml:space="preserve">8952020520652193688 </t>
  </si>
  <si>
    <t>356638832248907</t>
  </si>
  <si>
    <t>JORGE EMILIO</t>
  </si>
  <si>
    <t>TUEME</t>
  </si>
  <si>
    <t>jorge_rodriguez@homedepot.com.mx</t>
  </si>
  <si>
    <t xml:space="preserve">8952020022340550825 </t>
  </si>
  <si>
    <t>jose_alvarez@homedepot.com.mx</t>
  </si>
  <si>
    <t>1008212@homedepot.com.mx</t>
  </si>
  <si>
    <t xml:space="preserve">8952020920540490991 </t>
  </si>
  <si>
    <t>860900062255310</t>
  </si>
  <si>
    <t>CARAPIA</t>
  </si>
  <si>
    <t xml:space="preserve">8952020022340550148 </t>
  </si>
  <si>
    <t>860900062238837</t>
  </si>
  <si>
    <t>CEJA</t>
  </si>
  <si>
    <t xml:space="preserve">CORPORATE SECURITY SR MANAGER </t>
  </si>
  <si>
    <t>jose_ceja@homedepot.com.mx</t>
  </si>
  <si>
    <t>Jose-Ceja@homedepot.com.mx</t>
  </si>
  <si>
    <t xml:space="preserve">8952020021241727458 </t>
  </si>
  <si>
    <t>JOSE GUILLERMO</t>
  </si>
  <si>
    <t>CRUZ-GOMAR</t>
  </si>
  <si>
    <t>FALLA</t>
  </si>
  <si>
    <t>jose_cruzgomar@homedepot.com.mx</t>
  </si>
  <si>
    <t xml:space="preserve">8952020221641341138 </t>
  </si>
  <si>
    <t>PRODUCT ENGINEERING MANAGER</t>
  </si>
  <si>
    <t>jose_deanda@homedepot.com.mx</t>
  </si>
  <si>
    <t>1020921@homedepot.com.mx</t>
  </si>
  <si>
    <t xml:space="preserve">8952020518641275020 </t>
  </si>
  <si>
    <t>358366320225512</t>
  </si>
  <si>
    <t>PATIÑO</t>
  </si>
  <si>
    <t>JOSE_GLORIA@HOMEDEPOT.COM.MX</t>
  </si>
  <si>
    <t>Jose_gloria@homedepot.com.mx</t>
  </si>
  <si>
    <t xml:space="preserve">8952020023195128238 </t>
  </si>
  <si>
    <t>356638831823593</t>
  </si>
  <si>
    <t>General de tienda</t>
  </si>
  <si>
    <t>karen_flores@homedepot.com.mx</t>
  </si>
  <si>
    <t xml:space="preserve">8952020021241726120 </t>
  </si>
  <si>
    <t>357894929261589</t>
  </si>
  <si>
    <t xml:space="preserve">LINEA SUSPENDIDA POR FALTA DE INFORMACION </t>
  </si>
  <si>
    <t>PROCUREMENT &amp; SALES AUDIT DIRECTOR</t>
  </si>
  <si>
    <t>jose_gonzalez@homedepot.com.mx</t>
  </si>
  <si>
    <t>Jose-Gonzalez@homedepot.com.mx</t>
  </si>
  <si>
    <t xml:space="preserve">8952020021241726476 </t>
  </si>
  <si>
    <t>CORTEZ</t>
  </si>
  <si>
    <t>jose_martinez@homedepot.com.mx</t>
  </si>
  <si>
    <t>Jose-Martinez@homedepot.com.mx</t>
  </si>
  <si>
    <t xml:space="preserve">8952020020340517893 </t>
  </si>
  <si>
    <t>860900062336953</t>
  </si>
  <si>
    <t>JOSE BELEN</t>
  </si>
  <si>
    <t>jose_mendez@homedepot.com.mx</t>
  </si>
  <si>
    <t>Jose-Mendez@homedepot.com.mx</t>
  </si>
  <si>
    <t xml:space="preserve">8952020020340515947 </t>
  </si>
  <si>
    <t>358366320380705</t>
  </si>
  <si>
    <t>JOSE LEONARDO</t>
  </si>
  <si>
    <t>MOYEDA</t>
  </si>
  <si>
    <t>jose_palacios@homedepot.com.mx</t>
  </si>
  <si>
    <t xml:space="preserve">8952020221641341146 </t>
  </si>
  <si>
    <t>JOSE CRISTIAN OMAR</t>
  </si>
  <si>
    <t>RODARTE</t>
  </si>
  <si>
    <t>jose_rodarte@homedepot.com.mx</t>
  </si>
  <si>
    <t>Jose-Rodarte@homedepot.com.mx</t>
  </si>
  <si>
    <t xml:space="preserve">8952020520652193738 </t>
  </si>
  <si>
    <t>JOSE MIGUEL</t>
  </si>
  <si>
    <t>jose_ruiz@homedepot.com.mx</t>
  </si>
  <si>
    <t>480435@homedepot.com.mx</t>
  </si>
  <si>
    <t xml:space="preserve">8952020021391851116 </t>
  </si>
  <si>
    <t>jose_solis@homedepot.com.mx</t>
  </si>
  <si>
    <t>960093@homedepot.com.mx</t>
  </si>
  <si>
    <t xml:space="preserve">8952020622442628021 </t>
  </si>
  <si>
    <t>JOSE ADRIAN</t>
  </si>
  <si>
    <t>IMPORT &amp; VENDOR COMPLIANCE MANAGER</t>
  </si>
  <si>
    <t>jose_torres@homedepot.com.mx</t>
  </si>
  <si>
    <t>Jose-Torres@homedepot.com.mx</t>
  </si>
  <si>
    <t>1313 - OAT</t>
  </si>
  <si>
    <t xml:space="preserve">8952020021241726252 </t>
  </si>
  <si>
    <t>357654177218396</t>
  </si>
  <si>
    <t>2023-11-01</t>
  </si>
  <si>
    <t>2024-12-01</t>
  </si>
  <si>
    <t>JOSE MARCELO</t>
  </si>
  <si>
    <t>LOGISTICS NETWORK MANAGER</t>
  </si>
  <si>
    <t>Jose_velazquez@homedepot.com.mx</t>
  </si>
  <si>
    <t>1032881@homedepot.com.mx</t>
  </si>
  <si>
    <t xml:space="preserve">8952020021241726740 </t>
  </si>
  <si>
    <t>351307356834345</t>
  </si>
  <si>
    <t>ARREGUIN</t>
  </si>
  <si>
    <t>CONSTRUCTION ANALYST</t>
  </si>
  <si>
    <t>josefina_arreguin@homedepot.com.mx</t>
  </si>
  <si>
    <t>Josefina-Arreguin@homedepot.com.mx</t>
  </si>
  <si>
    <t xml:space="preserve">8952020021241727300 </t>
  </si>
  <si>
    <t>JOSEPH LUIS</t>
  </si>
  <si>
    <t>joseph_vargas@homedepot.com.mx</t>
  </si>
  <si>
    <t xml:space="preserve">8952020520543480997 </t>
  </si>
  <si>
    <t>NO RENOVAR HASTA 2025</t>
  </si>
  <si>
    <t>juan_balderas@homedepot.com.mx</t>
  </si>
  <si>
    <t xml:space="preserve">8952020221641341047 </t>
  </si>
  <si>
    <t>JUAN LEONARDO</t>
  </si>
  <si>
    <t>IT INFRASTRUCTURE SUPPORT DIRECTOR</t>
  </si>
  <si>
    <t>juan_barajas@homedepot.com.mx</t>
  </si>
  <si>
    <t xml:space="preserve">8952020021241727185 </t>
  </si>
  <si>
    <t>juan_bello@homedepot.com.mx</t>
  </si>
  <si>
    <t>gerardo_villa@homedepot.com.mx</t>
  </si>
  <si>
    <t xml:space="preserve">8952020523342145092 </t>
  </si>
  <si>
    <t>JUAN ADOLFO</t>
  </si>
  <si>
    <t>BELLO</t>
  </si>
  <si>
    <t xml:space="preserve">8952020521270815751 </t>
  </si>
  <si>
    <t>MDC DISTRICT OPERATIONS MANAGER</t>
  </si>
  <si>
    <t>Juan_cruz@homedepot.com.mx</t>
  </si>
  <si>
    <t>juan-cruz@homedepot.com.mx</t>
  </si>
  <si>
    <t xml:space="preserve">8952020020340515517 </t>
  </si>
  <si>
    <t>860900062337688</t>
  </si>
  <si>
    <t>PRO SALES SR DIRECTOR</t>
  </si>
  <si>
    <t>juan_espinosa@homedepot.com.mx</t>
  </si>
  <si>
    <t>Juan-Espinosa@homedepot.com.mx</t>
  </si>
  <si>
    <t xml:space="preserve">8952020520682980716 </t>
  </si>
  <si>
    <t>israel_lopez@homedepot.com.mx</t>
  </si>
  <si>
    <t>Israel-Lopez@homedepot.com.mx</t>
  </si>
  <si>
    <t xml:space="preserve">8952020920540492492 </t>
  </si>
  <si>
    <t>juan_garza@homedepot.com.mx</t>
  </si>
  <si>
    <t xml:space="preserve">8952020021444325050 </t>
  </si>
  <si>
    <t>860900062338561</t>
  </si>
  <si>
    <t>LOGISTICS SOLUTIONS SPECIALIST</t>
  </si>
  <si>
    <t>juan_guajardo@homedepot.com.mx</t>
  </si>
  <si>
    <t xml:space="preserve">8952020520544919357 </t>
  </si>
  <si>
    <t>860900062336839</t>
  </si>
  <si>
    <t>HERMOSILLO</t>
  </si>
  <si>
    <t>TREASURY DEPARTMENT HEAD</t>
  </si>
  <si>
    <t>juan_hernandez@homedepot.com.mx</t>
  </si>
  <si>
    <t xml:space="preserve">8952020024543268700 </t>
  </si>
  <si>
    <t>Nuevo ingreso</t>
  </si>
  <si>
    <t>STORE PLANNING MANAGER</t>
  </si>
  <si>
    <t>juan_ibarra@homedepot.com.mx</t>
  </si>
  <si>
    <t>Juan-Ibarra@homedepot.com.mx</t>
  </si>
  <si>
    <t xml:space="preserve">8952020020340515848 </t>
  </si>
  <si>
    <t>860900062337795</t>
  </si>
  <si>
    <t>MEADE</t>
  </si>
  <si>
    <t>juan_meade@homedepot.com.mx</t>
  </si>
  <si>
    <t xml:space="preserve">8952020021148630128 </t>
  </si>
  <si>
    <t>ZALETA</t>
  </si>
  <si>
    <t>juan_zaleta@homedepot.com.x</t>
  </si>
  <si>
    <t>juan_zaleta@homedepot.com.mx</t>
  </si>
  <si>
    <t xml:space="preserve">8952020521442962986 </t>
  </si>
  <si>
    <t>860900062264254</t>
  </si>
  <si>
    <t>JUANITA</t>
  </si>
  <si>
    <t>SERNA</t>
  </si>
  <si>
    <t>Juanita_Rios@homedepot.com.mx</t>
  </si>
  <si>
    <t xml:space="preserve">8952020024243367091 </t>
  </si>
  <si>
    <t>356638831816092</t>
  </si>
  <si>
    <t>JULIO ALFREDO</t>
  </si>
  <si>
    <t>GORDILLO</t>
  </si>
  <si>
    <t>ESCALERA</t>
  </si>
  <si>
    <t>IT DATA MANAGEMENT &amp; ARCHITECTURE SR MANAGER</t>
  </si>
  <si>
    <t>julio_gordillo@homedepot.com.mx</t>
  </si>
  <si>
    <t xml:space="preserve">8952020020340516424 </t>
  </si>
  <si>
    <t>351307356046569</t>
  </si>
  <si>
    <t>INTERCONNECTED SUPPORT ANALYST</t>
  </si>
  <si>
    <t>julio_hernandez@homedepot.com.mx</t>
  </si>
  <si>
    <t xml:space="preserve">8952020924240664863 </t>
  </si>
  <si>
    <t>860478062378325</t>
  </si>
  <si>
    <t>SUPPLY CHAIN PLANNING MANAGER</t>
  </si>
  <si>
    <t>julio_jimenez@homedepot.com.mx</t>
  </si>
  <si>
    <t xml:space="preserve">8952020019348093022 </t>
  </si>
  <si>
    <t>351307359361288</t>
  </si>
  <si>
    <t xml:space="preserve">HACER ENTREGA ANTES POSIBLE </t>
  </si>
  <si>
    <t>KAREN ROCIO GUADALUPE</t>
  </si>
  <si>
    <t>KAREN_FLORES@HOMEDEPOT.COM.MX</t>
  </si>
  <si>
    <t xml:space="preserve">8952020523140390239 </t>
  </si>
  <si>
    <t>jose_flores@homedepot.com.mx</t>
  </si>
  <si>
    <t xml:space="preserve">8952020520640045834 </t>
  </si>
  <si>
    <t>KAREN SOFIA</t>
  </si>
  <si>
    <t>APONTE</t>
  </si>
  <si>
    <t>NON-MERCH PROCUREMENT LEADER</t>
  </si>
  <si>
    <t>karen_nunez@homedepot.com.mx</t>
  </si>
  <si>
    <t>1005177@homedepot.com.mx</t>
  </si>
  <si>
    <t xml:space="preserve">8952020021241727383 </t>
  </si>
  <si>
    <t>UBILLA</t>
  </si>
  <si>
    <t>karina-ubilla@homedepot.com.mx</t>
  </si>
  <si>
    <t xml:space="preserve">8952020921544151795 </t>
  </si>
  <si>
    <t>KARLA SOFIA</t>
  </si>
  <si>
    <t>karla_espinosa@homedepot.com.mx</t>
  </si>
  <si>
    <t>1038066@homedepot.com.mx</t>
  </si>
  <si>
    <t xml:space="preserve">8952020520640060999 </t>
  </si>
  <si>
    <t>KARLA JUDITH</t>
  </si>
  <si>
    <t>TRANSPORTATION MANAGEMENT DEPARTMENT HEAD</t>
  </si>
  <si>
    <t>karla_rangel@homedepot.com.mx</t>
  </si>
  <si>
    <t>1021392@homedepot.com.mx</t>
  </si>
  <si>
    <t xml:space="preserve">8952020520640060957 </t>
  </si>
  <si>
    <t>Karla-Ramirez@homedepot.com.mx</t>
  </si>
  <si>
    <t xml:space="preserve">8952020523140390221 </t>
  </si>
  <si>
    <t>351307357962392</t>
  </si>
  <si>
    <t>SYLVIA KAROLINA</t>
  </si>
  <si>
    <t>LEGAL OPERATIONS DIRECTOR</t>
  </si>
  <si>
    <t>karolina_rodriguez@homedepot.com.mx</t>
  </si>
  <si>
    <t>Karolina-Rodriguez@homedepot.com.mx</t>
  </si>
  <si>
    <t xml:space="preserve">8952020021241727482 </t>
  </si>
  <si>
    <t>KATIA NAYELI</t>
  </si>
  <si>
    <t>SAFETY &amp; ENVIRONMENT MANAGER</t>
  </si>
  <si>
    <t>Katia_lozano@homedepot.com.mx</t>
  </si>
  <si>
    <t>1023192@homedepot.com.mx</t>
  </si>
  <si>
    <t xml:space="preserve">8952020019348093881 </t>
  </si>
  <si>
    <t>KATTYA BERENICE</t>
  </si>
  <si>
    <t>SOCIAL RESPONSIBILITY &amp; SUSTAINABILITY DH</t>
  </si>
  <si>
    <t>kattya_romero@homedepot.com.mx</t>
  </si>
  <si>
    <t xml:space="preserve">8952020921544130203 </t>
  </si>
  <si>
    <t>860900062732516</t>
  </si>
  <si>
    <t>KEYLA BERENICE</t>
  </si>
  <si>
    <t>OCCUPATIONAL HEALTH DEPARTMENT HEAD</t>
  </si>
  <si>
    <t>keyla_castaneda@homedepot.com.mx</t>
  </si>
  <si>
    <t xml:space="preserve">8952020019348093477 </t>
  </si>
  <si>
    <t>860900062238605</t>
  </si>
  <si>
    <t>LAURA CONSUELO</t>
  </si>
  <si>
    <t>laura_jimenez@homedepot.com.mx</t>
  </si>
  <si>
    <t>Laura-Jimenez@homedepot.com.mx</t>
  </si>
  <si>
    <t xml:space="preserve">8952020020340515368 </t>
  </si>
  <si>
    <t>860900062335823</t>
  </si>
  <si>
    <t>Juan_esquivel@homedepot.com.mx</t>
  </si>
  <si>
    <t xml:space="preserve">8952020024645343476 </t>
  </si>
  <si>
    <t>354435325086593</t>
  </si>
  <si>
    <t>LAURA EDITH</t>
  </si>
  <si>
    <t>LOGISTIC CENTERS PLANNING DH</t>
  </si>
  <si>
    <t>LAURA_NUNEZ@HOMEDEPOT.COM.MX</t>
  </si>
  <si>
    <t xml:space="preserve">8952020021444325753 </t>
  </si>
  <si>
    <t>860900062337977</t>
  </si>
  <si>
    <t>laura_ochoa@homedepot.com.mx</t>
  </si>
  <si>
    <t>Laura-Ochoa@homedepot.com.mx</t>
  </si>
  <si>
    <t xml:space="preserve">8952020523140390403 </t>
  </si>
  <si>
    <t>SPECIAL SERVICES OPERATIONS DH</t>
  </si>
  <si>
    <t>Laura-Martinez@homedepot.com.mx</t>
  </si>
  <si>
    <t xml:space="preserve">8952020020340518065 </t>
  </si>
  <si>
    <t>860900062257662</t>
  </si>
  <si>
    <t>LAZARO ABISAI</t>
  </si>
  <si>
    <t>ECOMMERCE SALES RISK ANALYST</t>
  </si>
  <si>
    <t>lazaro_sanchez@homedepot.com.mx</t>
  </si>
  <si>
    <t>1024165@homedepot.com.mx</t>
  </si>
  <si>
    <t xml:space="preserve">8952020518141773862 </t>
  </si>
  <si>
    <t>860900062238639</t>
  </si>
  <si>
    <t>LEIDY ANA</t>
  </si>
  <si>
    <t>MOSCO</t>
  </si>
  <si>
    <t>leidy_granados@homedepot.com.mx</t>
  </si>
  <si>
    <t>Leidy-Granados@homedepot.com.mx</t>
  </si>
  <si>
    <t xml:space="preserve">8952020021391851520 </t>
  </si>
  <si>
    <t>leobardo_banuelos@homedepot.com.mx</t>
  </si>
  <si>
    <t xml:space="preserve">8952020022340550023 </t>
  </si>
  <si>
    <t>860900062338421</t>
  </si>
  <si>
    <t>LEOBARDO OSCAR</t>
  </si>
  <si>
    <t>leobardo_perez@homedepot.com.mx</t>
  </si>
  <si>
    <t>Leobardo-Perez@homedepot.com.mx</t>
  </si>
  <si>
    <t xml:space="preserve">8952020020340515558 </t>
  </si>
  <si>
    <t>860900062337753</t>
  </si>
  <si>
    <t>leonardo_alarcon@homedepot.com.mx</t>
  </si>
  <si>
    <t>240032@homedepot.com.mx</t>
  </si>
  <si>
    <t xml:space="preserve">8952020021595852647 </t>
  </si>
  <si>
    <t>LETICIA JANETH</t>
  </si>
  <si>
    <t>Leticia_Araujo@homedepot.com.mx</t>
  </si>
  <si>
    <t xml:space="preserve">8952020921544151498 </t>
  </si>
  <si>
    <t>LETICIA ELIZABETH</t>
  </si>
  <si>
    <t>CARVAJAL</t>
  </si>
  <si>
    <t>AP ADMINISTRATIVE ANALYST</t>
  </si>
  <si>
    <t>leticia_carvajal@homedepot.com.mx</t>
  </si>
  <si>
    <t>Leticia-Carvajal@homedepot.com.mx</t>
  </si>
  <si>
    <t xml:space="preserve">8952020020340517935 </t>
  </si>
  <si>
    <t>860900062338355</t>
  </si>
  <si>
    <t>IVETTE LILIANA</t>
  </si>
  <si>
    <t>INSURANCE RISK MANAGEMENT MANAGER</t>
  </si>
  <si>
    <t>liliana_bautista@homedepot.com.mx</t>
  </si>
  <si>
    <t>Liliana-bautista@homedepot.com.mx</t>
  </si>
  <si>
    <t xml:space="preserve">8952020021241726245 </t>
  </si>
  <si>
    <t>LILIANA ISABEL</t>
  </si>
  <si>
    <t>DEL CAMPO</t>
  </si>
  <si>
    <t>liliana_delcampo@homedepot.com.mx</t>
  </si>
  <si>
    <t xml:space="preserve">8952020021241726153 </t>
  </si>
  <si>
    <t>LISSA MARIEL GUADALUPE</t>
  </si>
  <si>
    <t>MANZANARES</t>
  </si>
  <si>
    <t>PROPERTY MANAGEMENT SPECIALIST</t>
  </si>
  <si>
    <t>lissa_huerta@homedepot.com.mx</t>
  </si>
  <si>
    <t xml:space="preserve">8952020021440171177 </t>
  </si>
  <si>
    <t>860900062338249</t>
  </si>
  <si>
    <t>LUCIA DEL CARMEN</t>
  </si>
  <si>
    <t>ALMARAZ</t>
  </si>
  <si>
    <t>SUPPLY CHAIN ADMINISTRATIVE ASSISTANT</t>
  </si>
  <si>
    <t>lucia_almaraz@homedepot.com.mx</t>
  </si>
  <si>
    <t>Lucia-Almaraz@homedepot.com.mx</t>
  </si>
  <si>
    <t xml:space="preserve">8952020021241727318 </t>
  </si>
  <si>
    <t>DROPSHIP PARCEL COORDINATOR</t>
  </si>
  <si>
    <t>lucia_ortiz@homedepot.com.mx</t>
  </si>
  <si>
    <t xml:space="preserve">8952020021444325043 </t>
  </si>
  <si>
    <t>860900062264239</t>
  </si>
  <si>
    <t>YEPEZ</t>
  </si>
  <si>
    <t>lucia_vega@homedepot.com.mx</t>
  </si>
  <si>
    <t xml:space="preserve">8952020523140390247 </t>
  </si>
  <si>
    <t>860900062319819</t>
  </si>
  <si>
    <t>LUCIANA</t>
  </si>
  <si>
    <t>luciana_montalvo@homedepot.com.mx</t>
  </si>
  <si>
    <t xml:space="preserve">8952020219543237925 </t>
  </si>
  <si>
    <t>351307357550254</t>
  </si>
  <si>
    <t>LUCIBENY</t>
  </si>
  <si>
    <t>lucibeny_yanez@homedepot.com.mx</t>
  </si>
  <si>
    <t xml:space="preserve">8952020022340550817 </t>
  </si>
  <si>
    <t>8061-humrec4@homedepot.com.mx</t>
  </si>
  <si>
    <t xml:space="preserve">8952020021241727516 </t>
  </si>
  <si>
    <t>se hizo cambio de equipo antes de renovacion por un CPH2599</t>
  </si>
  <si>
    <t>CALVO</t>
  </si>
  <si>
    <t>CANSINO</t>
  </si>
  <si>
    <t>luis_calvo@homedepot.com.mx</t>
  </si>
  <si>
    <t xml:space="preserve">8952020920661711746 </t>
  </si>
  <si>
    <t>luis_castillo@homdepot.com.mx</t>
  </si>
  <si>
    <t>1041431@homedepot.com.mx</t>
  </si>
  <si>
    <t xml:space="preserve">8952020921242744743 </t>
  </si>
  <si>
    <t>luis_barraza@homedepot.com.mx</t>
  </si>
  <si>
    <t>355057@homedepot.com.mx</t>
  </si>
  <si>
    <t xml:space="preserve">8952020518612915901 </t>
  </si>
  <si>
    <t xml:space="preserve">Se entrego Iphone 14 </t>
  </si>
  <si>
    <t>DEL VILLAR</t>
  </si>
  <si>
    <t>luis_delvillar@homedepot.com.mx</t>
  </si>
  <si>
    <t>Luis-DelVillar@homedepot.com.mx</t>
  </si>
  <si>
    <t xml:space="preserve">8952020521270815769 </t>
  </si>
  <si>
    <t>LUIS MANUEL</t>
  </si>
  <si>
    <t>PAYAN</t>
  </si>
  <si>
    <t>OPERATIONS SUPPORT DIRECTOR</t>
  </si>
  <si>
    <t>luis_gonzalez@homedepot.com.mx</t>
  </si>
  <si>
    <t xml:space="preserve">8952020021391851256 </t>
  </si>
  <si>
    <t>luis_hernandez@homedepot.com.mx</t>
  </si>
  <si>
    <t>650318@homedepot.com.mx</t>
  </si>
  <si>
    <t xml:space="preserve">8952020021391851710 </t>
  </si>
  <si>
    <t>Luis_juarez@homedepot.com.mx</t>
  </si>
  <si>
    <t>960070@homedepot.com.mx</t>
  </si>
  <si>
    <t xml:space="preserve">8952020520522107827 </t>
  </si>
  <si>
    <t>MERCHANDISING PROJECT ADMIN SPECIALIST</t>
  </si>
  <si>
    <t>luis_martinez@homedepot.com.mx</t>
  </si>
  <si>
    <t>Luis-Martinez@homedepot.com.mx</t>
  </si>
  <si>
    <t xml:space="preserve">8952020020340515657 </t>
  </si>
  <si>
    <t>860900062255369</t>
  </si>
  <si>
    <t>LUIS JAVIER</t>
  </si>
  <si>
    <t>CEPEDA</t>
  </si>
  <si>
    <t>luis_mendoza@homedepot.com.mx</t>
  </si>
  <si>
    <t xml:space="preserve">8952020021148630201 </t>
  </si>
  <si>
    <t>luis_pena@homedepot.com.mx</t>
  </si>
  <si>
    <t>Luis-Pena@homedepot.com.mx</t>
  </si>
  <si>
    <t xml:space="preserve">8952020020340516267 </t>
  </si>
  <si>
    <t>860900062335559</t>
  </si>
  <si>
    <t>DIRECTION ASSISTANT</t>
  </si>
  <si>
    <t>luisa_delgado@homedepot.com.mx</t>
  </si>
  <si>
    <t xml:space="preserve">8952020021241480934 </t>
  </si>
  <si>
    <t>JESSICA MABEL</t>
  </si>
  <si>
    <t>HOME DELIVERY MANAGER</t>
  </si>
  <si>
    <t>mabel_gomez@homedepot.com.mx</t>
  </si>
  <si>
    <t>1021992@homedepot.com.mx</t>
  </si>
  <si>
    <t xml:space="preserve">8952020219240298220 </t>
  </si>
  <si>
    <t>860900062238589</t>
  </si>
  <si>
    <t>ANTUNEZ</t>
  </si>
  <si>
    <t>ORANGE APRON MEDIA COORDINATOR</t>
  </si>
  <si>
    <t>Manuel_antunez@homedepot.com.mx</t>
  </si>
  <si>
    <t>1041964@homedepot.com.mx</t>
  </si>
  <si>
    <t xml:space="preserve">8952020021440171185 </t>
  </si>
  <si>
    <t>860900062337969</t>
  </si>
  <si>
    <t>MET DIRECTOR</t>
  </si>
  <si>
    <t>manuel_reyes@homedepot.com.mx</t>
  </si>
  <si>
    <t>Manuel-Reyes@homedepot.com.mx</t>
  </si>
  <si>
    <t xml:space="preserve">8952020918392328046 </t>
  </si>
  <si>
    <t>DE LA RIVA</t>
  </si>
  <si>
    <t>CORPORATE SECURITY DEPARMENT HEAD</t>
  </si>
  <si>
    <t>Manuel-DeLaRiva@homedepot.com.mx</t>
  </si>
  <si>
    <t xml:space="preserve">8952020021241727433 </t>
  </si>
  <si>
    <t>MARCELA</t>
  </si>
  <si>
    <t>marcela_cavazos@homedepot.com.mx</t>
  </si>
  <si>
    <t>1031516@homedepot.com.mx</t>
  </si>
  <si>
    <t xml:space="preserve">8952020020340518214 </t>
  </si>
  <si>
    <t>860900062335153</t>
  </si>
  <si>
    <t>MARCELA CATALINA</t>
  </si>
  <si>
    <t>marcela_palacios@homedepot.com.mx</t>
  </si>
  <si>
    <t xml:space="preserve">8952020921544151480 </t>
  </si>
  <si>
    <t>358366320604799</t>
  </si>
  <si>
    <t>MARCELA ELIZABETH</t>
  </si>
  <si>
    <t>URZUA</t>
  </si>
  <si>
    <t>marcela_urzua@homedepot.com.mx</t>
  </si>
  <si>
    <t>Marcela-Urzua@homedepot.com.mx</t>
  </si>
  <si>
    <t xml:space="preserve">8952020219543237941 </t>
  </si>
  <si>
    <t>860900062336847</t>
  </si>
  <si>
    <t>MARCELO RUFINO</t>
  </si>
  <si>
    <t>DE ZAMACONA</t>
  </si>
  <si>
    <t>COMMERCIAL ADMINISTRATION SR MANAGER</t>
  </si>
  <si>
    <t>marcelo_dezamacona@homedepot.com.mx</t>
  </si>
  <si>
    <t xml:space="preserve">8952020021440171037 </t>
  </si>
  <si>
    <t>358366320786224</t>
  </si>
  <si>
    <t>LOGISTICS DEVELOPMENT COORDINATOR</t>
  </si>
  <si>
    <t>marco_diaz@homedepot.com.mx</t>
  </si>
  <si>
    <t>Marco-Diaz@homedepot.com.mx</t>
  </si>
  <si>
    <t xml:space="preserve">8952020020340515319 </t>
  </si>
  <si>
    <t>860900062336250</t>
  </si>
  <si>
    <t>MARCO ANTULIO</t>
  </si>
  <si>
    <t>SOFTWARE ENGINEER LEADER</t>
  </si>
  <si>
    <t>marco_nieto@homedepot.com.mx</t>
  </si>
  <si>
    <t>Marco-Nieto@homedepot.com.mx</t>
  </si>
  <si>
    <t xml:space="preserve">8952020021241728027 </t>
  </si>
  <si>
    <t>Marco_ovalle@homedepot.com.mx</t>
  </si>
  <si>
    <t>marco-ovalle@homedepot.com.mx</t>
  </si>
  <si>
    <t xml:space="preserve">8952020024447002429 </t>
  </si>
  <si>
    <t>TAX MANAGER</t>
  </si>
  <si>
    <t>marco_tovar@homedepot.com.mx</t>
  </si>
  <si>
    <t xml:space="preserve">8952020021444325076 </t>
  </si>
  <si>
    <t>860900062338553</t>
  </si>
  <si>
    <t>DROPSHIP VENDOR COMPLIANCE SPECIALIST</t>
  </si>
  <si>
    <t>margarita_gil@homedepot.com.mx</t>
  </si>
  <si>
    <t xml:space="preserve">8952020024446998924 </t>
  </si>
  <si>
    <t>MARIA DE LOS ANGELES</t>
  </si>
  <si>
    <t>maria_martinez@homedepot.com.mx</t>
  </si>
  <si>
    <t>Maria-Martinez@homedepot.com.mx</t>
  </si>
  <si>
    <t xml:space="preserve">8952020520498312351 </t>
  </si>
  <si>
    <t>860900062336334</t>
  </si>
  <si>
    <t>maria_medina@homedepot.com.mx</t>
  </si>
  <si>
    <t>Maria-Medina@homedepot.com.mx</t>
  </si>
  <si>
    <t xml:space="preserve">8952020920410337785 </t>
  </si>
  <si>
    <t>MARIA ROSA</t>
  </si>
  <si>
    <t>BANKING SERVICES DEPARTAMENT HEAD</t>
  </si>
  <si>
    <t>Maria_Rodriguez@homedepot.com.mx</t>
  </si>
  <si>
    <t xml:space="preserve">8952020021148630136 </t>
  </si>
  <si>
    <t>860900062732409</t>
  </si>
  <si>
    <t>MARIA EUGENIA</t>
  </si>
  <si>
    <t>VALERDI</t>
  </si>
  <si>
    <t>maria_valerdi@homedepot.com.mx</t>
  </si>
  <si>
    <t>Maria-Valerdi@homedepot.com.mx</t>
  </si>
  <si>
    <t xml:space="preserve">8952020519371172718 </t>
  </si>
  <si>
    <t>860900062337647</t>
  </si>
  <si>
    <t>MARIANA ELIZABETH</t>
  </si>
  <si>
    <t>INVENTORY &amp; PARAMETRIZATION MANAGER</t>
  </si>
  <si>
    <t>mariana_deleon@homedepot.com.mx</t>
  </si>
  <si>
    <t>Mariana-DeLeon@homedepot.com.mx</t>
  </si>
  <si>
    <t xml:space="preserve">8952020021241728282 </t>
  </si>
  <si>
    <t>VILLAGRAN</t>
  </si>
  <si>
    <t>CAMARENA</t>
  </si>
  <si>
    <t>EXTENDED BAY &amp; SPECIAL ORDERS DELIVERY COORDINATOR</t>
  </si>
  <si>
    <t>mariana_villagran@homedepot.com.mx</t>
  </si>
  <si>
    <t xml:space="preserve">8952020921246259037 </t>
  </si>
  <si>
    <t>860900062335013</t>
  </si>
  <si>
    <t>HR SSC MANAGER</t>
  </si>
  <si>
    <t>mariana_villarreal@homedepot.com.mx</t>
  </si>
  <si>
    <t xml:space="preserve">8952020024645531484 </t>
  </si>
  <si>
    <t xml:space="preserve">Entro al puesto de ana mijares </t>
  </si>
  <si>
    <t>MARIANELA</t>
  </si>
  <si>
    <t>VILLAR</t>
  </si>
  <si>
    <t>ZECEÑA</t>
  </si>
  <si>
    <t>marianela_villar@homedepot.com.mx</t>
  </si>
  <si>
    <t>1065922@homedepot.com.mx</t>
  </si>
  <si>
    <t xml:space="preserve">8952020021241726377 </t>
  </si>
  <si>
    <t>860900062337779</t>
  </si>
  <si>
    <t>HR FIELD SR MANAGER</t>
  </si>
  <si>
    <t>maribel_cruz@homedepot.com.mx</t>
  </si>
  <si>
    <t>Maribel-Cruz@homedepot.com.mx</t>
  </si>
  <si>
    <t xml:space="preserve">8952020021391851124 </t>
  </si>
  <si>
    <t>maribel_villalobos@homedepot.com.mx</t>
  </si>
  <si>
    <t>Maribel-Villalobos@homedepot.com.mx</t>
  </si>
  <si>
    <t xml:space="preserve">8952020021241727623 </t>
  </si>
  <si>
    <t>MARIELA MADELEIN</t>
  </si>
  <si>
    <t>PROPERTY MANAGEMENT DEPARTMENT HEAD</t>
  </si>
  <si>
    <t>mariela_martinez@homedepot.com.mx</t>
  </si>
  <si>
    <t>Mariela-Martinez@homedepot.com.mx</t>
  </si>
  <si>
    <t xml:space="preserve">8952020021241726062 </t>
  </si>
  <si>
    <t>865356065671018</t>
  </si>
  <si>
    <t>MARINA ARACELY</t>
  </si>
  <si>
    <t>marina_trevino@homedepot.com.mx</t>
  </si>
  <si>
    <t>1048541@homedepot.com.mx</t>
  </si>
  <si>
    <t xml:space="preserve">8952020022340550122 </t>
  </si>
  <si>
    <t>860900062336185</t>
  </si>
  <si>
    <t>CONTROLLER SR DIRECTOR</t>
  </si>
  <si>
    <t>mario_gutierrez@homedepot.com.mx</t>
  </si>
  <si>
    <t xml:space="preserve">8952020021241727193 </t>
  </si>
  <si>
    <t>MARLEN ALEJANDRA</t>
  </si>
  <si>
    <t>marlen_flores@homedepot.com.mx</t>
  </si>
  <si>
    <t>Marlen-Flores@homedepot.com.mx</t>
  </si>
  <si>
    <t xml:space="preserve">8952020920540492500 </t>
  </si>
  <si>
    <t>860900062257670</t>
  </si>
  <si>
    <t>MARTHA TRINIDAD</t>
  </si>
  <si>
    <t>martha_preciado@homedepot.com.mx</t>
  </si>
  <si>
    <t>270543@homedepot.com.mx</t>
  </si>
  <si>
    <t xml:space="preserve">8952020020252232895 </t>
  </si>
  <si>
    <t>860900062254099</t>
  </si>
  <si>
    <t>MARTINIANO DE JESUS</t>
  </si>
  <si>
    <t>MERAZ</t>
  </si>
  <si>
    <t>martiniano_meraz@homedepot.com.mx</t>
  </si>
  <si>
    <t xml:space="preserve">8952020021391851538 </t>
  </si>
  <si>
    <t>Luis_davila@homedepot.com.mx</t>
  </si>
  <si>
    <t xml:space="preserve">8952020021241727961 </t>
  </si>
  <si>
    <t>351307358378838</t>
  </si>
  <si>
    <t>LINEA DE PRUEBAS 2 PARA EQUIPOS no configurar este equipo</t>
  </si>
  <si>
    <t>DFC LOGISTICS SOLUTIONS DESIGN COORDINATOR</t>
  </si>
  <si>
    <t>mauricio-gonzalez@homedepot.com.mx</t>
  </si>
  <si>
    <t xml:space="preserve">8952020921544151472 </t>
  </si>
  <si>
    <t>351307358454373</t>
  </si>
  <si>
    <t>MELBA CONCEPCION</t>
  </si>
  <si>
    <t>melba_serrano@homedepot.com.mx</t>
  </si>
  <si>
    <t xml:space="preserve">8952020022340550163 </t>
  </si>
  <si>
    <t>351307359639527</t>
  </si>
  <si>
    <t>MELISSA ANAHI</t>
  </si>
  <si>
    <t>IMPORT COORDINATOR</t>
  </si>
  <si>
    <t>melissa_gonzalez@homedepot.com.mx</t>
  </si>
  <si>
    <t>melissa-gonzalez@homedepot.com.mx</t>
  </si>
  <si>
    <t xml:space="preserve">8952020021440171029 </t>
  </si>
  <si>
    <t>860900062338272</t>
  </si>
  <si>
    <t>MIGUEL SEBASTIAN</t>
  </si>
  <si>
    <t>ASSAD</t>
  </si>
  <si>
    <t>MIGUEL_CAMACHO@HOMEDEPOT.COM.MX</t>
  </si>
  <si>
    <t>1045285@homedepot.com.mx</t>
  </si>
  <si>
    <t xml:space="preserve">8952020021440171961 </t>
  </si>
  <si>
    <t>MAINTENANCE DEPARTMENT HEAD</t>
  </si>
  <si>
    <t>miguel_delangel@homedepot.com.mx</t>
  </si>
  <si>
    <t>1034510@homedepot.com.mx</t>
  </si>
  <si>
    <t xml:space="preserve">8952020021241728241 </t>
  </si>
  <si>
    <t>MIGUEL MARCELO</t>
  </si>
  <si>
    <t>Miguel_Martinez@homedepot.com.mx</t>
  </si>
  <si>
    <t xml:space="preserve">8952020024446998940 </t>
  </si>
  <si>
    <t>SR PRO BUSINESS OPERATIONS ADMINISTRATOR</t>
  </si>
  <si>
    <t>miguel_pascual@homedepot.com.mx</t>
  </si>
  <si>
    <t xml:space="preserve">8952020523342145126 </t>
  </si>
  <si>
    <t>860478060660419</t>
  </si>
  <si>
    <t>2022-10-31</t>
  </si>
  <si>
    <t>2024-10-31</t>
  </si>
  <si>
    <t>MILDRED JOCELYN</t>
  </si>
  <si>
    <t>REGULATORY COMPLIANCE LAWYER</t>
  </si>
  <si>
    <t>mildred_velez@homedepot.com.mx</t>
  </si>
  <si>
    <t xml:space="preserve">8952020021241728274 </t>
  </si>
  <si>
    <t>MILTON GABRIEL</t>
  </si>
  <si>
    <t>VIGIL</t>
  </si>
  <si>
    <t>milton_vigil@homedepot.com.mx</t>
  </si>
  <si>
    <t>Milton-Vigil@homedepot.com.mx</t>
  </si>
  <si>
    <t xml:space="preserve">8952020021241727169 </t>
  </si>
  <si>
    <t>mauricio_mendez@homedepot.com.mx</t>
  </si>
  <si>
    <t>Mauricio-Mendez@homedepot.com.mx</t>
  </si>
  <si>
    <t xml:space="preserve">8952020021241726625 </t>
  </si>
  <si>
    <t>PRO MERCHANDISING MANAGER</t>
  </si>
  <si>
    <t>moises_garza@homedepot.com.mx</t>
  </si>
  <si>
    <t>Moises-Garza@homedepot.com.mx</t>
  </si>
  <si>
    <t xml:space="preserve">8952020021241727060 </t>
  </si>
  <si>
    <t>MONICA CRISTINA</t>
  </si>
  <si>
    <t>GUILLEN</t>
  </si>
  <si>
    <t>MONICA_GUILLEN@HOMEDEPOT.COM.MX</t>
  </si>
  <si>
    <t xml:space="preserve">8952020022340550031 </t>
  </si>
  <si>
    <t>860900062254768</t>
  </si>
  <si>
    <t>MONICA DEL CARMEN</t>
  </si>
  <si>
    <t>OLIVA</t>
  </si>
  <si>
    <t>SR BANKING RECONCILIATIONS</t>
  </si>
  <si>
    <t>monica_gutierrez@homedepot.com.mx</t>
  </si>
  <si>
    <t xml:space="preserve">8952020020340517869 </t>
  </si>
  <si>
    <t>860900062333893</t>
  </si>
  <si>
    <t>mitzy_longoria@homedepot.com.mx</t>
  </si>
  <si>
    <t>1017335@homedepot.com.mx</t>
  </si>
  <si>
    <t xml:space="preserve">8952020021241482674 </t>
  </si>
  <si>
    <t>N/A</t>
  </si>
  <si>
    <t xml:space="preserve">8952020921544151803 </t>
  </si>
  <si>
    <t>INTPLUSEMPRESA 6 C12</t>
  </si>
  <si>
    <t>NANCY ELIZABETH</t>
  </si>
  <si>
    <t>RISK MANAGEMENT SPECIALIST</t>
  </si>
  <si>
    <t>nancy_gonzalez@homedepot.com.mx</t>
  </si>
  <si>
    <t xml:space="preserve">8952020021444325118 </t>
  </si>
  <si>
    <t>860900062264346</t>
  </si>
  <si>
    <t>NANCY</t>
  </si>
  <si>
    <t>nancy_lozano@homedepot.com.mx</t>
  </si>
  <si>
    <t>Nancy-Lozano@homedepot.com.mx</t>
  </si>
  <si>
    <t xml:space="preserve">8952020021241727334 </t>
  </si>
  <si>
    <t>NANCY AURORA</t>
  </si>
  <si>
    <t>nancy_silva@homedepot.com.mx</t>
  </si>
  <si>
    <t>6896@homedepot.com.mx</t>
  </si>
  <si>
    <t xml:space="preserve">8952020021440171011 </t>
  </si>
  <si>
    <t>860900062337944</t>
  </si>
  <si>
    <t>NATALIA CAROLINA</t>
  </si>
  <si>
    <t>HR ADMINISTRATIVE ASSISTANT</t>
  </si>
  <si>
    <t>natalia_cantu@homedepot.com.mx</t>
  </si>
  <si>
    <t>Natalia-Cantu@homedepot.com.mx</t>
  </si>
  <si>
    <t xml:space="preserve">8952020020340517778 </t>
  </si>
  <si>
    <t>860900062238654</t>
  </si>
  <si>
    <t>NEREYDA ANETTE</t>
  </si>
  <si>
    <t>nereyda_gutierrez@homedepot.com.mx</t>
  </si>
  <si>
    <t xml:space="preserve">8952020020340517976 </t>
  </si>
  <si>
    <t>860900062732425</t>
  </si>
  <si>
    <t>NESTOR ALEJANDRO</t>
  </si>
  <si>
    <t>nestor_cantu@homedepot.com.mx</t>
  </si>
  <si>
    <t xml:space="preserve">8952020221440704155 </t>
  </si>
  <si>
    <t>NORA MANUELA</t>
  </si>
  <si>
    <t>IGLESIAS</t>
  </si>
  <si>
    <t>nora_iglesias@homedepot.com.mx</t>
  </si>
  <si>
    <t>Nora-Iglesias@homedepot.com.mx</t>
  </si>
  <si>
    <t xml:space="preserve">8952020020340517984 </t>
  </si>
  <si>
    <t>860900062732441</t>
  </si>
  <si>
    <t>NORA NELLY</t>
  </si>
  <si>
    <t>MEGIA</t>
  </si>
  <si>
    <t>nora_megia@homedepot.com.mx</t>
  </si>
  <si>
    <t xml:space="preserve">8952020921544131375 </t>
  </si>
  <si>
    <t>860900062264403</t>
  </si>
  <si>
    <t>NORMA JANET</t>
  </si>
  <si>
    <t>LOGISTIC CENTERS QUALITY DEPARTMENT HEAD</t>
  </si>
  <si>
    <t>Norma_rodriguez@homedepot.com.mx</t>
  </si>
  <si>
    <t>1037562@homedepot.com.mx</t>
  </si>
  <si>
    <t xml:space="preserve">8952020520543090994 </t>
  </si>
  <si>
    <t>860900062334867</t>
  </si>
  <si>
    <t>ANALIA AZARY</t>
  </si>
  <si>
    <t>MAINTENANCE SPECIALIST</t>
  </si>
  <si>
    <t>Novar-Mtto@homedepot.com.mx</t>
  </si>
  <si>
    <t xml:space="preserve">8952020021241728159 </t>
  </si>
  <si>
    <t>octavio_casas@homedepot.com.mx</t>
  </si>
  <si>
    <t>1036829@homedepot.com.mx</t>
  </si>
  <si>
    <t xml:space="preserve">8952020021241728258 </t>
  </si>
  <si>
    <t>LOGISTICS CENTER OPERATIONS SUPPORT MANAGER</t>
  </si>
  <si>
    <t>oliver_bravo@homedepot.com.mx</t>
  </si>
  <si>
    <t>oliver-bravo@homedepot.com.mx</t>
  </si>
  <si>
    <t xml:space="preserve">8952020622442628039 </t>
  </si>
  <si>
    <t xml:space="preserve">8952020519441413217 </t>
  </si>
  <si>
    <t>864562021371731</t>
  </si>
  <si>
    <t xml:space="preserve">ALCATEL        </t>
  </si>
  <si>
    <t>2025-05-24</t>
  </si>
  <si>
    <t xml:space="preserve">DATOS TB 30GB 18M   </t>
  </si>
  <si>
    <t>OLIVIA XOCHITL</t>
  </si>
  <si>
    <t>VARA</t>
  </si>
  <si>
    <t>olivia_vara@homedepot.com.mx</t>
  </si>
  <si>
    <t xml:space="preserve">8952020021391851074 </t>
  </si>
  <si>
    <t>ECOMMERCE SALES RISK DEPARTMENT HEAD</t>
  </si>
  <si>
    <t xml:space="preserve">8952020221641341112 </t>
  </si>
  <si>
    <t>860900062334248</t>
  </si>
  <si>
    <t>OMAR ALEJANDRO</t>
  </si>
  <si>
    <t>IT STORE SERVICES MANAGER</t>
  </si>
  <si>
    <t>omar_bravo@homedepot.com.mx</t>
  </si>
  <si>
    <t>Omar-Bravo@homedepot.com.mx</t>
  </si>
  <si>
    <t xml:space="preserve">8952020019348092743 </t>
  </si>
  <si>
    <t>OMAR ALFONSO</t>
  </si>
  <si>
    <t>INFORMATION SECURITY SR MANAGER</t>
  </si>
  <si>
    <t>omar_castanon@homedepot.com.mx</t>
  </si>
  <si>
    <t xml:space="preserve">8952020520640060973 </t>
  </si>
  <si>
    <t>18848053</t>
  </si>
  <si>
    <t xml:space="preserve">Asociado entro a la empresa en puesto existente </t>
  </si>
  <si>
    <t>OMAR FABIAN</t>
  </si>
  <si>
    <t>MANCILLA</t>
  </si>
  <si>
    <t>omar_mancilla@homedepot.com.mx</t>
  </si>
  <si>
    <t>Omar-Mancilla@homedepot.com.mx</t>
  </si>
  <si>
    <t xml:space="preserve">8952020020340515533 </t>
  </si>
  <si>
    <t>860900062337662</t>
  </si>
  <si>
    <t>MURO</t>
  </si>
  <si>
    <t>omar_muro@homedepot.com.mx</t>
  </si>
  <si>
    <t>Omar-Muro@homedepot.com.mx</t>
  </si>
  <si>
    <t xml:space="preserve">8952020520652193910 </t>
  </si>
  <si>
    <t>ORALIA</t>
  </si>
  <si>
    <t>FIERROS</t>
  </si>
  <si>
    <t>ORALIA_MORALES@HOMEDEPOT.COM.M.X</t>
  </si>
  <si>
    <t>455002@homedepot.com.mx</t>
  </si>
  <si>
    <t xml:space="preserve">8952020021148630185 </t>
  </si>
  <si>
    <t>OSCAR IVAN</t>
  </si>
  <si>
    <t>ALBORES</t>
  </si>
  <si>
    <t>ZEPEDA</t>
  </si>
  <si>
    <t>REGULATORY COMPLIANCE DH</t>
  </si>
  <si>
    <t>OSCAR_ALBORES@HOMEDEPOT.COM.M.X</t>
  </si>
  <si>
    <t>1044027@homedepot.com.mx</t>
  </si>
  <si>
    <t xml:space="preserve">8952020021241480967 </t>
  </si>
  <si>
    <t>860900062255336</t>
  </si>
  <si>
    <t>OPPO CPH2239</t>
  </si>
  <si>
    <t>OPPO A54</t>
  </si>
  <si>
    <t>SUPPLY CHAIN OPERATIONS PROJECTS COORDINATOR</t>
  </si>
  <si>
    <t>oscar_garza@homedepot.com.mx</t>
  </si>
  <si>
    <t>Oscar-Garza@homedepot.com.mx</t>
  </si>
  <si>
    <t xml:space="preserve">8952020220441563867 </t>
  </si>
  <si>
    <t>860900062732458</t>
  </si>
  <si>
    <t>OSCAR EDUARDO</t>
  </si>
  <si>
    <t>oscar_quintero@homedepot.com.mx</t>
  </si>
  <si>
    <t>Oscar-Quintero@homedepot.com.mx</t>
  </si>
  <si>
    <t xml:space="preserve">8952020021241727292 </t>
  </si>
  <si>
    <t>oscar_torres@homedepot.com.mx</t>
  </si>
  <si>
    <t>Oscar-Torres@homedepot.com.mx</t>
  </si>
  <si>
    <t xml:space="preserve">8952020518621908640 </t>
  </si>
  <si>
    <t>860900062735782</t>
  </si>
  <si>
    <t>OSCAR RAUL</t>
  </si>
  <si>
    <t>oscar_villarreal@homedepot.com.mx</t>
  </si>
  <si>
    <t>Oscar-Villarreal@homedepot.com.mx</t>
  </si>
  <si>
    <t xml:space="preserve">8952020021241727201 </t>
  </si>
  <si>
    <t>OSVALDO</t>
  </si>
  <si>
    <t>osvaldo_flores@homedepot.com.mx</t>
  </si>
  <si>
    <t>Osvaldo-Flores@homedepot.com.mx</t>
  </si>
  <si>
    <t xml:space="preserve">8952020520498350500 </t>
  </si>
  <si>
    <t>860900062256664</t>
  </si>
  <si>
    <t>pablo_gonzalez@homedepot.com.mx</t>
  </si>
  <si>
    <t>Pablo-Gonzalez@homedepot.com.mx</t>
  </si>
  <si>
    <t xml:space="preserve">8952020020340517992 </t>
  </si>
  <si>
    <t>860900062257571</t>
  </si>
  <si>
    <t>PALOMA YADIRA</t>
  </si>
  <si>
    <t>MERCHANDISING ADMINISTRAVE  ASSISTANT</t>
  </si>
  <si>
    <t>paloma_gomez@homedepot.com.mx</t>
  </si>
  <si>
    <t>Paloma-Gomez@homedepot.com.mx</t>
  </si>
  <si>
    <t xml:space="preserve">8952020020340515905 </t>
  </si>
  <si>
    <t>860900062335732</t>
  </si>
  <si>
    <t>no paso por su equipo 2025 feb</t>
  </si>
  <si>
    <t>ANA PAOLA</t>
  </si>
  <si>
    <t>MELGOZA</t>
  </si>
  <si>
    <t>INTERNAL COMMUNICATION MANAGER</t>
  </si>
  <si>
    <t>paola_melgoza@homedepot.com.mx</t>
  </si>
  <si>
    <t xml:space="preserve">8952020021444325670 </t>
  </si>
  <si>
    <t>356638832340191</t>
  </si>
  <si>
    <t>oliver_chavez@homedepot.com.mx</t>
  </si>
  <si>
    <t xml:space="preserve">8952020518630104538 </t>
  </si>
  <si>
    <t>860900062257373</t>
  </si>
  <si>
    <t>PATRICIA EDITH</t>
  </si>
  <si>
    <t>BALANDRANO</t>
  </si>
  <si>
    <t>ADMINISTRATIVE ASSISTANT</t>
  </si>
  <si>
    <t>patricia_balandrano@homedepot.com.mx</t>
  </si>
  <si>
    <t>patricia-balandrano@homedepot.com.mx</t>
  </si>
  <si>
    <t xml:space="preserve">8952020021241727375 </t>
  </si>
  <si>
    <t>ANA PATRICIA</t>
  </si>
  <si>
    <t>patricia_martinez@homedepot.com.mx</t>
  </si>
  <si>
    <t>760247@homedepot.com.mx</t>
  </si>
  <si>
    <t xml:space="preserve">8952020520498312740 </t>
  </si>
  <si>
    <t>860900062337936</t>
  </si>
  <si>
    <t>CHRISTIAN PAUL</t>
  </si>
  <si>
    <t>SR DIGITAL PROJECTS</t>
  </si>
  <si>
    <t>paul_ramirez@homedepot.com.mx</t>
  </si>
  <si>
    <t>juan_gomez@homedepot.com.mx</t>
  </si>
  <si>
    <t xml:space="preserve">8952020520543090986 </t>
  </si>
  <si>
    <t>860900062335062</t>
  </si>
  <si>
    <t>PAULINA</t>
  </si>
  <si>
    <t>DUARTE</t>
  </si>
  <si>
    <t>MANCERA</t>
  </si>
  <si>
    <t>paulina_duarte@homedepot.com.mx</t>
  </si>
  <si>
    <t xml:space="preserve">8952020021241728266 </t>
  </si>
  <si>
    <t>860900062337118</t>
  </si>
  <si>
    <t>paulina_hurtado@homedepot.com.mx</t>
  </si>
  <si>
    <t xml:space="preserve">8952020021444325209 </t>
  </si>
  <si>
    <t>CAPULA</t>
  </si>
  <si>
    <t>paulina_soto@homedepot.com.mx</t>
  </si>
  <si>
    <t xml:space="preserve">8952020521270815744 </t>
  </si>
  <si>
    <t>PEDRO ANTONIO</t>
  </si>
  <si>
    <t>PEDRO_TAPIA@homedepot.com.mx</t>
  </si>
  <si>
    <t>Pedro-Tapia@homedepot.com.mx</t>
  </si>
  <si>
    <t xml:space="preserve">8952020921270884114 </t>
  </si>
  <si>
    <t>860900062337704</t>
  </si>
  <si>
    <t>DIVISIONAL PRESIDENT</t>
  </si>
  <si>
    <t>pepe_rodriguez@homedepot.com.mx</t>
  </si>
  <si>
    <t xml:space="preserve">8952020521240869367 </t>
  </si>
  <si>
    <t>351584130371824</t>
  </si>
  <si>
    <t>iPhone 14 Pro (128 GB Space Black)</t>
  </si>
  <si>
    <t>2023-07-28</t>
  </si>
  <si>
    <t>2025-07-28</t>
  </si>
  <si>
    <t xml:space="preserve">PEMPRESA 9D 24VTR   </t>
  </si>
  <si>
    <t xml:space="preserve">CORPORATIVO 9 - 67.5GB </t>
  </si>
  <si>
    <t xml:space="preserve">es del presidente, el mero mero </t>
  </si>
  <si>
    <t>ESPECIALISTA DE IMPORTACION</t>
  </si>
  <si>
    <t>perla_jimenez@homedepot.com.mx</t>
  </si>
  <si>
    <t xml:space="preserve">8952020020340515350 </t>
  </si>
  <si>
    <t>860900062338199</t>
  </si>
  <si>
    <t>PERLA MILITZA</t>
  </si>
  <si>
    <t>perla_parra@homedepot.com.mx</t>
  </si>
  <si>
    <t xml:space="preserve">8952020020340516416 </t>
  </si>
  <si>
    <t>358366320010435</t>
  </si>
  <si>
    <t>PaqueteriaDHL@homedepot.com.mx</t>
  </si>
  <si>
    <t xml:space="preserve">8952020218542574718 </t>
  </si>
  <si>
    <t>867501043094506</t>
  </si>
  <si>
    <t xml:space="preserve">HUAWEI         </t>
  </si>
  <si>
    <t xml:space="preserve">DATOS TB 10GB 18M   </t>
  </si>
  <si>
    <t xml:space="preserve">Equipo bam en DHL </t>
  </si>
  <si>
    <t>POR DEFINIR</t>
  </si>
  <si>
    <t xml:space="preserve">8952020521442963000 </t>
  </si>
  <si>
    <t>860900062271036</t>
  </si>
  <si>
    <t xml:space="preserve">8952020221641341203 </t>
  </si>
  <si>
    <t>867471072380459</t>
  </si>
  <si>
    <t xml:space="preserve">T CORPO CVPN 5 L    </t>
  </si>
  <si>
    <t xml:space="preserve">8952020020340517885 </t>
  </si>
  <si>
    <t>860900062265806</t>
  </si>
  <si>
    <t xml:space="preserve">8952020924210297736 </t>
  </si>
  <si>
    <t>PARA TIENDA CABO</t>
  </si>
  <si>
    <t xml:space="preserve">8952020924210297819 </t>
  </si>
  <si>
    <t xml:space="preserve">8952020924210297827 </t>
  </si>
  <si>
    <t xml:space="preserve">8952020021613115407 </t>
  </si>
  <si>
    <t>2025-07-29</t>
  </si>
  <si>
    <t>2026-07-29</t>
  </si>
  <si>
    <t>PARA TIENDA NUEVA tampico</t>
  </si>
  <si>
    <t xml:space="preserve">8952020020340516283 </t>
  </si>
  <si>
    <t>860900062264478</t>
  </si>
  <si>
    <t xml:space="preserve">8952020024543268684 </t>
  </si>
  <si>
    <t>861383070408982</t>
  </si>
  <si>
    <t xml:space="preserve">8952020924210297728 </t>
  </si>
  <si>
    <t xml:space="preserve">8952020020252232986 </t>
  </si>
  <si>
    <t>860478063758244</t>
  </si>
  <si>
    <t xml:space="preserve">8952020221440704106 </t>
  </si>
  <si>
    <t>MYRIAM VERONICA</t>
  </si>
  <si>
    <t>DELIVERY DRIVER</t>
  </si>
  <si>
    <t>seguridad_corporativa@homedepot.com.mx</t>
  </si>
  <si>
    <t xml:space="preserve">8952020021241727011 </t>
  </si>
  <si>
    <t>EQUIPO NO CONFIGURADO</t>
  </si>
  <si>
    <t xml:space="preserve">8952020923443536993 </t>
  </si>
  <si>
    <t>860900062336474</t>
  </si>
  <si>
    <t>NUEVO INGRESO</t>
  </si>
  <si>
    <t>8670-Storemgr@homedepot.com.mx</t>
  </si>
  <si>
    <t>8670 - MARINA MAZATLAN</t>
  </si>
  <si>
    <t>region no encontrada</t>
  </si>
  <si>
    <t>Sim no encontrada</t>
  </si>
  <si>
    <t>Sin cuenta telcel checar linea</t>
  </si>
  <si>
    <t>IMEI NO ENCONTRADO verificar linea</t>
  </si>
  <si>
    <t>Dato no encontrado</t>
  </si>
  <si>
    <t>fecha no encontrada, checar adendum</t>
  </si>
  <si>
    <t>Plan no Encontrado</t>
  </si>
  <si>
    <t>PRABU</t>
  </si>
  <si>
    <t>MANICKAM</t>
  </si>
  <si>
    <t>prabu_manickam@homedepot.com.mx</t>
  </si>
  <si>
    <t xml:space="preserve">8952020523342145084 </t>
  </si>
  <si>
    <t>860900062735972</t>
  </si>
  <si>
    <t>PERLA PRISCILA</t>
  </si>
  <si>
    <t>ZERMEÑO</t>
  </si>
  <si>
    <t>priscila_silva@homedepot.com.mx</t>
  </si>
  <si>
    <t xml:space="preserve">8952020024543268726 </t>
  </si>
  <si>
    <t>claudia_valenzuela@homedepot.com.mx</t>
  </si>
  <si>
    <t xml:space="preserve">8952020024455921890 </t>
  </si>
  <si>
    <t>JANETT</t>
  </si>
  <si>
    <t>RENDON</t>
  </si>
  <si>
    <t>pts8799-stock7@homedepot.com.mx</t>
  </si>
  <si>
    <t xml:space="preserve">8952020520498310280 </t>
  </si>
  <si>
    <t>860900062319132</t>
  </si>
  <si>
    <t>CALL CENTER SR MANAGER</t>
  </si>
  <si>
    <t>rafael_garcia@homedepot.com.mx</t>
  </si>
  <si>
    <t xml:space="preserve">8952020518141773623 </t>
  </si>
  <si>
    <t>358366320582763</t>
  </si>
  <si>
    <t>Raul_robledo@homedepot.com.mx</t>
  </si>
  <si>
    <t>Raul-Robledo@homedepot.com.mx</t>
  </si>
  <si>
    <t xml:space="preserve">8952020521130105815 </t>
  </si>
  <si>
    <t>ANA PAULA</t>
  </si>
  <si>
    <t>ana_tamez@homedepot.com.mx</t>
  </si>
  <si>
    <t xml:space="preserve">8952020021440171169 </t>
  </si>
  <si>
    <t>860900062338215</t>
  </si>
  <si>
    <t>REYNALDO</t>
  </si>
  <si>
    <t>CORRALES</t>
  </si>
  <si>
    <t>OLGUIN</t>
  </si>
  <si>
    <t>LOGISTICS PROCESS DEPARTMENT HEAD</t>
  </si>
  <si>
    <t>reynaldo_corrales@homedepot.com.mx</t>
  </si>
  <si>
    <t xml:space="preserve">8952020021444325084 </t>
  </si>
  <si>
    <t>860900062264288</t>
  </si>
  <si>
    <t>JOSE REYNALDO</t>
  </si>
  <si>
    <t>reynaldo_gamez@homedepot.com.mx</t>
  </si>
  <si>
    <t>Reynaldo-Gamez@homedepot.com.mx</t>
  </si>
  <si>
    <t xml:space="preserve">8952020021241727995 </t>
  </si>
  <si>
    <t>ricardo_hernandez@homedepot.com.mx</t>
  </si>
  <si>
    <t>Ricardo-Hernandez@homedepot.com.mx</t>
  </si>
  <si>
    <t xml:space="preserve">8952020519371172742 </t>
  </si>
  <si>
    <t>860900062337670</t>
  </si>
  <si>
    <t>RICARDO ANGEL</t>
  </si>
  <si>
    <t>Ricardo_Molina@homedepot.com.mx</t>
  </si>
  <si>
    <t xml:space="preserve">8952020024243367836 </t>
  </si>
  <si>
    <t>359928215726216</t>
  </si>
  <si>
    <t>CLOUD ARCHITECT</t>
  </si>
  <si>
    <t>ricardo_montemayor@homedepot.com.mx</t>
  </si>
  <si>
    <t xml:space="preserve">8952020921544151415 </t>
  </si>
  <si>
    <t>860900062334479</t>
  </si>
  <si>
    <t>RICARDO JAVIER</t>
  </si>
  <si>
    <t>TOME</t>
  </si>
  <si>
    <t>PRO BUSINESS OPERATIONS MANAGER</t>
  </si>
  <si>
    <t>ricardo_tome@homedepot.com.mx</t>
  </si>
  <si>
    <t>Ricardo-Tome@homedepot.com.mx</t>
  </si>
  <si>
    <t xml:space="preserve">8952020920540490975 </t>
  </si>
  <si>
    <t>860900062338504</t>
  </si>
  <si>
    <t>RIGEL ALEJANDRA</t>
  </si>
  <si>
    <t>rigel_cortes@homedepot.com.mx</t>
  </si>
  <si>
    <t>Rigel-Cortes@homedepot.com.mx</t>
  </si>
  <si>
    <t xml:space="preserve">8952020020340518081 </t>
  </si>
  <si>
    <t>860900062255377</t>
  </si>
  <si>
    <t xml:space="preserve">proservice.8708@homedepot.com.mx </t>
  </si>
  <si>
    <t>proservice.8708@homedepot.com.mx</t>
  </si>
  <si>
    <t xml:space="preserve">8952020520522107710 </t>
  </si>
  <si>
    <t>358366320593505</t>
  </si>
  <si>
    <t>roberto_aguirre@homedepot.com</t>
  </si>
  <si>
    <t>Roberto-Aguirre@homedepot.com.mx</t>
  </si>
  <si>
    <t xml:space="preserve">8952020021241727748 </t>
  </si>
  <si>
    <t xml:space="preserve">8952020921246397720 </t>
  </si>
  <si>
    <t>CUELLAR</t>
  </si>
  <si>
    <t>IN STORE ENVIRONMENTAL SR MANAGER</t>
  </si>
  <si>
    <t>roberto_cuellar@homedepot.com.mx</t>
  </si>
  <si>
    <t>Roberto-Cuellar@homedepot.com.mx</t>
  </si>
  <si>
    <t xml:space="preserve">8952020021241726518 </t>
  </si>
  <si>
    <t>PRESUEL</t>
  </si>
  <si>
    <t>roberto_dominguez@homedepot.com.mx</t>
  </si>
  <si>
    <t xml:space="preserve">8952020024243365392 </t>
  </si>
  <si>
    <t>860900062337951</t>
  </si>
  <si>
    <t>a cobrar</t>
  </si>
  <si>
    <t>roberto_jasso@homedepot.com.mx</t>
  </si>
  <si>
    <t>Roberto-Jasso@homedepot.com.mx</t>
  </si>
  <si>
    <t xml:space="preserve">8952020021241726146 </t>
  </si>
  <si>
    <t>RIVA PALACIO</t>
  </si>
  <si>
    <t>PUBLIC RELATIONS &amp; SOCIAL RESPONSIBILITY SR MANAGER</t>
  </si>
  <si>
    <t>roberto_rivapalacio@homedepot.com.mx</t>
  </si>
  <si>
    <t>Roberto-RivaPalacio@homedepot.com.mx</t>
  </si>
  <si>
    <t xml:space="preserve">8952020921544151506 </t>
  </si>
  <si>
    <t>HR SUPPLY CHAIN SUPPORT MANAGER</t>
  </si>
  <si>
    <t>rocio_martinez@homedepot.com.mx</t>
  </si>
  <si>
    <t>rocio-martinez@homedepot.com.mx</t>
  </si>
  <si>
    <t xml:space="preserve">8952020020340517901 </t>
  </si>
  <si>
    <t>358366320203014</t>
  </si>
  <si>
    <t>ROCIO AMERICA</t>
  </si>
  <si>
    <t>REAL ESTATE SR ADMINISTRATOR</t>
  </si>
  <si>
    <t>rocio_mendoza@homedepot.com.mx</t>
  </si>
  <si>
    <t xml:space="preserve">8952020022340550940 </t>
  </si>
  <si>
    <t>ROCIO ELIZABETH</t>
  </si>
  <si>
    <t>BEJARANO</t>
  </si>
  <si>
    <t>rocio_salinas@homedepot.com.mx</t>
  </si>
  <si>
    <t>Rocio-Salinas@homedepot.com.mx</t>
  </si>
  <si>
    <t xml:space="preserve">8952020021391851629 </t>
  </si>
  <si>
    <t>rodrigo_martinez@homedepot.com.mx</t>
  </si>
  <si>
    <t xml:space="preserve">8952020021241728175 </t>
  </si>
  <si>
    <t>PRO</t>
  </si>
  <si>
    <t>NUÑO</t>
  </si>
  <si>
    <t>HOME DELIVERY OPERATIONS DEPARTMENT HEAD</t>
  </si>
  <si>
    <t>rodrigo_pro@homedepot.com.mx</t>
  </si>
  <si>
    <t>1021193@homedepot.com.mx</t>
  </si>
  <si>
    <t xml:space="preserve">8952020520543480989 </t>
  </si>
  <si>
    <t>rogelio_arteaga@homedepot.com.mx</t>
  </si>
  <si>
    <t>Rogelio-Arteaga@homedepot.com.mx</t>
  </si>
  <si>
    <t xml:space="preserve">8952020520498312559 </t>
  </si>
  <si>
    <t>860900062336342</t>
  </si>
  <si>
    <t>ROSALIA</t>
  </si>
  <si>
    <t>rosalia_dominguez@homedepot.com.mx</t>
  </si>
  <si>
    <t xml:space="preserve">8952020023195128345 </t>
  </si>
  <si>
    <t xml:space="preserve">TPE CONT VPN 5 DD L </t>
  </si>
  <si>
    <t>JOSE RUBEN</t>
  </si>
  <si>
    <t>ruben_serrano@homedepot.com.mx</t>
  </si>
  <si>
    <t>Ruben-Serrano@homedepot.com.mx</t>
  </si>
  <si>
    <t xml:space="preserve">8952020021391851793 </t>
  </si>
  <si>
    <t>salvador_hernandez@homedepot.com.mx</t>
  </si>
  <si>
    <t>Salvador-Hernandez@homedepot.com.mx</t>
  </si>
  <si>
    <t xml:space="preserve">8952020021241727466 </t>
  </si>
  <si>
    <t>SUPPLY CHAIN VP</t>
  </si>
  <si>
    <t>salvador_munoz@homedepot.com.mx</t>
  </si>
  <si>
    <t>salvador-munoz@homedepot.com.mx</t>
  </si>
  <si>
    <t xml:space="preserve">8952020019348092271 </t>
  </si>
  <si>
    <t>iPhone 13 (256 GB Blue)</t>
  </si>
  <si>
    <t>NON-MERCHANDISE PROCUREMENT MANAGER</t>
  </si>
  <si>
    <t>samuel_blanco@homedepot.com.mx</t>
  </si>
  <si>
    <t xml:space="preserve">8952020019348092545 </t>
  </si>
  <si>
    <t>351307355575923</t>
  </si>
  <si>
    <t>GARDUÑO</t>
  </si>
  <si>
    <t>CARRASQUEDO</t>
  </si>
  <si>
    <t>samuel_garduno@homedepot.com.mx</t>
  </si>
  <si>
    <t xml:space="preserve">8952020024243367083 </t>
  </si>
  <si>
    <t>356638832346982</t>
  </si>
  <si>
    <t>DEL RASO</t>
  </si>
  <si>
    <t>BRAND MARKETING &amp; INTEGRATED MEDIA DIRECTOR</t>
  </si>
  <si>
    <t>sandra_araiza@homedepot.com.mx</t>
  </si>
  <si>
    <t xml:space="preserve">8952020021241727110 </t>
  </si>
  <si>
    <t>iPhone 13 (256 GB Red)</t>
  </si>
  <si>
    <t>SANDRA IRENE</t>
  </si>
  <si>
    <t>VENDOR COMPLIANCE DEPARTMENT HEAD</t>
  </si>
  <si>
    <t>sandra_guerrero@homrdepot.com.mx</t>
  </si>
  <si>
    <t>Sandra-Guerrero@homedepot.com.mx</t>
  </si>
  <si>
    <t xml:space="preserve">8952020021241726682 </t>
  </si>
  <si>
    <t>SANDRA MARITA</t>
  </si>
  <si>
    <t>sandra_romo@homedepot.com.mx</t>
  </si>
  <si>
    <t xml:space="preserve">8952020622442626801 </t>
  </si>
  <si>
    <t>860900062338462</t>
  </si>
  <si>
    <t>SANTIAGO DE JESUS</t>
  </si>
  <si>
    <t>Santiago_garcia@homedepot.com.mx</t>
  </si>
  <si>
    <t xml:space="preserve">8952020021440171938 </t>
  </si>
  <si>
    <t>SARA MARIA</t>
  </si>
  <si>
    <t>LEGAL CORPORATE DIRECTOR</t>
  </si>
  <si>
    <t>sara_rodriguez@homedepot.com.mx</t>
  </si>
  <si>
    <t>1025318@homedepot.com.mx</t>
  </si>
  <si>
    <t xml:space="preserve">8952020921246258997 </t>
  </si>
  <si>
    <t>saul_delarosa@homedepot.com.mx</t>
  </si>
  <si>
    <t>Saul-DeLaRosa@homedepot.com.mx</t>
  </si>
  <si>
    <t xml:space="preserve">8952020021241480991 </t>
  </si>
  <si>
    <t>CORPORATE SECURITY DRIVER</t>
  </si>
  <si>
    <t>Seguridad_Corporativa@homedepot.com.mx</t>
  </si>
  <si>
    <t xml:space="preserve">8952020021241728365 </t>
  </si>
  <si>
    <t>no configurado</t>
  </si>
  <si>
    <t>SERGIO VALENTE</t>
  </si>
  <si>
    <t>sergio_flores@homedepot.com.mx</t>
  </si>
  <si>
    <t xml:space="preserve">8952020622442626355 </t>
  </si>
  <si>
    <t>NETWORK ENGINEER LEADER</t>
  </si>
  <si>
    <t xml:space="preserve">Sergio_sanchez@homedepot.com.mx </t>
  </si>
  <si>
    <t>1015602@homedepot.com.mx</t>
  </si>
  <si>
    <t xml:space="preserve">8952020520543480971 </t>
  </si>
  <si>
    <t>roberto_aguirre@homedepot.com.mx</t>
  </si>
  <si>
    <t>roberto-aguirre@homedepot.com.mx</t>
  </si>
  <si>
    <t xml:space="preserve">8952020021591736240 </t>
  </si>
  <si>
    <t>860900062336417</t>
  </si>
  <si>
    <t>SHAFIC</t>
  </si>
  <si>
    <t>LARSON</t>
  </si>
  <si>
    <t>shafic_marcos@homedepot.com.mx</t>
  </si>
  <si>
    <t xml:space="preserve">8952020221641341187 </t>
  </si>
  <si>
    <t>860478062099186</t>
  </si>
  <si>
    <t>2026-06-24</t>
  </si>
  <si>
    <t>TPE CONT VPN 5 DD 18</t>
  </si>
  <si>
    <t>MA. SILVIA</t>
  </si>
  <si>
    <t>Silvia_ortiz@homedepot.com.mx</t>
  </si>
  <si>
    <t>1041420@homedepot.com.mx</t>
  </si>
  <si>
    <t xml:space="preserve">8952020021241726542 </t>
  </si>
  <si>
    <t>SOFIA VIRIDIANA</t>
  </si>
  <si>
    <t>sofia_garcia@homedepot.com.mx</t>
  </si>
  <si>
    <t>mario_garcia@homedepot.com.mx</t>
  </si>
  <si>
    <t xml:space="preserve">8952020523342145068 </t>
  </si>
  <si>
    <t>SANDRA SOFIA</t>
  </si>
  <si>
    <t>sofia_martinez@homedepot.com.mx</t>
  </si>
  <si>
    <t>sandra_martinez@homedepot.com.mx</t>
  </si>
  <si>
    <t xml:space="preserve">8952020921544128215 </t>
  </si>
  <si>
    <t>860900062338488</t>
  </si>
  <si>
    <t>SONIA ARLET</t>
  </si>
  <si>
    <t>sonia_rodriguez@homedepot.com.mx</t>
  </si>
  <si>
    <t xml:space="preserve">8952020319640510552 </t>
  </si>
  <si>
    <t>860900062334487</t>
  </si>
  <si>
    <t>STEPHAN MIGUEL</t>
  </si>
  <si>
    <t>stephan_pro@homedepot.com.mx</t>
  </si>
  <si>
    <t xml:space="preserve">8952020021241726344 </t>
  </si>
  <si>
    <t>STEPHANIE ELIZABETH</t>
  </si>
  <si>
    <t>LAST MILE PLATFORMS MANAGER</t>
  </si>
  <si>
    <t>stephanie_escamilla@homedepot.com.mx</t>
  </si>
  <si>
    <t xml:space="preserve">8952020022340550890 </t>
  </si>
  <si>
    <t>TANIA JANETH</t>
  </si>
  <si>
    <t>SR TRANSPORTATION MANAGEMENT</t>
  </si>
  <si>
    <t>tania_lozano@homedepot.com.mx</t>
  </si>
  <si>
    <t xml:space="preserve">8952020021241726229 </t>
  </si>
  <si>
    <t>TEODORO JAVIER</t>
  </si>
  <si>
    <t>teodoro_martinez@homedepot.com.mx</t>
  </si>
  <si>
    <t>Teodoro-Martinez@homedepot.com.mx</t>
  </si>
  <si>
    <t xml:space="preserve">8952020020340517851 </t>
  </si>
  <si>
    <t>860900062336169</t>
  </si>
  <si>
    <t>TERESA JAZMIN</t>
  </si>
  <si>
    <t>teresa_guerrero@homedepot.com.mx</t>
  </si>
  <si>
    <t>1032312@homedepot.com.mx</t>
  </si>
  <si>
    <t xml:space="preserve">8952020518641278941 </t>
  </si>
  <si>
    <t>860900062238647</t>
  </si>
  <si>
    <t>TERESA DEL CARMEN</t>
  </si>
  <si>
    <t>IMPORT LEADER</t>
  </si>
  <si>
    <t>teresa_solis@homedepot.com.mx</t>
  </si>
  <si>
    <t>Teresa-Solis@homedepot.com.mx</t>
  </si>
  <si>
    <t xml:space="preserve">8952020021241726690 </t>
  </si>
  <si>
    <t>INTERNAL COMMUNICATION SR</t>
  </si>
  <si>
    <t>thdcomunica@homedepot.com.mx</t>
  </si>
  <si>
    <t xml:space="preserve">8952020020340516473 </t>
  </si>
  <si>
    <t>358366320164398</t>
  </si>
  <si>
    <t xml:space="preserve">iphone </t>
  </si>
  <si>
    <t>TOMAS EUGENIO</t>
  </si>
  <si>
    <t>ASSET PROTECTION, SPECIAL SERVICES &amp; BUILDING SERVICES DIRECTOR</t>
  </si>
  <si>
    <t>tomas_rodriguez@homedepot.com.mx</t>
  </si>
  <si>
    <t>Tomas-Rodriguez@homedepot.com.mx</t>
  </si>
  <si>
    <t xml:space="preserve">8952020021241727037 </t>
  </si>
  <si>
    <t>VALERIA</t>
  </si>
  <si>
    <t>valeria_canales@homedepot.com.mx</t>
  </si>
  <si>
    <t xml:space="preserve">8952020022340550205 </t>
  </si>
  <si>
    <t>351307358912537</t>
  </si>
  <si>
    <t>VALERIA POLETTE</t>
  </si>
  <si>
    <t>valeria_vargas@homedepot.com.mx</t>
  </si>
  <si>
    <t xml:space="preserve">8952020022340550767 </t>
  </si>
  <si>
    <t>Ventas1168@homedepot.com.mx</t>
  </si>
  <si>
    <t>1168-prodeskmgr@homedepot.com.mx</t>
  </si>
  <si>
    <t xml:space="preserve">8952020920410337934 </t>
  </si>
  <si>
    <t>ventas1331@homedepot.com.mx</t>
  </si>
  <si>
    <t xml:space="preserve">8952020520682904872 </t>
  </si>
  <si>
    <t xml:space="preserve">RETIRAR EQUIPO RENOVACIÓN </t>
  </si>
  <si>
    <t>sergio_villarreal@homedepot.com.mx</t>
  </si>
  <si>
    <t xml:space="preserve">8952020021241726781 </t>
  </si>
  <si>
    <t>860900062257688</t>
  </si>
  <si>
    <t>equipo fuera de perfil de bloqueo ( IMEI 351307357962392</t>
  </si>
  <si>
    <t>ventas1333@homedepot.com.mx</t>
  </si>
  <si>
    <t xml:space="preserve">8952020521444482405 </t>
  </si>
  <si>
    <t>CARLOS CESAR</t>
  </si>
  <si>
    <t xml:space="preserve">ventas8744@homedepot.com.mx </t>
  </si>
  <si>
    <t>8744-Prodeskmgr@homedepot.com.mx</t>
  </si>
  <si>
    <t xml:space="preserve">8952020221696538695 </t>
  </si>
  <si>
    <t>860900062323597</t>
  </si>
  <si>
    <t>MELQUIADES</t>
  </si>
  <si>
    <t>CENTENO</t>
  </si>
  <si>
    <t>ventas8768@homedepot.com.mx</t>
  </si>
  <si>
    <t>8768-ProdeskMgr@homedepot.com.mx</t>
  </si>
  <si>
    <t xml:space="preserve">8952020022279148104 </t>
  </si>
  <si>
    <t>860478064865246</t>
  </si>
  <si>
    <t>LAZCANO</t>
  </si>
  <si>
    <t>ventas8774@homedepot.com.mx</t>
  </si>
  <si>
    <t xml:space="preserve">8952020520498312633 </t>
  </si>
  <si>
    <t>860478060033161</t>
  </si>
  <si>
    <t>ventas8088@homedepot.com.mx</t>
  </si>
  <si>
    <t>8088-ProdeskMgr@homedepot.com.mx</t>
  </si>
  <si>
    <t xml:space="preserve">8952020020165741131 </t>
  </si>
  <si>
    <t>860478062353914</t>
  </si>
  <si>
    <t>ventas8786@homedepot.com.mx</t>
  </si>
  <si>
    <t xml:space="preserve">8952020024455921940 </t>
  </si>
  <si>
    <t>861383070408925</t>
  </si>
  <si>
    <t xml:space="preserve">General </t>
  </si>
  <si>
    <t>ventaspro_callcenter@homedepot.com.mx</t>
  </si>
  <si>
    <t xml:space="preserve">8952020024446998957 </t>
  </si>
  <si>
    <t>ventas-queretaro@homedepot.com.mx</t>
  </si>
  <si>
    <t xml:space="preserve">8952020020165741156 </t>
  </si>
  <si>
    <t>860478064066639</t>
  </si>
  <si>
    <t>VERONICA ALEJANDRA</t>
  </si>
  <si>
    <t>EISSA</t>
  </si>
  <si>
    <t>LAST MILE PLATFORMS COORDINATOR</t>
  </si>
  <si>
    <t>VERONICA_GARZA@HOMEDEPOT.COM.MX</t>
  </si>
  <si>
    <t>1043124@homedepot.com.mx</t>
  </si>
  <si>
    <t xml:space="preserve">8952020021241726922 </t>
  </si>
  <si>
    <t>860900062337878</t>
  </si>
  <si>
    <t>VERONICA ESTHELA</t>
  </si>
  <si>
    <t>STORE PLANNER LEADER</t>
  </si>
  <si>
    <t>veronica_moreno@homedepot.com.mx</t>
  </si>
  <si>
    <t>Veronica-Moreno@homedepot.com.mx</t>
  </si>
  <si>
    <t xml:space="preserve">8952020924240664905 </t>
  </si>
  <si>
    <t>860900062336151</t>
  </si>
  <si>
    <t>VIRGINIA</t>
  </si>
  <si>
    <t>ARIZPE</t>
  </si>
  <si>
    <t>vicky_arizpe@homedepot.com.mx</t>
  </si>
  <si>
    <t>Vicky-Arizpe@homedepot.com.mx</t>
  </si>
  <si>
    <t xml:space="preserve">8952020021241726039 </t>
  </si>
  <si>
    <t>JEFATURA CUMPLIMIENTO NORMATIVO EN CL</t>
  </si>
  <si>
    <t>victor_arteaga@homedepot.com.mx</t>
  </si>
  <si>
    <t xml:space="preserve">8952020021444325027 </t>
  </si>
  <si>
    <t>860900062338298</t>
  </si>
  <si>
    <t>victor_garcia@homedepot.com.mx</t>
  </si>
  <si>
    <t xml:space="preserve">8952020023195128360 </t>
  </si>
  <si>
    <t>860900062319124</t>
  </si>
  <si>
    <t>VICTOR JOSE</t>
  </si>
  <si>
    <t>GIRON</t>
  </si>
  <si>
    <t>PUBLIC RELATIONS &amp; GOVERNMENT AFFAIRS MANAGER</t>
  </si>
  <si>
    <t>Victor_giron@homedepot.com.mx</t>
  </si>
  <si>
    <t>7002@homedepot.com.mx</t>
  </si>
  <si>
    <t xml:space="preserve">8952020021440171193 </t>
  </si>
  <si>
    <t>860900062338264</t>
  </si>
  <si>
    <t>GOMEZ FARIAS</t>
  </si>
  <si>
    <t>NIEVES</t>
  </si>
  <si>
    <t>victor_gomez@homedepot.com.mx</t>
  </si>
  <si>
    <t xml:space="preserve">8952020021241726203 </t>
  </si>
  <si>
    <t>FIELD TALENT ATTRACTION COORDINATOR</t>
  </si>
  <si>
    <t>VICTOR_GUZMAN@HOMEDEPOT.COM.MX</t>
  </si>
  <si>
    <t xml:space="preserve">8952020020340515855 </t>
  </si>
  <si>
    <t>860900062337837</t>
  </si>
  <si>
    <t>GAITAN</t>
  </si>
  <si>
    <t>IT MERCHANDISING &amp; SUPPLY CHAIN SYSTEMS PORTFOLIO DIRECTOR</t>
  </si>
  <si>
    <t>victor_ordaz@homedepot.com.mx</t>
  </si>
  <si>
    <t>Victor-Ordaz@homedepot.com.mx</t>
  </si>
  <si>
    <t xml:space="preserve">8952020021241726179 </t>
  </si>
  <si>
    <t>HINOJOSA</t>
  </si>
  <si>
    <t>victor_quintanilla@homedepot.com.mx</t>
  </si>
  <si>
    <t xml:space="preserve">8952020022340550049 </t>
  </si>
  <si>
    <t>860900062255583</t>
  </si>
  <si>
    <t>victor_rosas@homedepot.com.mx</t>
  </si>
  <si>
    <t>680078@homedepot.com.mx</t>
  </si>
  <si>
    <t xml:space="preserve">8952020021391851603 </t>
  </si>
  <si>
    <t>VIDAL</t>
  </si>
  <si>
    <t>victor_vidal@homedepot.com.mx</t>
  </si>
  <si>
    <t xml:space="preserve">8952020520543090960 </t>
  </si>
  <si>
    <t>NIÑO DE RIVERA</t>
  </si>
  <si>
    <t>vidal_garza@homedepot.com.mx</t>
  </si>
  <si>
    <t xml:space="preserve">8952020622442626777 </t>
  </si>
  <si>
    <t>VIRGINIA NATALIA</t>
  </si>
  <si>
    <t>CRESPO</t>
  </si>
  <si>
    <t>ECOMMERCE SALES RISK SPECIALIST</t>
  </si>
  <si>
    <t>virginia_crespo@homedepot.com.mx</t>
  </si>
  <si>
    <t>Virginia-Crespo@homedepot.com.mx</t>
  </si>
  <si>
    <t xml:space="preserve">8952020020340517802 </t>
  </si>
  <si>
    <t>860900062336136</t>
  </si>
  <si>
    <t>XAVIER FRANCISCO</t>
  </si>
  <si>
    <t>Xavier_velasco@homedepot.com.mx</t>
  </si>
  <si>
    <t>Xavier-Velasco@homedepot.com.mx</t>
  </si>
  <si>
    <t xml:space="preserve">8952020020340517117 </t>
  </si>
  <si>
    <t>SILVIA XOCHITL</t>
  </si>
  <si>
    <t>xochitl_hernandez@homedepot.com.mx</t>
  </si>
  <si>
    <t>Xochitl-Hernandez@homedepot.com.mx</t>
  </si>
  <si>
    <t xml:space="preserve">8952020520652193902 </t>
  </si>
  <si>
    <t>ELDA YAZMIN</t>
  </si>
  <si>
    <t>STORE OPERATIONS PROJECT MANAGER</t>
  </si>
  <si>
    <t>yazmin_cazares@homedepot.com.mx</t>
  </si>
  <si>
    <t xml:space="preserve">8952020020340516374 </t>
  </si>
  <si>
    <t>358366320078614</t>
  </si>
  <si>
    <t>yolanda_sanchez@homedepot.com.mx</t>
  </si>
  <si>
    <t xml:space="preserve">8952020518641278933 </t>
  </si>
  <si>
    <t>860900062255682</t>
  </si>
  <si>
    <t>YOLANDA LUCERO</t>
  </si>
  <si>
    <t>YOLANDA_TAMEZ@HOMEDEPOT.COM.MX</t>
  </si>
  <si>
    <t xml:space="preserve">8952020021241727730 </t>
  </si>
  <si>
    <t xml:space="preserve">8952020520498312369 </t>
  </si>
  <si>
    <t>YULIANA LISSETH</t>
  </si>
  <si>
    <t>yuliana_salas@homedepot.com.mx</t>
  </si>
  <si>
    <t>Yuliana-Salas@homedepot.com.mx</t>
  </si>
  <si>
    <t xml:space="preserve">8952020021241726047 </t>
  </si>
  <si>
    <t>ZENDY NINETH</t>
  </si>
  <si>
    <t>BRAND MARKETING MANAGER</t>
  </si>
  <si>
    <t>zendy_frias@homedepot.com.mx</t>
  </si>
  <si>
    <t xml:space="preserve">8952020020340516408 </t>
  </si>
  <si>
    <t>358366320308383</t>
  </si>
  <si>
    <t>Total</t>
  </si>
  <si>
    <t>DF</t>
  </si>
  <si>
    <t>NORTE</t>
  </si>
  <si>
    <t>OAT</t>
  </si>
  <si>
    <t>NORESTE</t>
  </si>
  <si>
    <t>PACIFICO NORTE</t>
  </si>
  <si>
    <t>ESTADO DE MEXICO</t>
  </si>
  <si>
    <t>PACIFICO SUR</t>
  </si>
  <si>
    <t>BAJIO</t>
  </si>
  <si>
    <t>FRONTERA</t>
  </si>
  <si>
    <t>BAJA NORTE</t>
  </si>
  <si>
    <t>OCCIDENTE</t>
  </si>
  <si>
    <t>HUB</t>
  </si>
  <si>
    <t>LSC</t>
  </si>
  <si>
    <t>PDM</t>
  </si>
  <si>
    <t>DARKSTORE</t>
  </si>
  <si>
    <t>GOLFO</t>
  </si>
  <si>
    <t>MDC</t>
  </si>
  <si>
    <t>CENTRO</t>
  </si>
  <si>
    <t>MONTO NO ENCONTRADO</t>
  </si>
  <si>
    <t>MONTO CON IVA NO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</si>
</sst>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4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rgb="FF55555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666666"/>
      <name val="Open Sans"/>
      <family val="2"/>
    </font>
    <font>
      <sz val="11"/>
      <color rgb="FF000000"/>
      <name val="Aptos Narrow"/>
      <family val="2"/>
    </font>
    <font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1"/>
      <name val="Calibri Light"/>
      <family val="2"/>
      <scheme val="major"/>
    </font>
    <font>
      <u/>
      <sz val="11"/>
      <name val="Calibri"/>
      <family val="2"/>
      <scheme val="minor"/>
    </font>
    <font>
      <sz val="12"/>
      <color rgb="FF242424"/>
      <name val="Calibri"/>
      <family val="2"/>
      <scheme val="minor"/>
    </font>
    <font>
      <sz val="12"/>
      <color rgb="FF444444"/>
      <name val="Calibri"/>
      <family val="2"/>
      <scheme val="minor"/>
    </font>
    <font>
      <sz val="11"/>
      <name val="Segoe UI"/>
      <family val="2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242424"/>
      <name val="Calibri"/>
      <family val="2"/>
    </font>
    <font>
      <i/>
      <sz val="12"/>
      <color rgb="FF000000"/>
      <name val="Calibri"/>
      <family val="2"/>
      <scheme val="minor"/>
    </font>
    <font>
      <sz val="9"/>
      <color rgb="FF555555"/>
      <name val="Inherit"/>
      <charset val="1"/>
    </font>
    <font>
      <b/>
      <sz val="11"/>
      <color theme="1"/>
      <name val="Calibri"/>
      <family val="2"/>
      <scheme val="minor"/>
    </font>
    <font>
      <sz val="11"/>
      <color rgb="FF444444"/>
      <name val="Aptos Narrow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sz val="11"/>
      <name val="Source Sans Pro"/>
      <family val="2"/>
      <charset val="1"/>
    </font>
    <font>
      <sz val="13"/>
      <color theme="1"/>
      <name val="Helvetica Neue"/>
      <family val="2"/>
    </font>
    <font>
      <sz val="16"/>
      <color rgb="FF212121"/>
      <name val="Aptos"/>
    </font>
    <font>
      <sz val="9"/>
      <color theme="1"/>
      <name val="Mangal Pro"/>
    </font>
    <font>
      <strike/>
      <sz val="11"/>
      <color theme="1"/>
      <name val="Calibri"/>
      <family val="2"/>
      <scheme val="minor"/>
    </font>
    <font>
      <sz val="12"/>
      <color rgb="FF242424"/>
      <name val="Segoe UI"/>
      <family val="2"/>
    </font>
    <font>
      <sz val="12"/>
      <color rgb="FF000000"/>
      <name val="Calibri Light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D6F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DDEBF7"/>
      </patternFill>
    </fill>
    <fill>
      <patternFill patternType="solid">
        <fgColor rgb="FF00F7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AFBFB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indexed="64"/>
      </patternFill>
    </fill>
    <fill>
      <patternFill patternType="solid">
        <fgColor rgb="FFFF00EA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theme="5"/>
      </top>
      <bottom/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64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6" borderId="2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/>
    <xf numFmtId="1" fontId="1" fillId="0" borderId="3" xfId="0" applyNumberFormat="1" applyFont="1" applyBorder="1" applyAlignment="1">
      <alignment horizontal="center"/>
    </xf>
    <xf numFmtId="49" fontId="0" fillId="0" borderId="3" xfId="0" applyNumberFormat="1" applyBorder="1"/>
    <xf numFmtId="1" fontId="0" fillId="0" borderId="3" xfId="0" applyNumberForma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43" fontId="0" fillId="0" borderId="3" xfId="1" applyFont="1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4" fontId="0" fillId="0" borderId="4" xfId="0" applyNumberFormat="1" applyBorder="1"/>
    <xf numFmtId="0" fontId="0" fillId="0" borderId="4" xfId="0" applyBorder="1"/>
    <xf numFmtId="1" fontId="1" fillId="7" borderId="0" xfId="0" applyNumberFormat="1" applyFont="1" applyFill="1" applyAlignment="1">
      <alignment horizontal="center"/>
    </xf>
    <xf numFmtId="49" fontId="8" fillId="0" borderId="3" xfId="2" applyNumberFormat="1" applyBorder="1"/>
    <xf numFmtId="164" fontId="9" fillId="0" borderId="0" xfId="0" applyNumberFormat="1" applyFont="1"/>
    <xf numFmtId="0" fontId="0" fillId="7" borderId="3" xfId="0" applyFill="1" applyBorder="1"/>
    <xf numFmtId="1" fontId="1" fillId="7" borderId="3" xfId="0" applyNumberFormat="1" applyFont="1" applyFill="1" applyBorder="1" applyAlignment="1">
      <alignment horizontal="center" vertical="center" wrapText="1"/>
    </xf>
    <xf numFmtId="49" fontId="0" fillId="7" borderId="3" xfId="0" applyNumberFormat="1" applyFill="1" applyBorder="1"/>
    <xf numFmtId="49" fontId="8" fillId="7" borderId="3" xfId="2" applyNumberFormat="1" applyFill="1" applyBorder="1"/>
    <xf numFmtId="1" fontId="0" fillId="7" borderId="3" xfId="0" applyNumberFormat="1" applyFill="1" applyBorder="1" applyAlignment="1">
      <alignment horizontal="center"/>
    </xf>
    <xf numFmtId="43" fontId="0" fillId="7" borderId="3" xfId="1" applyFont="1" applyFill="1" applyBorder="1"/>
    <xf numFmtId="14" fontId="10" fillId="7" borderId="4" xfId="0" applyNumberFormat="1" applyFont="1" applyFill="1" applyBorder="1"/>
    <xf numFmtId="0" fontId="10" fillId="7" borderId="3" xfId="0" applyFont="1" applyFill="1" applyBorder="1"/>
    <xf numFmtId="0" fontId="0" fillId="7" borderId="4" xfId="0" applyFill="1" applyBorder="1"/>
    <xf numFmtId="1" fontId="1" fillId="0" borderId="0" xfId="0" applyNumberFormat="1" applyFont="1" applyAlignment="1">
      <alignment horizontal="center" vertical="center" wrapText="1"/>
    </xf>
    <xf numFmtId="43" fontId="0" fillId="0" borderId="3" xfId="1" applyFont="1" applyFill="1" applyBorder="1"/>
    <xf numFmtId="0" fontId="11" fillId="0" borderId="3" xfId="0" applyFont="1" applyBorder="1" applyAlignment="1">
      <alignment horizontal="left"/>
    </xf>
    <xf numFmtId="14" fontId="0" fillId="7" borderId="4" xfId="0" applyNumberFormat="1" applyFill="1" applyBorder="1"/>
    <xf numFmtId="0" fontId="12" fillId="0" borderId="3" xfId="0" applyFont="1" applyBorder="1"/>
    <xf numFmtId="1" fontId="13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4" fontId="11" fillId="0" borderId="4" xfId="0" applyNumberFormat="1" applyFont="1" applyBorder="1"/>
    <xf numFmtId="0" fontId="6" fillId="0" borderId="3" xfId="0" applyFont="1" applyBorder="1"/>
    <xf numFmtId="1" fontId="1" fillId="0" borderId="3" xfId="0" quotePrefix="1" applyNumberFormat="1" applyFont="1" applyBorder="1" applyAlignment="1">
      <alignment horizontal="center" vertical="center"/>
    </xf>
    <xf numFmtId="49" fontId="11" fillId="0" borderId="3" xfId="0" applyNumberFormat="1" applyFont="1" applyBorder="1"/>
    <xf numFmtId="49" fontId="8" fillId="0" borderId="3" xfId="2" applyNumberFormat="1" applyFill="1" applyBorder="1"/>
    <xf numFmtId="43" fontId="6" fillId="8" borderId="3" xfId="1" applyFont="1" applyFill="1" applyBorder="1"/>
    <xf numFmtId="49" fontId="6" fillId="0" borderId="3" xfId="0" applyNumberFormat="1" applyFont="1" applyBorder="1"/>
    <xf numFmtId="14" fontId="6" fillId="0" borderId="4" xfId="0" applyNumberFormat="1" applyFont="1" applyBorder="1"/>
    <xf numFmtId="0" fontId="6" fillId="0" borderId="4" xfId="0" applyFont="1" applyBorder="1"/>
    <xf numFmtId="1" fontId="1" fillId="0" borderId="0" xfId="0" applyNumberFormat="1" applyFont="1" applyAlignment="1">
      <alignment horizontal="center"/>
    </xf>
    <xf numFmtId="0" fontId="0" fillId="7" borderId="3" xfId="0" applyFill="1" applyBorder="1" applyAlignment="1">
      <alignment horizontal="left"/>
    </xf>
    <xf numFmtId="0" fontId="0" fillId="0" borderId="3" xfId="0" applyBorder="1" applyAlignment="1">
      <alignment wrapText="1"/>
    </xf>
    <xf numFmtId="49" fontId="0" fillId="0" borderId="3" xfId="0" applyNumberFormat="1" applyBorder="1" applyAlignment="1">
      <alignment wrapText="1"/>
    </xf>
    <xf numFmtId="14" fontId="0" fillId="0" borderId="3" xfId="0" applyNumberFormat="1" applyBorder="1"/>
    <xf numFmtId="1" fontId="5" fillId="0" borderId="3" xfId="2" applyNumberFormat="1" applyFont="1" applyFill="1" applyBorder="1" applyAlignment="1">
      <alignment horizontal="center"/>
    </xf>
    <xf numFmtId="43" fontId="0" fillId="9" borderId="3" xfId="1" applyFont="1" applyFill="1" applyBorder="1"/>
    <xf numFmtId="14" fontId="14" fillId="0" borderId="3" xfId="0" applyNumberFormat="1" applyFont="1" applyBorder="1"/>
    <xf numFmtId="43" fontId="0" fillId="10" borderId="3" xfId="1" applyFont="1" applyFill="1" applyBorder="1"/>
    <xf numFmtId="14" fontId="15" fillId="0" borderId="3" xfId="0" applyNumberFormat="1" applyFont="1" applyBorder="1"/>
    <xf numFmtId="0" fontId="11" fillId="0" borderId="3" xfId="0" applyFont="1" applyBorder="1"/>
    <xf numFmtId="1" fontId="13" fillId="0" borderId="3" xfId="0" applyNumberFormat="1" applyFont="1" applyBorder="1" applyAlignment="1">
      <alignment horizontal="center" vertical="center"/>
    </xf>
    <xf numFmtId="49" fontId="16" fillId="0" borderId="3" xfId="2" applyNumberFormat="1" applyFont="1" applyFill="1" applyBorder="1"/>
    <xf numFmtId="43" fontId="11" fillId="0" borderId="3" xfId="1" applyFont="1" applyFill="1" applyBorder="1"/>
    <xf numFmtId="14" fontId="11" fillId="0" borderId="3" xfId="0" applyNumberFormat="1" applyFont="1" applyBorder="1"/>
    <xf numFmtId="0" fontId="11" fillId="0" borderId="0" xfId="0" applyFont="1" applyAlignment="1">
      <alignment wrapText="1"/>
    </xf>
    <xf numFmtId="14" fontId="15" fillId="0" borderId="4" xfId="0" applyNumberFormat="1" applyFont="1" applyBorder="1"/>
    <xf numFmtId="1" fontId="1" fillId="7" borderId="3" xfId="0" applyNumberFormat="1" applyFont="1" applyFill="1" applyBorder="1" applyAlignment="1">
      <alignment horizontal="center" vertical="center"/>
    </xf>
    <xf numFmtId="1" fontId="0" fillId="7" borderId="3" xfId="0" applyNumberFormat="1" applyFill="1" applyBorder="1"/>
    <xf numFmtId="49" fontId="12" fillId="0" borderId="3" xfId="0" applyNumberFormat="1" applyFont="1" applyBorder="1"/>
    <xf numFmtId="1" fontId="13" fillId="7" borderId="3" xfId="0" applyNumberFormat="1" applyFont="1" applyFill="1" applyBorder="1" applyAlignment="1">
      <alignment horizontal="center"/>
    </xf>
    <xf numFmtId="49" fontId="12" fillId="7" borderId="3" xfId="0" applyNumberFormat="1" applyFont="1" applyFill="1" applyBorder="1"/>
    <xf numFmtId="43" fontId="0" fillId="11" borderId="3" xfId="1" applyFont="1" applyFill="1" applyBorder="1"/>
    <xf numFmtId="0" fontId="0" fillId="0" borderId="3" xfId="0" quotePrefix="1" applyBorder="1"/>
    <xf numFmtId="0" fontId="17" fillId="0" borderId="3" xfId="0" applyFont="1" applyBorder="1"/>
    <xf numFmtId="14" fontId="0" fillId="7" borderId="3" xfId="0" applyNumberFormat="1" applyFill="1" applyBorder="1"/>
    <xf numFmtId="14" fontId="18" fillId="0" borderId="3" xfId="0" applyNumberFormat="1" applyFont="1" applyBorder="1"/>
    <xf numFmtId="1" fontId="1" fillId="0" borderId="0" xfId="0" applyNumberFormat="1" applyFont="1" applyAlignment="1">
      <alignment horizontal="center" vertical="center"/>
    </xf>
    <xf numFmtId="0" fontId="0" fillId="12" borderId="3" xfId="0" applyFill="1" applyBorder="1"/>
    <xf numFmtId="0" fontId="0" fillId="10" borderId="3" xfId="0" applyFill="1" applyBorder="1"/>
    <xf numFmtId="1" fontId="1" fillId="10" borderId="3" xfId="0" applyNumberFormat="1" applyFont="1" applyFill="1" applyBorder="1" applyAlignment="1">
      <alignment horizontal="center" vertical="center"/>
    </xf>
    <xf numFmtId="49" fontId="8" fillId="10" borderId="3" xfId="2" applyNumberFormat="1" applyFill="1" applyBorder="1"/>
    <xf numFmtId="1" fontId="0" fillId="0" borderId="0" xfId="0" applyNumberFormat="1" applyAlignment="1">
      <alignment horizontal="center"/>
    </xf>
    <xf numFmtId="49" fontId="0" fillId="10" borderId="3" xfId="0" applyNumberFormat="1" applyFill="1" applyBorder="1"/>
    <xf numFmtId="0" fontId="0" fillId="10" borderId="4" xfId="0" applyFill="1" applyBorder="1"/>
    <xf numFmtId="49" fontId="19" fillId="0" borderId="3" xfId="2" applyNumberFormat="1" applyFont="1" applyFill="1" applyBorder="1"/>
    <xf numFmtId="164" fontId="0" fillId="0" borderId="0" xfId="0" applyNumberFormat="1"/>
    <xf numFmtId="49" fontId="0" fillId="0" borderId="0" xfId="0" applyNumberFormat="1"/>
    <xf numFmtId="49" fontId="8" fillId="0" borderId="3" xfId="2" applyNumberFormat="1" applyBorder="1" applyAlignment="1">
      <alignment wrapText="1"/>
    </xf>
    <xf numFmtId="1" fontId="1" fillId="0" borderId="3" xfId="0" applyNumberFormat="1" applyFont="1" applyBorder="1" applyAlignment="1">
      <alignment horizontal="center" vertical="center" wrapText="1"/>
    </xf>
    <xf numFmtId="0" fontId="0" fillId="13" borderId="3" xfId="0" applyFill="1" applyBorder="1"/>
    <xf numFmtId="49" fontId="0" fillId="13" borderId="3" xfId="0" applyNumberFormat="1" applyFill="1" applyBorder="1"/>
    <xf numFmtId="43" fontId="0" fillId="13" borderId="3" xfId="1" applyFont="1" applyFill="1" applyBorder="1"/>
    <xf numFmtId="14" fontId="12" fillId="0" borderId="4" xfId="0" applyNumberFormat="1" applyFont="1" applyBorder="1"/>
    <xf numFmtId="14" fontId="0" fillId="13" borderId="4" xfId="0" applyNumberFormat="1" applyFill="1" applyBorder="1"/>
    <xf numFmtId="0" fontId="0" fillId="13" borderId="4" xfId="0" applyFill="1" applyBorder="1"/>
    <xf numFmtId="1" fontId="20" fillId="0" borderId="3" xfId="0" applyNumberFormat="1" applyFont="1" applyBorder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/>
    </xf>
    <xf numFmtId="0" fontId="11" fillId="14" borderId="3" xfId="0" applyFont="1" applyFill="1" applyBorder="1"/>
    <xf numFmtId="1" fontId="13" fillId="15" borderId="3" xfId="0" applyNumberFormat="1" applyFont="1" applyFill="1" applyBorder="1" applyAlignment="1">
      <alignment horizontal="center"/>
    </xf>
    <xf numFmtId="0" fontId="11" fillId="15" borderId="3" xfId="0" applyFont="1" applyFill="1" applyBorder="1"/>
    <xf numFmtId="0" fontId="0" fillId="7" borderId="3" xfId="0" applyFill="1" applyBorder="1" applyAlignment="1">
      <alignment horizontal="center"/>
    </xf>
    <xf numFmtId="164" fontId="0" fillId="7" borderId="3" xfId="0" applyNumberFormat="1" applyFill="1" applyBorder="1"/>
    <xf numFmtId="14" fontId="11" fillId="7" borderId="3" xfId="0" applyNumberFormat="1" applyFont="1" applyFill="1" applyBorder="1"/>
    <xf numFmtId="1" fontId="4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1" fillId="0" borderId="3" xfId="0" applyFont="1" applyBorder="1"/>
    <xf numFmtId="49" fontId="8" fillId="0" borderId="3" xfId="2" applyNumberFormat="1" applyFill="1" applyBorder="1" applyAlignment="1">
      <alignment horizontal="right" vertical="center"/>
    </xf>
    <xf numFmtId="1" fontId="22" fillId="0" borderId="3" xfId="0" applyNumberFormat="1" applyFont="1" applyBorder="1" applyAlignment="1">
      <alignment horizontal="center" vertical="center"/>
    </xf>
    <xf numFmtId="49" fontId="23" fillId="0" borderId="3" xfId="0" applyNumberFormat="1" applyFont="1" applyBorder="1"/>
    <xf numFmtId="49" fontId="24" fillId="0" borderId="3" xfId="2" applyNumberFormat="1" applyFont="1" applyFill="1" applyBorder="1"/>
    <xf numFmtId="164" fontId="17" fillId="0" borderId="3" xfId="0" applyNumberFormat="1" applyFont="1" applyBorder="1"/>
    <xf numFmtId="49" fontId="17" fillId="0" borderId="3" xfId="0" applyNumberFormat="1" applyFont="1" applyBorder="1"/>
    <xf numFmtId="14" fontId="17" fillId="0" borderId="3" xfId="0" applyNumberFormat="1" applyFont="1" applyBorder="1"/>
    <xf numFmtId="0" fontId="17" fillId="0" borderId="4" xfId="0" applyFont="1" applyBorder="1"/>
    <xf numFmtId="0" fontId="0" fillId="16" borderId="3" xfId="0" applyFill="1" applyBorder="1"/>
    <xf numFmtId="1" fontId="1" fillId="16" borderId="3" xfId="0" applyNumberFormat="1" applyFont="1" applyFill="1" applyBorder="1" applyAlignment="1">
      <alignment horizontal="center" vertical="center"/>
    </xf>
    <xf numFmtId="49" fontId="0" fillId="16" borderId="3" xfId="0" applyNumberFormat="1" applyFill="1" applyBorder="1"/>
    <xf numFmtId="49" fontId="8" fillId="16" borderId="3" xfId="2" applyNumberFormat="1" applyFill="1" applyBorder="1"/>
    <xf numFmtId="1" fontId="0" fillId="16" borderId="3" xfId="0" applyNumberFormat="1" applyFill="1" applyBorder="1"/>
    <xf numFmtId="43" fontId="0" fillId="16" borderId="3" xfId="1" applyFont="1" applyFill="1" applyBorder="1"/>
    <xf numFmtId="164" fontId="0" fillId="16" borderId="3" xfId="0" applyNumberFormat="1" applyFill="1" applyBorder="1"/>
    <xf numFmtId="14" fontId="11" fillId="16" borderId="4" xfId="0" applyNumberFormat="1" applyFont="1" applyFill="1" applyBorder="1"/>
    <xf numFmtId="0" fontId="0" fillId="16" borderId="4" xfId="0" applyFill="1" applyBorder="1"/>
    <xf numFmtId="14" fontId="11" fillId="16" borderId="3" xfId="0" applyNumberFormat="1" applyFont="1" applyFill="1" applyBorder="1"/>
    <xf numFmtId="0" fontId="0" fillId="11" borderId="3" xfId="0" applyFill="1" applyBorder="1"/>
    <xf numFmtId="1" fontId="1" fillId="11" borderId="3" xfId="0" applyNumberFormat="1" applyFont="1" applyFill="1" applyBorder="1" applyAlignment="1">
      <alignment horizontal="center" vertical="center"/>
    </xf>
    <xf numFmtId="49" fontId="8" fillId="11" borderId="3" xfId="2" applyNumberFormat="1" applyFill="1" applyBorder="1"/>
    <xf numFmtId="49" fontId="0" fillId="11" borderId="3" xfId="0" applyNumberFormat="1" applyFill="1" applyBorder="1"/>
    <xf numFmtId="14" fontId="0" fillId="9" borderId="3" xfId="0" applyNumberFormat="1" applyFill="1" applyBorder="1"/>
    <xf numFmtId="0" fontId="0" fillId="11" borderId="4" xfId="0" applyFill="1" applyBorder="1"/>
    <xf numFmtId="1" fontId="13" fillId="0" borderId="3" xfId="0" applyNumberFormat="1" applyFont="1" applyBorder="1" applyAlignment="1">
      <alignment horizontal="center" wrapText="1"/>
    </xf>
    <xf numFmtId="49" fontId="8" fillId="0" borderId="3" xfId="2" applyNumberFormat="1" applyFill="1" applyBorder="1" applyAlignment="1">
      <alignment wrapText="1"/>
    </xf>
    <xf numFmtId="43" fontId="11" fillId="12" borderId="3" xfId="1" applyFont="1" applyFill="1" applyBorder="1"/>
    <xf numFmtId="14" fontId="11" fillId="0" borderId="3" xfId="0" applyNumberFormat="1" applyFont="1" applyBorder="1" applyAlignment="1">
      <alignment horizontal="left"/>
    </xf>
    <xf numFmtId="0" fontId="11" fillId="0" borderId="4" xfId="0" applyFont="1" applyBorder="1"/>
    <xf numFmtId="49" fontId="15" fillId="0" borderId="3" xfId="0" applyNumberFormat="1" applyFont="1" applyBorder="1"/>
    <xf numFmtId="0" fontId="0" fillId="17" borderId="3" xfId="0" applyFill="1" applyBorder="1"/>
    <xf numFmtId="0" fontId="25" fillId="0" borderId="0" xfId="0" applyFont="1" applyAlignment="1">
      <alignment horizontal="center"/>
    </xf>
    <xf numFmtId="14" fontId="12" fillId="0" borderId="3" xfId="0" applyNumberFormat="1" applyFont="1" applyBorder="1"/>
    <xf numFmtId="14" fontId="12" fillId="0" borderId="3" xfId="0" applyNumberFormat="1" applyFont="1" applyBorder="1" applyAlignment="1">
      <alignment horizontal="left"/>
    </xf>
    <xf numFmtId="0" fontId="0" fillId="18" borderId="3" xfId="0" applyFill="1" applyBorder="1"/>
    <xf numFmtId="49" fontId="8" fillId="18" borderId="3" xfId="2" applyNumberFormat="1" applyFill="1" applyBorder="1"/>
    <xf numFmtId="43" fontId="0" fillId="18" borderId="3" xfId="1" applyFont="1" applyFill="1" applyBorder="1"/>
    <xf numFmtId="49" fontId="0" fillId="18" borderId="3" xfId="0" applyNumberFormat="1" applyFill="1" applyBorder="1"/>
    <xf numFmtId="14" fontId="15" fillId="18" borderId="3" xfId="0" applyNumberFormat="1" applyFont="1" applyFill="1" applyBorder="1"/>
    <xf numFmtId="0" fontId="15" fillId="18" borderId="3" xfId="0" applyFont="1" applyFill="1" applyBorder="1"/>
    <xf numFmtId="0" fontId="0" fillId="18" borderId="4" xfId="0" applyFill="1" applyBorder="1"/>
    <xf numFmtId="49" fontId="8" fillId="19" borderId="3" xfId="2" applyNumberFormat="1" applyFill="1" applyBorder="1" applyAlignment="1">
      <alignment horizontal="center" vertical="center"/>
    </xf>
    <xf numFmtId="0" fontId="12" fillId="14" borderId="3" xfId="0" applyFont="1" applyFill="1" applyBorder="1"/>
    <xf numFmtId="1" fontId="2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25" fillId="0" borderId="3" xfId="0" applyNumberFormat="1" applyFont="1" applyBorder="1" applyAlignment="1">
      <alignment horizontal="center"/>
    </xf>
    <xf numFmtId="49" fontId="8" fillId="20" borderId="3" xfId="2" applyNumberFormat="1" applyFill="1" applyBorder="1"/>
    <xf numFmtId="1" fontId="26" fillId="0" borderId="3" xfId="0" applyNumberFormat="1" applyFont="1" applyBorder="1" applyAlignment="1">
      <alignment horizontal="center" wrapText="1"/>
    </xf>
    <xf numFmtId="43" fontId="6" fillId="7" borderId="3" xfId="1" applyFont="1" applyFill="1" applyBorder="1"/>
    <xf numFmtId="14" fontId="6" fillId="0" borderId="3" xfId="0" applyNumberFormat="1" applyFont="1" applyBorder="1"/>
    <xf numFmtId="0" fontId="27" fillId="0" borderId="3" xfId="0" applyFont="1" applyBorder="1"/>
    <xf numFmtId="1" fontId="22" fillId="0" borderId="3" xfId="0" quotePrefix="1" applyNumberFormat="1" applyFont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0" fontId="8" fillId="0" borderId="3" xfId="2" applyFill="1" applyBorder="1" applyAlignment="1"/>
    <xf numFmtId="0" fontId="0" fillId="0" borderId="5" xfId="0" applyBorder="1"/>
    <xf numFmtId="0" fontId="28" fillId="0" borderId="3" xfId="0" applyFont="1" applyBorder="1"/>
    <xf numFmtId="49" fontId="29" fillId="0" borderId="3" xfId="2" applyNumberFormat="1" applyFont="1" applyFill="1" applyBorder="1"/>
    <xf numFmtId="43" fontId="28" fillId="0" borderId="3" xfId="1" applyFont="1" applyFill="1" applyBorder="1"/>
    <xf numFmtId="0" fontId="28" fillId="0" borderId="3" xfId="0" applyFont="1" applyBorder="1" applyAlignment="1">
      <alignment horizontal="left"/>
    </xf>
    <xf numFmtId="49" fontId="28" fillId="0" borderId="3" xfId="0" applyNumberFormat="1" applyFont="1" applyBorder="1"/>
    <xf numFmtId="14" fontId="28" fillId="0" borderId="3" xfId="0" applyNumberFormat="1" applyFont="1" applyBorder="1"/>
    <xf numFmtId="0" fontId="28" fillId="0" borderId="4" xfId="0" applyFont="1" applyBorder="1"/>
    <xf numFmtId="1" fontId="13" fillId="0" borderId="0" xfId="0" applyNumberFormat="1" applyFont="1" applyAlignment="1">
      <alignment horizontal="center"/>
    </xf>
    <xf numFmtId="0" fontId="30" fillId="0" borderId="3" xfId="0" applyFont="1" applyBorder="1"/>
    <xf numFmtId="1" fontId="26" fillId="0" borderId="3" xfId="0" applyNumberFormat="1" applyFont="1" applyBorder="1" applyAlignment="1">
      <alignment horizontal="center"/>
    </xf>
    <xf numFmtId="49" fontId="31" fillId="0" borderId="3" xfId="0" applyNumberFormat="1" applyFont="1" applyBorder="1"/>
    <xf numFmtId="0" fontId="1" fillId="0" borderId="3" xfId="0" applyFont="1" applyBorder="1"/>
    <xf numFmtId="0" fontId="0" fillId="0" borderId="6" xfId="0" applyBorder="1"/>
    <xf numFmtId="1" fontId="1" fillId="0" borderId="6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2" fillId="0" borderId="3" xfId="0" applyNumberFormat="1" applyFont="1" applyBorder="1" applyAlignment="1">
      <alignment horizontal="center"/>
    </xf>
    <xf numFmtId="49" fontId="33" fillId="21" borderId="3" xfId="0" applyNumberFormat="1" applyFont="1" applyFill="1" applyBorder="1"/>
    <xf numFmtId="0" fontId="0" fillId="22" borderId="3" xfId="0" applyFill="1" applyBorder="1"/>
    <xf numFmtId="0" fontId="34" fillId="0" borderId="3" xfId="0" applyFont="1" applyBorder="1"/>
    <xf numFmtId="1" fontId="1" fillId="0" borderId="3" xfId="0" applyNumberFormat="1" applyFont="1" applyBorder="1" applyAlignment="1">
      <alignment horizontal="center" wrapText="1"/>
    </xf>
    <xf numFmtId="43" fontId="0" fillId="8" borderId="3" xfId="1" applyFont="1" applyFill="1" applyBorder="1"/>
    <xf numFmtId="0" fontId="0" fillId="22" borderId="4" xfId="0" applyFill="1" applyBorder="1"/>
    <xf numFmtId="0" fontId="8" fillId="0" borderId="0" xfId="2"/>
    <xf numFmtId="22" fontId="15" fillId="0" borderId="3" xfId="0" applyNumberFormat="1" applyFont="1" applyBorder="1"/>
    <xf numFmtId="49" fontId="35" fillId="0" borderId="3" xfId="0" applyNumberFormat="1" applyFont="1" applyBorder="1"/>
    <xf numFmtId="0" fontId="8" fillId="0" borderId="3" xfId="2" applyBorder="1"/>
    <xf numFmtId="0" fontId="12" fillId="7" borderId="3" xfId="0" applyFont="1" applyFill="1" applyBorder="1"/>
    <xf numFmtId="0" fontId="0" fillId="0" borderId="7" xfId="0" applyBorder="1"/>
    <xf numFmtId="43" fontId="6" fillId="0" borderId="3" xfId="1" applyFont="1" applyBorder="1"/>
    <xf numFmtId="0" fontId="0" fillId="0" borderId="4" xfId="0" applyBorder="1" applyAlignment="1">
      <alignment wrapText="1"/>
    </xf>
    <xf numFmtId="1" fontId="22" fillId="0" borderId="3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0" fontId="11" fillId="13" borderId="3" xfId="0" applyFont="1" applyFill="1" applyBorder="1"/>
    <xf numFmtId="1" fontId="25" fillId="13" borderId="3" xfId="0" applyNumberFormat="1" applyFont="1" applyFill="1" applyBorder="1" applyAlignment="1">
      <alignment horizontal="center"/>
    </xf>
    <xf numFmtId="49" fontId="11" fillId="13" borderId="3" xfId="0" applyNumberFormat="1" applyFont="1" applyFill="1" applyBorder="1"/>
    <xf numFmtId="49" fontId="8" fillId="13" borderId="3" xfId="2" applyNumberFormat="1" applyFill="1" applyBorder="1"/>
    <xf numFmtId="43" fontId="11" fillId="13" borderId="3" xfId="1" applyFont="1" applyFill="1" applyBorder="1"/>
    <xf numFmtId="14" fontId="11" fillId="13" borderId="3" xfId="0" applyNumberFormat="1" applyFont="1" applyFill="1" applyBorder="1"/>
    <xf numFmtId="14" fontId="0" fillId="13" borderId="3" xfId="0" applyNumberFormat="1" applyFill="1" applyBorder="1"/>
    <xf numFmtId="0" fontId="11" fillId="13" borderId="4" xfId="0" applyFont="1" applyFill="1" applyBorder="1"/>
    <xf numFmtId="1" fontId="2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0" fillId="0" borderId="3" xfId="0" applyNumberFormat="1" applyFont="1" applyBorder="1" applyAlignment="1">
      <alignment horizontal="center"/>
    </xf>
    <xf numFmtId="1" fontId="1" fillId="7" borderId="3" xfId="0" applyNumberFormat="1" applyFont="1" applyFill="1" applyBorder="1" applyAlignment="1">
      <alignment horizontal="center"/>
    </xf>
    <xf numFmtId="1" fontId="1" fillId="12" borderId="3" xfId="0" applyNumberFormat="1" applyFont="1" applyFill="1" applyBorder="1" applyAlignment="1">
      <alignment horizontal="center"/>
    </xf>
    <xf numFmtId="49" fontId="8" fillId="12" borderId="3" xfId="2" applyNumberFormat="1" applyFill="1" applyBorder="1"/>
    <xf numFmtId="49" fontId="0" fillId="12" borderId="3" xfId="0" applyNumberFormat="1" applyFill="1" applyBorder="1"/>
    <xf numFmtId="1" fontId="0" fillId="12" borderId="3" xfId="0" applyNumberFormat="1" applyFill="1" applyBorder="1" applyAlignment="1">
      <alignment horizontal="center"/>
    </xf>
    <xf numFmtId="1" fontId="0" fillId="12" borderId="3" xfId="0" applyNumberFormat="1" applyFill="1" applyBorder="1"/>
    <xf numFmtId="0" fontId="0" fillId="12" borderId="3" xfId="0" applyFill="1" applyBorder="1" applyAlignment="1">
      <alignment horizontal="center"/>
    </xf>
    <xf numFmtId="43" fontId="0" fillId="12" borderId="3" xfId="1" applyFont="1" applyFill="1" applyBorder="1"/>
    <xf numFmtId="0" fontId="0" fillId="12" borderId="3" xfId="0" applyFill="1" applyBorder="1" applyAlignment="1">
      <alignment horizontal="left"/>
    </xf>
    <xf numFmtId="164" fontId="0" fillId="12" borderId="3" xfId="0" applyNumberFormat="1" applyFill="1" applyBorder="1"/>
    <xf numFmtId="14" fontId="0" fillId="12" borderId="4" xfId="0" applyNumberFormat="1" applyFill="1" applyBorder="1"/>
    <xf numFmtId="0" fontId="0" fillId="12" borderId="4" xfId="0" applyFill="1" applyBorder="1"/>
    <xf numFmtId="49" fontId="36" fillId="0" borderId="3" xfId="0" applyNumberFormat="1" applyFont="1" applyBorder="1"/>
    <xf numFmtId="49" fontId="37" fillId="0" borderId="3" xfId="2" applyNumberFormat="1" applyFont="1" applyFill="1" applyBorder="1"/>
    <xf numFmtId="43" fontId="0" fillId="23" borderId="3" xfId="1" applyFont="1" applyFill="1" applyBorder="1"/>
    <xf numFmtId="1" fontId="0" fillId="0" borderId="8" xfId="0" applyNumberFormat="1" applyBorder="1" applyAlignment="1">
      <alignment horizontal="center"/>
    </xf>
    <xf numFmtId="0" fontId="0" fillId="24" borderId="3" xfId="0" applyFill="1" applyBorder="1"/>
    <xf numFmtId="0" fontId="25" fillId="12" borderId="0" xfId="0" applyFont="1" applyFill="1" applyAlignment="1">
      <alignment horizontal="center"/>
    </xf>
    <xf numFmtId="14" fontId="0" fillId="12" borderId="3" xfId="0" applyNumberFormat="1" applyFill="1" applyBorder="1"/>
    <xf numFmtId="49" fontId="0" fillId="0" borderId="3" xfId="0" applyNumberFormat="1" applyBorder="1" applyAlignment="1">
      <alignment horizontal="left" vertical="center"/>
    </xf>
    <xf numFmtId="49" fontId="0" fillId="0" borderId="7" xfId="0" applyNumberFormat="1" applyBorder="1"/>
    <xf numFmtId="1" fontId="1" fillId="12" borderId="3" xfId="0" applyNumberFormat="1" applyFont="1" applyFill="1" applyBorder="1" applyAlignment="1">
      <alignment horizontal="center" vertical="center"/>
    </xf>
    <xf numFmtId="43" fontId="0" fillId="22" borderId="3" xfId="1" applyFont="1" applyFill="1" applyBorder="1"/>
    <xf numFmtId="1" fontId="1" fillId="24" borderId="3" xfId="0" applyNumberFormat="1" applyFont="1" applyFill="1" applyBorder="1" applyAlignment="1">
      <alignment horizontal="center"/>
    </xf>
    <xf numFmtId="0" fontId="38" fillId="0" borderId="3" xfId="0" applyFont="1" applyBorder="1" applyAlignment="1">
      <alignment wrapText="1"/>
    </xf>
    <xf numFmtId="0" fontId="39" fillId="0" borderId="0" xfId="0" applyFont="1"/>
    <xf numFmtId="0" fontId="40" fillId="0" borderId="0" xfId="0" applyFont="1"/>
    <xf numFmtId="49" fontId="8" fillId="0" borderId="9" xfId="2" applyNumberFormat="1" applyBorder="1"/>
    <xf numFmtId="0" fontId="0" fillId="8" borderId="3" xfId="0" applyFill="1" applyBorder="1"/>
    <xf numFmtId="1" fontId="1" fillId="8" borderId="3" xfId="0" applyNumberFormat="1" applyFont="1" applyFill="1" applyBorder="1" applyAlignment="1">
      <alignment horizontal="center"/>
    </xf>
    <xf numFmtId="49" fontId="8" fillId="8" borderId="3" xfId="2" applyNumberFormat="1" applyFill="1" applyBorder="1"/>
    <xf numFmtId="49" fontId="0" fillId="8" borderId="3" xfId="0" applyNumberFormat="1" applyFill="1" applyBorder="1"/>
    <xf numFmtId="14" fontId="0" fillId="8" borderId="3" xfId="0" applyNumberFormat="1" applyFill="1" applyBorder="1"/>
    <xf numFmtId="0" fontId="0" fillId="8" borderId="4" xfId="0" applyFill="1" applyBorder="1"/>
    <xf numFmtId="0" fontId="12" fillId="25" borderId="3" xfId="0" applyFont="1" applyFill="1" applyBorder="1"/>
    <xf numFmtId="1" fontId="1" fillId="17" borderId="3" xfId="0" applyNumberFormat="1" applyFont="1" applyFill="1" applyBorder="1" applyAlignment="1">
      <alignment horizontal="center" vertical="center"/>
    </xf>
    <xf numFmtId="49" fontId="0" fillId="17" borderId="3" xfId="0" applyNumberFormat="1" applyFill="1" applyBorder="1"/>
    <xf numFmtId="43" fontId="0" fillId="17" borderId="3" xfId="1" applyFont="1" applyFill="1" applyBorder="1"/>
    <xf numFmtId="0" fontId="0" fillId="17" borderId="3" xfId="0" applyFill="1" applyBorder="1" applyAlignment="1">
      <alignment horizontal="left"/>
    </xf>
    <xf numFmtId="0" fontId="0" fillId="17" borderId="4" xfId="0" applyFill="1" applyBorder="1"/>
    <xf numFmtId="0" fontId="41" fillId="0" borderId="3" xfId="0" applyFont="1" applyBorder="1"/>
    <xf numFmtId="49" fontId="18" fillId="0" borderId="3" xfId="0" applyNumberFormat="1" applyFont="1" applyBorder="1"/>
    <xf numFmtId="14" fontId="11" fillId="12" borderId="3" xfId="0" applyNumberFormat="1" applyFont="1" applyFill="1" applyBorder="1"/>
    <xf numFmtId="14" fontId="11" fillId="12" borderId="4" xfId="0" applyNumberFormat="1" applyFont="1" applyFill="1" applyBorder="1"/>
    <xf numFmtId="49" fontId="8" fillId="12" borderId="3" xfId="2" applyNumberFormat="1" applyFill="1" applyBorder="1" applyAlignment="1">
      <alignment wrapText="1"/>
    </xf>
    <xf numFmtId="0" fontId="13" fillId="0" borderId="0" xfId="0" applyFont="1" applyAlignment="1">
      <alignment horizontal="center"/>
    </xf>
    <xf numFmtId="0" fontId="11" fillId="0" borderId="0" xfId="0" applyFont="1"/>
    <xf numFmtId="0" fontId="11" fillId="24" borderId="3" xfId="0" applyFont="1" applyFill="1" applyBorder="1"/>
    <xf numFmtId="49" fontId="11" fillId="24" borderId="3" xfId="0" applyNumberFormat="1" applyFont="1" applyFill="1" applyBorder="1"/>
    <xf numFmtId="49" fontId="8" fillId="24" borderId="3" xfId="2" applyNumberFormat="1" applyFill="1" applyBorder="1"/>
    <xf numFmtId="1" fontId="11" fillId="24" borderId="3" xfId="0" applyNumberFormat="1" applyFont="1" applyFill="1" applyBorder="1" applyAlignment="1">
      <alignment horizontal="center"/>
    </xf>
    <xf numFmtId="1" fontId="0" fillId="24" borderId="3" xfId="0" applyNumberFormat="1" applyFill="1" applyBorder="1"/>
    <xf numFmtId="1" fontId="0" fillId="24" borderId="3" xfId="0" applyNumberForma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43" fontId="11" fillId="24" borderId="3" xfId="1" applyFont="1" applyFill="1" applyBorder="1"/>
    <xf numFmtId="0" fontId="11" fillId="24" borderId="3" xfId="0" applyFont="1" applyFill="1" applyBorder="1" applyAlignment="1">
      <alignment horizontal="left"/>
    </xf>
    <xf numFmtId="164" fontId="0" fillId="24" borderId="3" xfId="0" applyNumberFormat="1" applyFill="1" applyBorder="1"/>
    <xf numFmtId="49" fontId="0" fillId="24" borderId="3" xfId="0" applyNumberFormat="1" applyFill="1" applyBorder="1"/>
    <xf numFmtId="14" fontId="0" fillId="24" borderId="3" xfId="0" applyNumberFormat="1" applyFill="1" applyBorder="1"/>
    <xf numFmtId="0" fontId="0" fillId="24" borderId="4" xfId="0" applyFill="1" applyBorder="1"/>
    <xf numFmtId="0" fontId="11" fillId="24" borderId="4" xfId="0" applyFont="1" applyFill="1" applyBorder="1"/>
    <xf numFmtId="1" fontId="5" fillId="7" borderId="3" xfId="2" applyNumberFormat="1" applyFont="1" applyFill="1" applyBorder="1" applyAlignment="1">
      <alignment horizontal="center" vertical="center"/>
    </xf>
    <xf numFmtId="1" fontId="1" fillId="17" borderId="3" xfId="0" applyNumberFormat="1" applyFont="1" applyFill="1" applyBorder="1" applyAlignment="1">
      <alignment horizontal="center"/>
    </xf>
    <xf numFmtId="49" fontId="8" fillId="17" borderId="3" xfId="2" applyNumberFormat="1" applyFill="1" applyBorder="1"/>
    <xf numFmtId="43" fontId="0" fillId="26" borderId="3" xfId="1" applyFont="1" applyFill="1" applyBorder="1"/>
    <xf numFmtId="43" fontId="0" fillId="24" borderId="3" xfId="1" applyFont="1" applyFill="1" applyBorder="1"/>
    <xf numFmtId="0" fontId="0" fillId="24" borderId="3" xfId="0" applyFill="1" applyBorder="1" applyAlignment="1">
      <alignment horizontal="left"/>
    </xf>
    <xf numFmtId="1" fontId="1" fillId="17" borderId="0" xfId="0" applyNumberFormat="1" applyFont="1" applyFill="1" applyAlignment="1">
      <alignment horizontal="center" vertical="center"/>
    </xf>
    <xf numFmtId="14" fontId="0" fillId="11" borderId="3" xfId="0" applyNumberFormat="1" applyFill="1" applyBorder="1"/>
    <xf numFmtId="43" fontId="6" fillId="9" borderId="3" xfId="1" applyFont="1" applyFill="1" applyBorder="1"/>
    <xf numFmtId="0" fontId="6" fillId="0" borderId="3" xfId="0" applyFont="1" applyBorder="1" applyAlignment="1">
      <alignment wrapText="1"/>
    </xf>
    <xf numFmtId="43" fontId="6" fillId="11" borderId="3" xfId="1" applyFont="1" applyFill="1" applyBorder="1"/>
    <xf numFmtId="0" fontId="42" fillId="0" borderId="4" xfId="0" applyFont="1" applyBorder="1"/>
    <xf numFmtId="0" fontId="12" fillId="12" borderId="3" xfId="0" applyFont="1" applyFill="1" applyBorder="1"/>
    <xf numFmtId="1" fontId="11" fillId="0" borderId="3" xfId="0" applyNumberFormat="1" applyFont="1" applyBorder="1" applyAlignment="1">
      <alignment horizontal="center"/>
    </xf>
    <xf numFmtId="49" fontId="29" fillId="0" borderId="3" xfId="2" applyNumberFormat="1" applyFont="1" applyBorder="1"/>
    <xf numFmtId="43" fontId="28" fillId="0" borderId="3" xfId="1" applyFont="1" applyBorder="1"/>
    <xf numFmtId="0" fontId="15" fillId="0" borderId="3" xfId="0" applyFont="1" applyBorder="1"/>
    <xf numFmtId="1" fontId="1" fillId="24" borderId="3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vertical="top"/>
    </xf>
    <xf numFmtId="0" fontId="18" fillId="0" borderId="3" xfId="0" applyFont="1" applyBorder="1"/>
    <xf numFmtId="1" fontId="26" fillId="8" borderId="3" xfId="0" applyNumberFormat="1" applyFont="1" applyFill="1" applyBorder="1" applyAlignment="1">
      <alignment horizontal="center"/>
    </xf>
    <xf numFmtId="0" fontId="0" fillId="18" borderId="3" xfId="0" applyFill="1" applyBorder="1" applyAlignment="1">
      <alignment horizontal="left"/>
    </xf>
    <xf numFmtId="1" fontId="28" fillId="0" borderId="3" xfId="0" applyNumberFormat="1" applyFont="1" applyBorder="1"/>
    <xf numFmtId="1" fontId="1" fillId="8" borderId="3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/>
    </xf>
    <xf numFmtId="0" fontId="0" fillId="7" borderId="0" xfId="0" applyFill="1"/>
    <xf numFmtId="14" fontId="28" fillId="0" borderId="4" xfId="0" applyNumberFormat="1" applyFont="1" applyBorder="1"/>
    <xf numFmtId="14" fontId="11" fillId="24" borderId="3" xfId="0" applyNumberFormat="1" applyFont="1" applyFill="1" applyBorder="1"/>
    <xf numFmtId="0" fontId="21" fillId="0" borderId="3" xfId="0" applyFont="1" applyBorder="1" applyAlignment="1">
      <alignment wrapText="1"/>
    </xf>
    <xf numFmtId="0" fontId="0" fillId="27" borderId="3" xfId="0" applyFill="1" applyBorder="1"/>
    <xf numFmtId="1" fontId="1" fillId="27" borderId="3" xfId="0" applyNumberFormat="1" applyFont="1" applyFill="1" applyBorder="1" applyAlignment="1">
      <alignment horizontal="center" vertical="center"/>
    </xf>
    <xf numFmtId="49" fontId="0" fillId="27" borderId="3" xfId="0" applyNumberFormat="1" applyFill="1" applyBorder="1"/>
    <xf numFmtId="43" fontId="0" fillId="27" borderId="3" xfId="1" applyFont="1" applyFill="1" applyBorder="1"/>
    <xf numFmtId="0" fontId="0" fillId="27" borderId="4" xfId="0" applyFill="1" applyBorder="1"/>
    <xf numFmtId="14" fontId="0" fillId="8" borderId="4" xfId="0" applyNumberFormat="1" applyFill="1" applyBorder="1"/>
    <xf numFmtId="0" fontId="0" fillId="0" borderId="1" xfId="0" applyBorder="1"/>
    <xf numFmtId="1" fontId="5" fillId="0" borderId="3" xfId="2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4" fontId="0" fillId="0" borderId="0" xfId="0" applyNumberFormat="1"/>
    <xf numFmtId="0" fontId="11" fillId="7" borderId="3" xfId="0" applyFont="1" applyFill="1" applyBorder="1" applyAlignment="1">
      <alignment horizontal="left"/>
    </xf>
    <xf numFmtId="14" fontId="0" fillId="24" borderId="4" xfId="0" applyNumberFormat="1" applyFill="1" applyBorder="1"/>
    <xf numFmtId="14" fontId="11" fillId="24" borderId="4" xfId="0" applyNumberFormat="1" applyFont="1" applyFill="1" applyBorder="1"/>
    <xf numFmtId="14" fontId="11" fillId="0" borderId="0" xfId="0" applyNumberFormat="1" applyFont="1"/>
    <xf numFmtId="1" fontId="1" fillId="0" borderId="7" xfId="0" applyNumberFormat="1" applyFont="1" applyBorder="1" applyAlignment="1">
      <alignment horizontal="center"/>
    </xf>
    <xf numFmtId="1" fontId="0" fillId="0" borderId="0" xfId="0" applyNumberFormat="1"/>
    <xf numFmtId="14" fontId="0" fillId="7" borderId="0" xfId="0" applyNumberFormat="1" applyFill="1"/>
    <xf numFmtId="14" fontId="28" fillId="0" borderId="0" xfId="0" applyNumberFormat="1" applyFont="1"/>
    <xf numFmtId="0" fontId="0" fillId="12" borderId="3" xfId="0" applyFill="1" applyBorder="1" applyAlignment="1">
      <alignment wrapText="1"/>
    </xf>
    <xf numFmtId="14" fontId="0" fillId="24" borderId="0" xfId="0" applyNumberFormat="1" applyFill="1"/>
    <xf numFmtId="14" fontId="11" fillId="12" borderId="0" xfId="0" applyNumberFormat="1" applyFont="1" applyFill="1"/>
    <xf numFmtId="1" fontId="13" fillId="12" borderId="3" xfId="0" applyNumberFormat="1" applyFont="1" applyFill="1" applyBorder="1" applyAlignment="1">
      <alignment horizontal="center"/>
    </xf>
    <xf numFmtId="43" fontId="6" fillId="0" borderId="3" xfId="1" applyFont="1" applyFill="1" applyBorder="1"/>
    <xf numFmtId="0" fontId="43" fillId="0" borderId="3" xfId="0" applyFont="1" applyBorder="1"/>
    <xf numFmtId="0" fontId="6" fillId="7" borderId="3" xfId="0" applyFont="1" applyFill="1" applyBorder="1"/>
    <xf numFmtId="49" fontId="8" fillId="8" borderId="7" xfId="2" applyNumberFormat="1" applyFill="1" applyBorder="1"/>
    <xf numFmtId="0" fontId="44" fillId="7" borderId="3" xfId="0" applyFont="1" applyFill="1" applyBorder="1"/>
    <xf numFmtId="0" fontId="35" fillId="0" borderId="3" xfId="0" applyFont="1" applyBorder="1"/>
    <xf numFmtId="1" fontId="1" fillId="22" borderId="3" xfId="0" applyNumberFormat="1" applyFont="1" applyFill="1" applyBorder="1" applyAlignment="1">
      <alignment horizontal="center" vertical="center"/>
    </xf>
    <xf numFmtId="49" fontId="8" fillId="22" borderId="3" xfId="2" applyNumberFormat="1" applyFill="1" applyBorder="1"/>
    <xf numFmtId="49" fontId="8" fillId="0" borderId="7" xfId="2" applyNumberFormat="1" applyBorder="1"/>
    <xf numFmtId="1" fontId="1" fillId="0" borderId="7" xfId="0" applyNumberFormat="1" applyFont="1" applyBorder="1" applyAlignment="1">
      <alignment horizontal="center" vertical="center"/>
    </xf>
    <xf numFmtId="49" fontId="8" fillId="0" borderId="0" xfId="2" applyNumberFormat="1" applyFill="1" applyBorder="1"/>
    <xf numFmtId="1" fontId="17" fillId="0" borderId="3" xfId="0" applyNumberFormat="1" applyFont="1" applyBorder="1"/>
    <xf numFmtId="0" fontId="17" fillId="0" borderId="3" xfId="0" applyFont="1" applyBorder="1" applyAlignment="1">
      <alignment horizontal="center"/>
    </xf>
    <xf numFmtId="43" fontId="17" fillId="0" borderId="3" xfId="1" applyFont="1" applyFill="1" applyBorder="1"/>
    <xf numFmtId="0" fontId="17" fillId="0" borderId="3" xfId="0" applyFont="1" applyBorder="1" applyAlignment="1">
      <alignment horizontal="left"/>
    </xf>
    <xf numFmtId="49" fontId="8" fillId="12" borderId="7" xfId="2" applyNumberFormat="1" applyFill="1" applyBorder="1"/>
    <xf numFmtId="49" fontId="21" fillId="0" borderId="3" xfId="0" applyNumberFormat="1" applyFont="1" applyBorder="1"/>
    <xf numFmtId="0" fontId="14" fillId="0" borderId="3" xfId="0" applyFont="1" applyBorder="1"/>
    <xf numFmtId="0" fontId="0" fillId="0" borderId="10" xfId="0" applyBorder="1"/>
    <xf numFmtId="1" fontId="1" fillId="0" borderId="10" xfId="0" applyNumberFormat="1" applyFont="1" applyBorder="1" applyAlignment="1">
      <alignment horizontal="center" vertical="center"/>
    </xf>
    <xf numFmtId="43" fontId="0" fillId="0" borderId="10" xfId="1" applyFont="1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49" fontId="0" fillId="0" borderId="10" xfId="0" applyNumberFormat="1" applyBorder="1"/>
    <xf numFmtId="0" fontId="0" fillId="0" borderId="11" xfId="0" applyBorder="1"/>
    <xf numFmtId="0" fontId="11" fillId="0" borderId="10" xfId="0" applyFont="1" applyBorder="1"/>
    <xf numFmtId="1" fontId="13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/>
    </xf>
    <xf numFmtId="0" fontId="0" fillId="24" borderId="10" xfId="0" applyFill="1" applyBorder="1"/>
    <xf numFmtId="49" fontId="12" fillId="24" borderId="3" xfId="0" applyNumberFormat="1" applyFont="1" applyFill="1" applyBorder="1"/>
    <xf numFmtId="0" fontId="0" fillId="9" borderId="3" xfId="0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12" xfId="0" applyNumberFormat="1" applyBorder="1"/>
    <xf numFmtId="49" fontId="0" fillId="0" borderId="12" xfId="0" applyNumberFormat="1" applyBorder="1"/>
    <xf numFmtId="14" fontId="0" fillId="0" borderId="12" xfId="0" applyNumberFormat="1" applyBorder="1"/>
    <xf numFmtId="0" fontId="0" fillId="0" borderId="13" xfId="0" applyBorder="1"/>
    <xf numFmtId="49" fontId="0" fillId="0" borderId="3" xfId="0" applyNumberForma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7" tint="-0.24997711111789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/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m/d/yyyy"/>
    </dxf>
    <dxf>
      <numFmt numFmtId="19" formatCode="dd/mm/yy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m/d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&quot;$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&quot;$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&quot;$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&quot;$&quot;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&quot;$&quot;#,##0.0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&quot;$&quot;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MEMO" id="{CA1E1728-E9B1-D142-AAD1-4D771029D246}"/>
  <namedSheetView name="pro rep reno 10" id="{A46D3AB0-A95C-2146-8292-2EA208E6F400}"/>
  <namedSheetView name="Ver1" id="{43588B63-087B-C94B-8FA7-E2680584700F}"/>
  <namedSheetView name="Vista 1" id="{9424BA1A-C4CF-E14B-9798-C81DCFEBA9C2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2994C-04F4-8B4D-83DA-C6B18AF092CA}" name="BASE" displayName="BASE" comment="BASE DE DATOS DE NUMERO DE TELCEL A NOMBRE DE THD " ref="A1:AQ1720" totalsRowCount="1" headerRowDxfId="232" headerRowBorderDxfId="231" tableBorderDxfId="230">
  <autoFilter ref="A1:AQ1719" xr:uid="{24A90BF9-3F60-4676-A3B2-228954AF8244}"/>
  <tableColumns count="43">
    <tableColumn id="1" xr3:uid="{615D85A6-F181-1441-A89E-1DA0DC75F60C}" name="TELEFONO" totalsRowLabel="Total"/>
    <tableColumn id="2" xr3:uid="{03C53648-9B26-6940-A242-5D7E8CCD50E5}" name="NOMINA" dataDxfId="229" totalsRowDxfId="228"/>
    <tableColumn id="6" xr3:uid="{73ED29E0-4D41-7940-B8A9-754616C56484}" name="NOMBRE" dataDxfId="227" totalsRowDxfId="226"/>
    <tableColumn id="8" xr3:uid="{452BA279-3CAF-AC49-AC63-5331242C4DE8}" name="APELLIDO PATERNO" dataDxfId="225" totalsRowDxfId="224"/>
    <tableColumn id="7" xr3:uid="{6DA009DF-4952-9348-AE69-10278A7E97EF}" name="APELLIDO MATERNO" dataDxfId="223" totalsRowDxfId="222"/>
    <tableColumn id="9" xr3:uid="{D6A4FC7E-EA26-A148-A6D5-27C931061362}" name="Puesto por Asociación" dataDxfId="221" totalsRowDxfId="220"/>
    <tableColumn id="28" xr3:uid="{113E781D-F7F2-234A-8C78-78B94E1A13F7}" name="PERFIL_LINEA" dataDxfId="219" totalsRowDxfId="218"/>
    <tableColumn id="10" xr3:uid="{644333A4-51DA-7A47-945F-1BF145EFF5D5}" name="ATRIBUTO DIRECCION" dataDxfId="217" totalsRowDxfId="216"/>
    <tableColumn id="12" xr3:uid="{29379395-BDCE-D441-919A-4D8F58FB8EF0}" name="ATRIBUTO TIENDA" dataDxfId="215" totalsRowDxfId="214"/>
    <tableColumn id="13" xr3:uid="{5B52E215-7399-DF4F-A74E-51D067AF063A}" name="CORREO DE CONTACTO" dataDxfId="213" totalsRowDxfId="212"/>
    <tableColumn id="14" xr3:uid="{0AAFAB21-3C85-8B42-A654-EF197DCEEB5E}" name="CORREO EN LA CONSOLA" dataDxfId="211" totalsRowDxfId="210"/>
    <tableColumn id="11" xr3:uid="{DD5B193A-CF85-9048-B0FD-462F7F6DCE47}" name="TIENDA" dataDxfId="209" totalsRowDxfId="208"/>
    <tableColumn id="47" xr3:uid="{46FA910B-5C94-7A46-B7CA-7F8C00481301}" name="DISTRITO " dataDxfId="207" totalsRowDxfId="206"/>
    <tableColumn id="16" xr3:uid="{43DD0DB8-DD87-BC4F-B577-7DCDADD980C4}" name="CC" dataDxfId="205" totalsRowDxfId="204"/>
    <tableColumn id="18" xr3:uid="{39A3ADF9-DFA9-CF49-B701-1650EC76F300}" name="REGION DEL SIM" dataDxfId="203" totalsRowDxfId="202"/>
    <tableColumn id="40" xr3:uid="{2D6C1466-FF3E-4A4B-9577-152F6341B6E0}" name="ESTADO DE LA LINEA" dataDxfId="201" totalsRowDxfId="200"/>
    <tableColumn id="19" xr3:uid="{FD510191-7A2F-E246-A42B-F37BE92EF57B}" name="SIM " dataDxfId="199" totalsRowDxfId="198"/>
    <tableColumn id="20" xr3:uid="{0ACFE567-20C4-C845-9066-8C37C945EC73}" name="CUENTA DE LA LINEA TELCEL" dataDxfId="197" totalsRowDxfId="196"/>
    <tableColumn id="22" xr3:uid="{991C5D84-35D4-E34F-8B38-D2CAE6075267}" name="IMEI ADENDUM" dataDxfId="195" totalsRowDxfId="194"/>
    <tableColumn id="34" xr3:uid="{EDC1B2BD-7978-E247-BC2D-6D699800C899}" name="EQUIPO ADENDUM" dataDxfId="193" totalsRowDxfId="192"/>
    <tableColumn id="21" xr3:uid="{57D0D21B-102B-1641-856A-71AC006CB8CA}" name="IMEI CONSOLA" dataDxfId="191" totalsRowDxfId="190"/>
    <tableColumn id="35" xr3:uid="{9EEF7618-68BC-DC44-AC75-13DD0DE100A2}" name="GAMA" dataDxfId="189" totalsRowDxfId="188"/>
    <tableColumn id="36" xr3:uid="{41BCEF24-2E97-6F47-917A-11EB830511B3}" name="MODELO CONSOLA" dataDxfId="187" totalsRowDxfId="186"/>
    <tableColumn id="32" xr3:uid="{02B0F92B-3A1B-E045-936E-82F09D5B9FE7}" name="MODELO" dataDxfId="185" totalsRowDxfId="184"/>
    <tableColumn id="25" xr3:uid="{A2AD062F-9970-E44E-A833-65B208A73841}" name="MODELO_ESTATICO" dataDxfId="183" totalsRowDxfId="182"/>
    <tableColumn id="37" xr3:uid="{27E035E1-5103-9D45-AED4-772221F85E99}" name="FECHA INICIO" dataDxfId="181" totalsRowDxfId="180"/>
    <tableColumn id="38" xr3:uid="{69BB7BAF-0D98-7D4D-963F-CC3B7E31C67E}" name="FECHA TERMINO " dataDxfId="179" totalsRowDxfId="178"/>
    <tableColumn id="24" xr3:uid="{C587684C-D0B1-FA45-904C-A73EFC41CE99}" name="NOMBRE DEL PLAN" dataDxfId="177" totalsRowDxfId="176"/>
    <tableColumn id="39" xr3:uid="{4203236C-CA45-AB4B-BF97-33777B0E426E}" name="MONTO DE RENTA " dataDxfId="175" totalsRowDxfId="174"/>
    <tableColumn id="4" xr3:uid="{67BE9B1E-1E2D-BD4E-B56F-E9D528B2BD8C}" name="MONTO DE RENTA + IVA " dataDxfId="173" totalsRowDxfId="172">
      <calculatedColumnFormula>SUM(BASE[[#This Row],[MONTO DE RENTA ]]*1.16)</calculatedColumnFormula>
    </tableColumn>
    <tableColumn id="5" xr3:uid="{5E7E6413-4C48-7B41-B58D-7590CBE44AC9}" name="PLAN PROPUESTA " dataDxfId="171" totalsRowDxfId="170"/>
    <tableColumn id="29" xr3:uid="{2726FD04-C6BC-5949-A1AB-683B3FC3A891}" name="MONTO PLAN PROPUESTA SIN IVA " dataDxfId="169" totalsRowDxfId="168"/>
    <tableColumn id="23" xr3:uid="{857F8C81-B4B7-F740-AB91-C9ADBE6752D8}" name="MONTO PLAN PROPUESTA CON IVA " dataDxfId="167" totalsRowDxfId="166"/>
    <tableColumn id="41" xr3:uid="{A36AFBED-9454-2E4C-A729-97ECC2FAA95C}" name="Motivo Asignacion " dataDxfId="165" totalsRowDxfId="164"/>
    <tableColumn id="26" xr3:uid="{A7F05328-1E09-A042-B213-8E593D8589DD}" name="Fecha de entrega" dataDxfId="163" totalsRowDxfId="162"/>
    <tableColumn id="31" xr3:uid="{21AF7E2C-25C0-034E-A0DC-FAA7A6FC521B}" name="FECHA DE RENOVACION " dataDxfId="161" totalsRowDxfId="160"/>
    <tableColumn id="3" xr3:uid="{83757E7A-A45D-3B4D-B010-F254215550AD}" name="DIFERENCIA DE TIEMPO (REN -HOY ) EN MESES" dataDxfId="159" totalsRowDxfId="158">
      <calculatedColumnFormula>IFERROR(DATEDIF(TODAY(),BASE[[#This Row],[FECHA DE RENOVACION ]],"M"),"Sin valor de rev")</calculatedColumnFormula>
    </tableColumn>
    <tableColumn id="43" xr3:uid="{8558FD5C-C614-3043-B62F-9483548D3175}" name="Centro de costos a cobrar Equipo" dataDxfId="157" totalsRowDxfId="156"/>
    <tableColumn id="44" xr3:uid="{A88F3F63-FC44-C143-9633-6934C5AFA2A1}" name="Comentarios" dataDxfId="155" totalsRowDxfId="154"/>
    <tableColumn id="33" xr3:uid="{BE1D57E9-1E2C-B448-A0D7-29F5382B2E9F}" name="RENOVACION" dataDxfId="153" totalsRowDxfId="152"/>
    <tableColumn id="17" xr3:uid="{C64ECEE2-1308-204A-B0C4-B942869CED82}" name="EQUIPO PARA STOCK" dataDxfId="151" totalsRowDxfId="150"/>
    <tableColumn id="15" xr3:uid="{F57BDC19-4D97-4F49-8443-53A0114BA5F5}" name="UPGRADE PLAN " dataDxfId="149" totalsRowDxfId="148"/>
    <tableColumn id="27" xr3:uid="{73890271-6C35-5843-AE9F-4E68835DBA93}" name="COMPRA EQUIPO" dataDxfId="147" totalsRowDxfId="146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8796-ProRep1@homedepot.com.mx" TargetMode="External"/><Relationship Id="rId18" Type="http://schemas.openxmlformats.org/officeDocument/2006/relationships/hyperlink" Target="mailto:1179-Logistic@homedepot.com.mx" TargetMode="External"/><Relationship Id="rId26" Type="http://schemas.openxmlformats.org/officeDocument/2006/relationships/hyperlink" Target="mailto:8647-ProRep2@homedepot.com.mx" TargetMode="External"/><Relationship Id="rId39" Type="http://schemas.openxmlformats.org/officeDocument/2006/relationships/hyperlink" Target="mailto:8701-entregasdirectas@homedepot.com.mx" TargetMode="External"/><Relationship Id="rId21" Type="http://schemas.openxmlformats.org/officeDocument/2006/relationships/hyperlink" Target="mailto:8061-Operaciones1@homedepot.com.mx" TargetMode="External"/><Relationship Id="rId34" Type="http://schemas.openxmlformats.org/officeDocument/2006/relationships/hyperlink" Target="mailto:8673-pyme@homedepot.com.mx" TargetMode="External"/><Relationship Id="rId42" Type="http://schemas.openxmlformats.org/officeDocument/2006/relationships/hyperlink" Target="mailto:8720-RepresentantePyme@homedepot.com.mx" TargetMode="External"/><Relationship Id="rId47" Type="http://schemas.openxmlformats.org/officeDocument/2006/relationships/hyperlink" Target="mailto:8743-ProRep1@homedepot.com.mx" TargetMode="External"/><Relationship Id="rId50" Type="http://schemas.openxmlformats.org/officeDocument/2006/relationships/hyperlink" Target="mailto:8784-pyme@homedepot.com.mx" TargetMode="External"/><Relationship Id="rId55" Type="http://schemas.openxmlformats.org/officeDocument/2006/relationships/hyperlink" Target="mailto:8799-kpi@homedepot.com.mx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Isaias_torres@homedepot.com.mx" TargetMode="External"/><Relationship Id="rId2" Type="http://schemas.openxmlformats.org/officeDocument/2006/relationships/hyperlink" Target="mailto:paulina_duarte@homedepot.com.mx" TargetMode="External"/><Relationship Id="rId16" Type="http://schemas.openxmlformats.org/officeDocument/2006/relationships/hyperlink" Target="mailto:ignacio_alonso@homedepot.com.mx" TargetMode="External"/><Relationship Id="rId29" Type="http://schemas.openxmlformats.org/officeDocument/2006/relationships/hyperlink" Target="mailto:Ventas8652@homedepot.com.mx" TargetMode="External"/><Relationship Id="rId11" Type="http://schemas.openxmlformats.org/officeDocument/2006/relationships/hyperlink" Target="mailto:8766-pyme@homedepot.com.mx" TargetMode="External"/><Relationship Id="rId24" Type="http://schemas.openxmlformats.org/officeDocument/2006/relationships/hyperlink" Target="mailto:8061-wms@homedepot.com.mx" TargetMode="External"/><Relationship Id="rId32" Type="http://schemas.openxmlformats.org/officeDocument/2006/relationships/hyperlink" Target="mailto:8664-Prodesk2@homedepot.com.mx" TargetMode="External"/><Relationship Id="rId37" Type="http://schemas.openxmlformats.org/officeDocument/2006/relationships/hyperlink" Target="mailto:8693-Prodesk1@homedepot.com.mx" TargetMode="External"/><Relationship Id="rId40" Type="http://schemas.openxmlformats.org/officeDocument/2006/relationships/hyperlink" Target="mailto:8701-Pyme@homedepot.com.mx" TargetMode="External"/><Relationship Id="rId45" Type="http://schemas.openxmlformats.org/officeDocument/2006/relationships/hyperlink" Target="mailto:8728-pyme@homedepot.com.mx" TargetMode="External"/><Relationship Id="rId53" Type="http://schemas.openxmlformats.org/officeDocument/2006/relationships/hyperlink" Target="mailto:8778-ProRep1@homedepot.com.mx" TargetMode="External"/><Relationship Id="rId58" Type="http://schemas.openxmlformats.org/officeDocument/2006/relationships/hyperlink" Target="mailto:seguridad_corporativa@homedepot.com.mx" TargetMode="External"/><Relationship Id="rId5" Type="http://schemas.openxmlformats.org/officeDocument/2006/relationships/hyperlink" Target="mailto:8652-ProRep1@homedepot.com.mx" TargetMode="External"/><Relationship Id="rId61" Type="http://schemas.openxmlformats.org/officeDocument/2006/relationships/hyperlink" Target="mailto:8670-Storemgr@homedepot.com.mx" TargetMode="External"/><Relationship Id="rId19" Type="http://schemas.openxmlformats.org/officeDocument/2006/relationships/hyperlink" Target="mailto:1314-logistic@homedepot.com.mx" TargetMode="External"/><Relationship Id="rId14" Type="http://schemas.openxmlformats.org/officeDocument/2006/relationships/hyperlink" Target="mailto:Jose_carapia@homedepot.com.mx" TargetMode="External"/><Relationship Id="rId22" Type="http://schemas.openxmlformats.org/officeDocument/2006/relationships/hyperlink" Target="mailto:8061-recruitment2@homedepot.com.mx" TargetMode="External"/><Relationship Id="rId27" Type="http://schemas.openxmlformats.org/officeDocument/2006/relationships/hyperlink" Target="mailto:8647-PYME@HOMEDEPOT.COM.MX" TargetMode="External"/><Relationship Id="rId30" Type="http://schemas.openxmlformats.org/officeDocument/2006/relationships/hyperlink" Target="mailto:8653-pyme@homedepot.com.mx" TargetMode="External"/><Relationship Id="rId35" Type="http://schemas.openxmlformats.org/officeDocument/2006/relationships/hyperlink" Target="mailto:8676-Institsales@homedepot.com.mx" TargetMode="External"/><Relationship Id="rId43" Type="http://schemas.openxmlformats.org/officeDocument/2006/relationships/hyperlink" Target="mailto:8725-RepresentantePyme@homedepot.com.mx" TargetMode="External"/><Relationship Id="rId48" Type="http://schemas.openxmlformats.org/officeDocument/2006/relationships/hyperlink" Target="mailto:8752-salesrep@homedepot.com.mx" TargetMode="External"/><Relationship Id="rId56" Type="http://schemas.openxmlformats.org/officeDocument/2006/relationships/hyperlink" Target="mailto:fernanda_sanchez@homedepot.com.mx" TargetMode="External"/><Relationship Id="rId64" Type="http://schemas.microsoft.com/office/2019/04/relationships/namedSheetView" Target="../namedSheetViews/namedSheetView1.xml"/><Relationship Id="rId8" Type="http://schemas.openxmlformats.org/officeDocument/2006/relationships/hyperlink" Target="mailto:ana_tamez@homedepot.com.mx" TargetMode="External"/><Relationship Id="rId51" Type="http://schemas.openxmlformats.org/officeDocument/2006/relationships/hyperlink" Target="mailto:8797-Prodeskmgr@homedepot.com.mx" TargetMode="External"/><Relationship Id="rId3" Type="http://schemas.openxmlformats.org/officeDocument/2006/relationships/hyperlink" Target="mailto:8723-representantepyme@homedepot.com.mx" TargetMode="External"/><Relationship Id="rId12" Type="http://schemas.openxmlformats.org/officeDocument/2006/relationships/hyperlink" Target="mailto:8788-pyme@homedepot.com.mx" TargetMode="External"/><Relationship Id="rId17" Type="http://schemas.openxmlformats.org/officeDocument/2006/relationships/hyperlink" Target="mailto:1164-delivery@homedepot.com.mx" TargetMode="External"/><Relationship Id="rId25" Type="http://schemas.openxmlformats.org/officeDocument/2006/relationships/hyperlink" Target="mailto:8061-Transport@homedepot.com.mx" TargetMode="External"/><Relationship Id="rId33" Type="http://schemas.openxmlformats.org/officeDocument/2006/relationships/hyperlink" Target="mailto:8664-Prodesk2@homedepot.com.mx" TargetMode="External"/><Relationship Id="rId38" Type="http://schemas.openxmlformats.org/officeDocument/2006/relationships/hyperlink" Target="mailto:8696-EntregasDirectas@homedepot.com.mx" TargetMode="External"/><Relationship Id="rId46" Type="http://schemas.openxmlformats.org/officeDocument/2006/relationships/hyperlink" Target="mailto:8739-pyme@homedepot.com.mx" TargetMode="External"/><Relationship Id="rId59" Type="http://schemas.openxmlformats.org/officeDocument/2006/relationships/hyperlink" Target="mailto:seguridad_corporativa@homedepot.com.mx" TargetMode="External"/><Relationship Id="rId20" Type="http://schemas.openxmlformats.org/officeDocument/2006/relationships/hyperlink" Target="mailto:8061-Operaciones1@homedepot.com.mx" TargetMode="External"/><Relationship Id="rId41" Type="http://schemas.openxmlformats.org/officeDocument/2006/relationships/hyperlink" Target="mailto:8720-RepresentantePyme@homedepot.com.mx" TargetMode="External"/><Relationship Id="rId54" Type="http://schemas.openxmlformats.org/officeDocument/2006/relationships/hyperlink" Target="mailto:8799-kpi@homedepot.com.mx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mailto:paulina_duarte@homedepot.com.mx" TargetMode="External"/><Relationship Id="rId6" Type="http://schemas.openxmlformats.org/officeDocument/2006/relationships/hyperlink" Target="mailto:8672-salesrep@homedepot.com.mx" TargetMode="External"/><Relationship Id="rId15" Type="http://schemas.openxmlformats.org/officeDocument/2006/relationships/hyperlink" Target="mailto:karina-quiroga@homedepot.com.mx" TargetMode="External"/><Relationship Id="rId23" Type="http://schemas.openxmlformats.org/officeDocument/2006/relationships/hyperlink" Target="mailto:8061-Security2@homedepot.com.mx" TargetMode="External"/><Relationship Id="rId28" Type="http://schemas.openxmlformats.org/officeDocument/2006/relationships/hyperlink" Target="mailto:8651-storemgr@homedepot.com.mx" TargetMode="External"/><Relationship Id="rId36" Type="http://schemas.openxmlformats.org/officeDocument/2006/relationships/hyperlink" Target="mailto:8682-ProRep1@homedepot.com.mx" TargetMode="External"/><Relationship Id="rId49" Type="http://schemas.openxmlformats.org/officeDocument/2006/relationships/hyperlink" Target="mailto:8778-ProRep1@homedepot.com.mx" TargetMode="External"/><Relationship Id="rId57" Type="http://schemas.openxmlformats.org/officeDocument/2006/relationships/hyperlink" Target="mailto:fernanda_sanchez@homedepot.com.mx" TargetMode="External"/><Relationship Id="rId10" Type="http://schemas.openxmlformats.org/officeDocument/2006/relationships/hyperlink" Target="mailto:8756-prorep1@homedepot.com.mx" TargetMode="External"/><Relationship Id="rId31" Type="http://schemas.openxmlformats.org/officeDocument/2006/relationships/hyperlink" Target="mailto:8663-pyme@homedepot.com.mx" TargetMode="External"/><Relationship Id="rId44" Type="http://schemas.openxmlformats.org/officeDocument/2006/relationships/hyperlink" Target="mailto:8727-pyme@homedepot.com.mx" TargetMode="External"/><Relationship Id="rId52" Type="http://schemas.openxmlformats.org/officeDocument/2006/relationships/hyperlink" Target="mailto:4038-prorep1@homedepot.com.mx" TargetMode="External"/><Relationship Id="rId60" Type="http://schemas.openxmlformats.org/officeDocument/2006/relationships/hyperlink" Target="mailto:8670-Storemgr@homedepot.com.mx" TargetMode="External"/><Relationship Id="rId4" Type="http://schemas.openxmlformats.org/officeDocument/2006/relationships/hyperlink" Target="mailto:8652-ProRep1@homedepot.com.mx" TargetMode="External"/><Relationship Id="rId9" Type="http://schemas.openxmlformats.org/officeDocument/2006/relationships/hyperlink" Target="mailto:ana_tamez@homedepot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9D56-A7F7-C147-8564-FE51AAC9DBCA}">
  <dimension ref="A1:BL1720"/>
  <sheetViews>
    <sheetView tabSelected="1" zoomScale="150" zoomScaleNormal="150" zoomScaleSheetLayoutView="135" workbookViewId="0">
      <pane ySplit="1" topLeftCell="A540" activePane="bottomLeft" state="frozen"/>
      <selection activeCell="O1" sqref="O1"/>
      <selection pane="bottomLeft" activeCell="B545" sqref="B545"/>
    </sheetView>
  </sheetViews>
  <sheetFormatPr baseColWidth="10" defaultColWidth="9.1640625" defaultRowHeight="0" customHeight="1" zeroHeight="1"/>
  <cols>
    <col min="1" max="1" width="16.1640625" style="20" bestFit="1" customWidth="1"/>
    <col min="2" max="2" width="21.5" style="49" customWidth="1"/>
    <col min="3" max="3" width="21.1640625" style="22" customWidth="1"/>
    <col min="4" max="4" width="18.5" style="20" customWidth="1"/>
    <col min="5" max="5" width="23" style="22" customWidth="1"/>
    <col min="6" max="6" width="60.5" style="22" customWidth="1"/>
    <col min="7" max="7" width="51.5" style="22" customWidth="1"/>
    <col min="8" max="8" width="30.5" style="20" customWidth="1"/>
    <col min="9" max="9" width="38.5" style="20" customWidth="1"/>
    <col min="10" max="10" width="34.6640625" style="22" customWidth="1"/>
    <col min="11" max="11" width="32" style="22" customWidth="1"/>
    <col min="12" max="12" width="26.83203125" style="23" customWidth="1"/>
    <col min="13" max="13" width="14" style="24" customWidth="1"/>
    <col min="14" max="14" width="20" style="23" customWidth="1"/>
    <col min="15" max="15" width="14.5" style="363" customWidth="1"/>
    <col min="16" max="16" width="21.1640625" style="363" customWidth="1"/>
    <col min="17" max="17" width="28" style="20" customWidth="1"/>
    <col min="18" max="18" width="19.1640625" style="20" customWidth="1"/>
    <col min="19" max="19" width="22.1640625" style="23" customWidth="1"/>
    <col min="20" max="20" width="11.33203125" style="26" customWidth="1"/>
    <col min="21" max="21" width="26" style="23" customWidth="1"/>
    <col min="22" max="22" width="12.83203125" style="27" customWidth="1"/>
    <col min="23" max="25" width="30.5" style="20" customWidth="1"/>
    <col min="26" max="26" width="20.5" style="20" customWidth="1"/>
    <col min="27" max="27" width="19.5" style="63" customWidth="1"/>
    <col min="28" max="28" width="30.83203125" style="20" customWidth="1"/>
    <col min="29" max="30" width="16.5" style="28" customWidth="1"/>
    <col min="31" max="31" width="24" style="28" customWidth="1"/>
    <col min="32" max="32" width="12.1640625" style="28" customWidth="1"/>
    <col min="33" max="33" width="10.1640625" style="28" customWidth="1"/>
    <col min="34" max="34" width="18.83203125" style="22" customWidth="1"/>
    <col min="35" max="35" width="19.5" style="63" customWidth="1"/>
    <col min="36" max="36" width="20.1640625" style="63" customWidth="1"/>
    <col min="37" max="37" width="22.5" style="63" customWidth="1"/>
    <col min="38" max="38" width="20.5" style="20" customWidth="1"/>
    <col min="39" max="39" width="22.83203125" style="20" customWidth="1"/>
    <col min="40" max="40" width="25.1640625" style="20" customWidth="1"/>
    <col min="41" max="41" width="34.1640625" style="20" hidden="1" customWidth="1"/>
    <col min="42" max="43" width="32" style="20" customWidth="1"/>
    <col min="44" max="44" width="19.1640625" style="20" customWidth="1"/>
    <col min="45" max="45" width="19.83203125" style="20" customWidth="1"/>
    <col min="46" max="46" width="9.83203125" style="20" customWidth="1"/>
    <col min="47" max="328" width="9.1640625" style="20" customWidth="1"/>
    <col min="329" max="16384" width="9.1640625" style="20"/>
  </cols>
  <sheetData>
    <row r="1" spans="1:45" s="19" customFormat="1" ht="4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6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7" t="s">
        <v>15</v>
      </c>
      <c r="Q1" s="3" t="s">
        <v>16</v>
      </c>
      <c r="R1" s="6" t="s">
        <v>17</v>
      </c>
      <c r="S1" s="8" t="s">
        <v>18</v>
      </c>
      <c r="T1" s="9" t="s">
        <v>19</v>
      </c>
      <c r="U1" s="1" t="s">
        <v>20</v>
      </c>
      <c r="V1" s="10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3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2" t="s">
        <v>32</v>
      </c>
      <c r="AH1" s="14" t="s">
        <v>33</v>
      </c>
      <c r="AI1" s="15" t="s">
        <v>34</v>
      </c>
      <c r="AJ1" s="15" t="s">
        <v>35</v>
      </c>
      <c r="AK1" s="15" t="s">
        <v>36</v>
      </c>
      <c r="AL1" s="16" t="s">
        <v>37</v>
      </c>
      <c r="AM1" s="17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</row>
    <row r="2" spans="1:45" ht="16">
      <c r="A2" s="20">
        <v>5534559895</v>
      </c>
      <c r="B2" s="21">
        <v>250446</v>
      </c>
      <c r="C2" s="20" t="s">
        <v>43</v>
      </c>
      <c r="D2" s="20" t="s">
        <v>44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46</v>
      </c>
      <c r="J2" s="22" t="s">
        <v>49</v>
      </c>
      <c r="K2" s="22" t="s">
        <v>50</v>
      </c>
      <c r="L2" s="23" t="s">
        <v>51</v>
      </c>
      <c r="M2" s="24" t="s">
        <v>7736</v>
      </c>
      <c r="N2" s="23">
        <v>11123000</v>
      </c>
      <c r="O2" s="25" t="s">
        <v>52</v>
      </c>
      <c r="P2" s="25" t="s">
        <v>53</v>
      </c>
      <c r="Q2" s="20" t="s">
        <v>54</v>
      </c>
      <c r="R2" s="20">
        <v>97803383</v>
      </c>
      <c r="S2" s="25" t="s">
        <v>55</v>
      </c>
      <c r="T2" s="26" t="s">
        <v>56</v>
      </c>
      <c r="U2" s="23">
        <v>860900062321971</v>
      </c>
      <c r="V2" s="27" t="s">
        <v>57</v>
      </c>
      <c r="W2" s="20" t="s">
        <v>58</v>
      </c>
      <c r="X2" s="20" t="s">
        <v>59</v>
      </c>
      <c r="Y2" s="20" t="s">
        <v>59</v>
      </c>
      <c r="Z2" s="20" t="s">
        <v>60</v>
      </c>
      <c r="AA2" s="20" t="s">
        <v>61</v>
      </c>
      <c r="AB2" s="20" t="s">
        <v>62</v>
      </c>
      <c r="AC2" s="28">
        <v>197.41</v>
      </c>
      <c r="AD2" s="28">
        <f>SUM(BASE[[#This Row],[MONTO DE RENTA ]]*1.16)</f>
        <v>228.99559999999997</v>
      </c>
      <c r="AE2" s="28" t="s">
        <v>63</v>
      </c>
      <c r="AF2" s="28">
        <v>369.82758620689657</v>
      </c>
      <c r="AG2" s="28">
        <v>429</v>
      </c>
      <c r="AH2" s="22" t="s">
        <v>64</v>
      </c>
      <c r="AI2" s="29">
        <v>45703</v>
      </c>
      <c r="AJ2" s="29">
        <v>46433</v>
      </c>
      <c r="AK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" s="30"/>
      <c r="AN2" s="20" t="s">
        <v>65</v>
      </c>
      <c r="AP2" s="20" t="s">
        <v>66</v>
      </c>
    </row>
    <row r="3" spans="1:45" ht="17">
      <c r="A3" s="20">
        <v>8120405573</v>
      </c>
      <c r="B3" s="31">
        <v>30096</v>
      </c>
      <c r="C3" s="20" t="s">
        <v>67</v>
      </c>
      <c r="D3" s="20" t="s">
        <v>68</v>
      </c>
      <c r="E3" s="20" t="s">
        <v>69</v>
      </c>
      <c r="F3" s="20" t="s">
        <v>70</v>
      </c>
      <c r="G3" s="20" t="s">
        <v>70</v>
      </c>
      <c r="H3" s="20" t="s">
        <v>48</v>
      </c>
      <c r="I3" s="20" t="s">
        <v>70</v>
      </c>
      <c r="J3" s="22" t="s">
        <v>71</v>
      </c>
      <c r="K3" s="32" t="s">
        <v>72</v>
      </c>
      <c r="L3" s="23" t="s">
        <v>73</v>
      </c>
      <c r="M3" s="24" t="s">
        <v>7737</v>
      </c>
      <c r="N3" s="23">
        <v>11342000</v>
      </c>
      <c r="O3" s="25" t="s">
        <v>74</v>
      </c>
      <c r="P3" s="25" t="s">
        <v>53</v>
      </c>
      <c r="Q3" s="20" t="s">
        <v>75</v>
      </c>
      <c r="R3" s="20">
        <v>45142573</v>
      </c>
      <c r="S3" s="25" t="s">
        <v>76</v>
      </c>
      <c r="T3" s="26" t="s">
        <v>77</v>
      </c>
      <c r="U3" s="23">
        <v>351307359769399</v>
      </c>
      <c r="V3" s="27" t="s">
        <v>78</v>
      </c>
      <c r="W3" s="20" t="s">
        <v>79</v>
      </c>
      <c r="X3" s="20" t="s">
        <v>79</v>
      </c>
      <c r="Y3" s="20" t="s">
        <v>79</v>
      </c>
      <c r="Z3" s="20" t="s">
        <v>80</v>
      </c>
      <c r="AA3" s="20" t="s">
        <v>81</v>
      </c>
      <c r="AB3" s="20" t="s">
        <v>82</v>
      </c>
      <c r="AC3" s="28">
        <v>559.48</v>
      </c>
      <c r="AD3" s="28">
        <f>SUM(BASE[[#This Row],[MONTO DE RENTA ]]*1.16)</f>
        <v>648.99680000000001</v>
      </c>
      <c r="AE3" s="28" t="s">
        <v>83</v>
      </c>
      <c r="AF3" s="28">
        <v>559.48275862068965</v>
      </c>
      <c r="AG3" s="28">
        <v>649</v>
      </c>
      <c r="AH3" s="22" t="s">
        <v>64</v>
      </c>
      <c r="AI3" s="29">
        <v>45703</v>
      </c>
      <c r="AJ3" s="29">
        <v>46433</v>
      </c>
      <c r="AK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" s="30"/>
      <c r="AN3" s="20" t="s">
        <v>65</v>
      </c>
      <c r="AP3" s="20" t="s">
        <v>84</v>
      </c>
      <c r="AS3" s="33" t="e">
        <f>SUM(BASE[[MONTO DE RENTA ]])</f>
        <v>#N/A</v>
      </c>
    </row>
    <row r="4" spans="1:45" ht="16">
      <c r="A4" s="34">
        <v>4774201935</v>
      </c>
      <c r="B4" s="35">
        <v>410017</v>
      </c>
      <c r="C4" s="20" t="s">
        <v>85</v>
      </c>
      <c r="D4" s="20" t="s">
        <v>86</v>
      </c>
      <c r="E4" s="20" t="s">
        <v>87</v>
      </c>
      <c r="F4" s="20" t="s">
        <v>88</v>
      </c>
      <c r="G4" s="20" t="s">
        <v>88</v>
      </c>
      <c r="H4" s="20" t="s">
        <v>89</v>
      </c>
      <c r="I4" s="20" t="s">
        <v>88</v>
      </c>
      <c r="J4" s="36" t="s">
        <v>90</v>
      </c>
      <c r="K4" s="37" t="s">
        <v>91</v>
      </c>
      <c r="L4" s="38" t="s">
        <v>92</v>
      </c>
      <c r="M4" s="24" t="s">
        <v>7738</v>
      </c>
      <c r="N4" s="23">
        <v>18848041</v>
      </c>
      <c r="O4" s="25" t="s">
        <v>93</v>
      </c>
      <c r="P4" s="25" t="s">
        <v>53</v>
      </c>
      <c r="Q4" s="20" t="s">
        <v>94</v>
      </c>
      <c r="R4" s="20">
        <v>61962883</v>
      </c>
      <c r="S4" s="25" t="s">
        <v>55</v>
      </c>
      <c r="T4" s="39" t="s">
        <v>56</v>
      </c>
      <c r="U4" s="23">
        <v>351835921970251</v>
      </c>
      <c r="V4" s="27" t="s">
        <v>78</v>
      </c>
      <c r="W4" s="20" t="s">
        <v>95</v>
      </c>
      <c r="X4" s="20" t="s">
        <v>95</v>
      </c>
      <c r="Y4" s="20" t="s">
        <v>95</v>
      </c>
      <c r="Z4" s="20" t="s">
        <v>60</v>
      </c>
      <c r="AA4" s="20" t="s">
        <v>61</v>
      </c>
      <c r="AB4" s="20" t="s">
        <v>96</v>
      </c>
      <c r="AC4" s="28">
        <v>369.83</v>
      </c>
      <c r="AD4" s="28">
        <f>SUM(BASE[[#This Row],[MONTO DE RENTA ]]*1.16)</f>
        <v>429.00279999999998</v>
      </c>
      <c r="AE4" s="28" t="s">
        <v>97</v>
      </c>
      <c r="AF4" s="28">
        <v>473.27586206896552</v>
      </c>
      <c r="AG4" s="28">
        <v>549</v>
      </c>
      <c r="AH4" s="36" t="s">
        <v>98</v>
      </c>
      <c r="AI4" s="40">
        <v>45426</v>
      </c>
      <c r="AJ4" s="40">
        <v>46156</v>
      </c>
      <c r="AK4" s="30">
        <f ca="1">IFERROR(IF(BASE[[#This Row],[FECHA DE RENOVACION ]]&gt;TODAY(), DATEDIF(TODAY(),BASE[[#This Row],[FECHA DE RENOVACION ]],"M"), -DATEDIF(BASE[[#This Row],[FECHA DE RENOVACION ]],TODAY(),"M")), "Sin fecha")</f>
        <v>2</v>
      </c>
      <c r="AL4" s="41"/>
      <c r="AM4" s="42"/>
      <c r="AN4" s="20" t="s">
        <v>99</v>
      </c>
      <c r="AP4" s="20" t="s">
        <v>66</v>
      </c>
      <c r="AQ4" s="20" t="s">
        <v>100</v>
      </c>
    </row>
    <row r="5" spans="1:45" ht="16">
      <c r="A5" s="20">
        <v>8134037191</v>
      </c>
      <c r="B5" s="43">
        <v>300591</v>
      </c>
      <c r="C5" s="20" t="s">
        <v>101</v>
      </c>
      <c r="D5" s="20" t="s">
        <v>102</v>
      </c>
      <c r="E5" s="20" t="s">
        <v>103</v>
      </c>
      <c r="F5" s="20" t="s">
        <v>104</v>
      </c>
      <c r="G5" s="20" t="s">
        <v>104</v>
      </c>
      <c r="H5" s="20" t="s">
        <v>48</v>
      </c>
      <c r="I5" s="20" t="s">
        <v>104</v>
      </c>
      <c r="J5" s="22" t="s">
        <v>105</v>
      </c>
      <c r="K5" s="32" t="s">
        <v>106</v>
      </c>
      <c r="L5" s="23" t="s">
        <v>107</v>
      </c>
      <c r="M5" s="24" t="s">
        <v>7739</v>
      </c>
      <c r="N5" s="23">
        <v>18756000</v>
      </c>
      <c r="O5" s="25" t="s">
        <v>74</v>
      </c>
      <c r="P5" s="25" t="s">
        <v>53</v>
      </c>
      <c r="Q5" s="20" t="s">
        <v>108</v>
      </c>
      <c r="R5" s="20">
        <v>45522157</v>
      </c>
      <c r="S5" s="25" t="s">
        <v>109</v>
      </c>
      <c r="T5" s="44" t="s">
        <v>57</v>
      </c>
      <c r="U5" s="23">
        <v>861383070409014</v>
      </c>
      <c r="V5" s="45" t="s">
        <v>110</v>
      </c>
      <c r="W5" s="20" t="s">
        <v>111</v>
      </c>
      <c r="X5" s="20" t="s">
        <v>112</v>
      </c>
      <c r="Y5" s="20" t="s">
        <v>112</v>
      </c>
      <c r="Z5" s="20" t="s">
        <v>113</v>
      </c>
      <c r="AA5" s="20" t="s">
        <v>114</v>
      </c>
      <c r="AB5" s="20" t="s">
        <v>115</v>
      </c>
      <c r="AC5" s="28">
        <v>559.48</v>
      </c>
      <c r="AD5" s="28">
        <f>SUM(BASE[[#This Row],[MONTO DE RENTA ]]*1.16)</f>
        <v>648.99680000000001</v>
      </c>
      <c r="AE5" s="28" t="s">
        <v>97</v>
      </c>
      <c r="AF5" s="28">
        <v>473.27586206896552</v>
      </c>
      <c r="AG5" s="28">
        <v>549</v>
      </c>
      <c r="AH5" s="22" t="s">
        <v>116</v>
      </c>
      <c r="AI5" s="29">
        <v>45910</v>
      </c>
      <c r="AJ5" s="29">
        <v>46640</v>
      </c>
      <c r="AK5" s="30">
        <f ca="1">IFERROR(IF(BASE[[#This Row],[FECHA DE RENOVACION ]]&gt;TODAY(), DATEDIF(TODAY(),BASE[[#This Row],[FECHA DE RENOVACION ]],"M"), -DATEDIF(BASE[[#This Row],[FECHA DE RENOVACION ]],TODAY(),"M")), "Sin fecha")</f>
        <v>18</v>
      </c>
      <c r="AL5" s="20" t="s">
        <v>117</v>
      </c>
      <c r="AM5" s="30"/>
      <c r="AN5" s="20" t="s">
        <v>65</v>
      </c>
      <c r="AP5" s="20" t="s">
        <v>118</v>
      </c>
    </row>
    <row r="6" spans="1:45" ht="16">
      <c r="A6" s="20">
        <v>6241571067</v>
      </c>
      <c r="B6" s="21">
        <v>660727</v>
      </c>
      <c r="C6" s="20" t="s">
        <v>119</v>
      </c>
      <c r="D6" s="20" t="s">
        <v>120</v>
      </c>
      <c r="E6" s="20" t="s">
        <v>121</v>
      </c>
      <c r="F6" s="20" t="s">
        <v>122</v>
      </c>
      <c r="G6" s="20" t="s">
        <v>122</v>
      </c>
      <c r="H6" s="20" t="s">
        <v>48</v>
      </c>
      <c r="I6" s="20" t="s">
        <v>122</v>
      </c>
      <c r="J6" s="32" t="s">
        <v>123</v>
      </c>
      <c r="K6" s="32" t="s">
        <v>124</v>
      </c>
      <c r="L6" s="23" t="s">
        <v>125</v>
      </c>
      <c r="M6" s="24" t="s">
        <v>7740</v>
      </c>
      <c r="N6" s="23">
        <v>18766000</v>
      </c>
      <c r="O6" s="25" t="s">
        <v>126</v>
      </c>
      <c r="P6" s="25" t="s">
        <v>53</v>
      </c>
      <c r="Q6" s="20" t="s">
        <v>127</v>
      </c>
      <c r="R6" s="20">
        <v>11595657</v>
      </c>
      <c r="S6" s="25" t="s">
        <v>128</v>
      </c>
      <c r="T6" s="26" t="s">
        <v>57</v>
      </c>
      <c r="U6" s="23">
        <v>865356065670275</v>
      </c>
      <c r="V6" s="27" t="s">
        <v>57</v>
      </c>
      <c r="W6" s="20" t="s">
        <v>129</v>
      </c>
      <c r="X6" s="20" t="s">
        <v>130</v>
      </c>
      <c r="Y6" s="20" t="s">
        <v>130</v>
      </c>
      <c r="Z6" s="20" t="s">
        <v>131</v>
      </c>
      <c r="AA6" s="20" t="s">
        <v>132</v>
      </c>
      <c r="AB6" s="20" t="s">
        <v>96</v>
      </c>
      <c r="AC6" s="28">
        <v>369.83</v>
      </c>
      <c r="AD6" s="28">
        <f>SUM(BASE[[#This Row],[MONTO DE RENTA ]]*1.16)</f>
        <v>429.00279999999998</v>
      </c>
      <c r="AE6" s="28" t="s">
        <v>63</v>
      </c>
      <c r="AF6" s="28">
        <v>369.82758620689657</v>
      </c>
      <c r="AG6" s="28">
        <v>429</v>
      </c>
      <c r="AI6" s="29">
        <v>44937</v>
      </c>
      <c r="AJ6" s="46">
        <v>46681</v>
      </c>
      <c r="AK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6" s="30"/>
      <c r="AN6" s="20" t="s">
        <v>65</v>
      </c>
      <c r="AP6" s="20" t="s">
        <v>84</v>
      </c>
    </row>
    <row r="7" spans="1:45" ht="16">
      <c r="A7" s="47">
        <v>5510067651</v>
      </c>
      <c r="B7" s="48">
        <v>1005108</v>
      </c>
      <c r="C7" s="20" t="s">
        <v>133</v>
      </c>
      <c r="D7" s="20" t="s">
        <v>134</v>
      </c>
      <c r="E7" s="20" t="s">
        <v>135</v>
      </c>
      <c r="F7" s="20" t="s">
        <v>122</v>
      </c>
      <c r="G7" s="20" t="s">
        <v>122</v>
      </c>
      <c r="H7" s="20" t="s">
        <v>48</v>
      </c>
      <c r="I7" s="20" t="s">
        <v>122</v>
      </c>
      <c r="J7" s="22" t="s">
        <v>136</v>
      </c>
      <c r="K7" s="32" t="s">
        <v>137</v>
      </c>
      <c r="L7" s="23" t="s">
        <v>138</v>
      </c>
      <c r="M7" s="24" t="s">
        <v>7741</v>
      </c>
      <c r="N7" s="23">
        <v>18788000</v>
      </c>
      <c r="O7" s="25" t="s">
        <v>52</v>
      </c>
      <c r="P7" s="25" t="s">
        <v>53</v>
      </c>
      <c r="Q7" s="20" t="s">
        <v>139</v>
      </c>
      <c r="R7" s="20">
        <v>91332796</v>
      </c>
      <c r="S7" s="25" t="s">
        <v>55</v>
      </c>
      <c r="T7" s="44" t="s">
        <v>56</v>
      </c>
      <c r="U7" s="23">
        <v>860900062338629</v>
      </c>
      <c r="V7" s="27" t="s">
        <v>57</v>
      </c>
      <c r="W7" s="20" t="s">
        <v>58</v>
      </c>
      <c r="X7" s="20" t="s">
        <v>59</v>
      </c>
      <c r="Y7" s="20" t="s">
        <v>59</v>
      </c>
      <c r="Z7" s="20" t="s">
        <v>60</v>
      </c>
      <c r="AA7" s="20" t="s">
        <v>61</v>
      </c>
      <c r="AB7" s="20" t="s">
        <v>96</v>
      </c>
      <c r="AC7" s="28">
        <v>369.83</v>
      </c>
      <c r="AD7" s="28">
        <f>SUM(BASE[[#This Row],[MONTO DE RENTA ]]*1.16)</f>
        <v>429.00279999999998</v>
      </c>
      <c r="AE7" s="28" t="s">
        <v>63</v>
      </c>
      <c r="AF7" s="28">
        <v>369.82758620689657</v>
      </c>
      <c r="AG7" s="28">
        <v>429</v>
      </c>
      <c r="AH7" s="22" t="s">
        <v>140</v>
      </c>
      <c r="AI7" s="29">
        <v>45946</v>
      </c>
      <c r="AJ7" s="29">
        <v>46676</v>
      </c>
      <c r="AK7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7" s="30"/>
      <c r="AN7" s="20" t="s">
        <v>65</v>
      </c>
      <c r="AO7" s="20" t="s">
        <v>141</v>
      </c>
      <c r="AP7" s="20" t="s">
        <v>84</v>
      </c>
      <c r="AQ7" s="20" t="s">
        <v>100</v>
      </c>
    </row>
    <row r="8" spans="1:45" ht="16">
      <c r="A8" s="20">
        <v>8116792427</v>
      </c>
      <c r="B8" s="21">
        <v>960086</v>
      </c>
      <c r="C8" s="20" t="s">
        <v>142</v>
      </c>
      <c r="D8" s="20" t="s">
        <v>143</v>
      </c>
      <c r="E8" s="20" t="s">
        <v>86</v>
      </c>
      <c r="F8" s="20" t="s">
        <v>104</v>
      </c>
      <c r="G8" s="20" t="s">
        <v>104</v>
      </c>
      <c r="H8" s="20" t="s">
        <v>48</v>
      </c>
      <c r="I8" s="20" t="s">
        <v>104</v>
      </c>
      <c r="J8" s="22" t="s">
        <v>144</v>
      </c>
      <c r="K8" s="32" t="s">
        <v>145</v>
      </c>
      <c r="L8" s="23" t="s">
        <v>146</v>
      </c>
      <c r="M8" s="24" t="s">
        <v>7739</v>
      </c>
      <c r="N8" s="23">
        <v>18796000</v>
      </c>
      <c r="O8" s="25" t="s">
        <v>74</v>
      </c>
      <c r="P8" s="25" t="s">
        <v>53</v>
      </c>
      <c r="Q8" s="20" t="s">
        <v>147</v>
      </c>
      <c r="R8" s="20">
        <v>43090211</v>
      </c>
      <c r="S8" s="25" t="s">
        <v>148</v>
      </c>
      <c r="T8" s="26" t="s">
        <v>57</v>
      </c>
      <c r="U8" s="23">
        <v>867353050256036</v>
      </c>
      <c r="V8" s="45" t="s">
        <v>110</v>
      </c>
      <c r="W8" s="20" t="s">
        <v>149</v>
      </c>
      <c r="X8" s="20" t="s">
        <v>150</v>
      </c>
      <c r="Y8" s="20" t="s">
        <v>150</v>
      </c>
      <c r="Z8" s="20" t="s">
        <v>80</v>
      </c>
      <c r="AA8" s="20" t="s">
        <v>81</v>
      </c>
      <c r="AB8" s="20" t="s">
        <v>82</v>
      </c>
      <c r="AC8" s="28">
        <v>559.48</v>
      </c>
      <c r="AD8" s="28">
        <f>SUM(BASE[[#This Row],[MONTO DE RENTA ]]*1.16)</f>
        <v>648.99680000000001</v>
      </c>
      <c r="AE8" s="28" t="s">
        <v>97</v>
      </c>
      <c r="AF8" s="28">
        <v>473.27586206896552</v>
      </c>
      <c r="AG8" s="28">
        <v>549</v>
      </c>
      <c r="AI8" s="29">
        <v>44937</v>
      </c>
      <c r="AJ8" s="46">
        <v>46681</v>
      </c>
      <c r="AK8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8" s="30"/>
      <c r="AN8" s="20" t="s">
        <v>65</v>
      </c>
      <c r="AP8" s="20" t="s">
        <v>118</v>
      </c>
    </row>
    <row r="9" spans="1:45" ht="16">
      <c r="A9" s="20">
        <v>8113224401</v>
      </c>
      <c r="B9" s="49">
        <v>7036</v>
      </c>
      <c r="C9" s="20" t="s">
        <v>151</v>
      </c>
      <c r="D9" s="20" t="s">
        <v>152</v>
      </c>
      <c r="E9" s="20" t="s">
        <v>153</v>
      </c>
      <c r="F9" s="20" t="s">
        <v>154</v>
      </c>
      <c r="G9" s="20" t="s">
        <v>154</v>
      </c>
      <c r="H9" s="20" t="s">
        <v>155</v>
      </c>
      <c r="I9" s="20" t="s">
        <v>154</v>
      </c>
      <c r="J9" s="22" t="s">
        <v>156</v>
      </c>
      <c r="K9" s="22" t="s">
        <v>157</v>
      </c>
      <c r="L9" s="23" t="s">
        <v>92</v>
      </c>
      <c r="M9" s="24" t="s">
        <v>7738</v>
      </c>
      <c r="N9" s="23">
        <v>18848003</v>
      </c>
      <c r="O9" s="25" t="s">
        <v>74</v>
      </c>
      <c r="P9" s="25" t="s">
        <v>53</v>
      </c>
      <c r="Q9" s="20" t="s">
        <v>158</v>
      </c>
      <c r="R9" s="20">
        <v>42960134</v>
      </c>
      <c r="S9" s="25" t="s">
        <v>55</v>
      </c>
      <c r="T9" s="26" t="s">
        <v>56</v>
      </c>
      <c r="U9" s="23">
        <v>351835921187765</v>
      </c>
      <c r="V9" s="27" t="s">
        <v>78</v>
      </c>
      <c r="W9" s="20" t="s">
        <v>95</v>
      </c>
      <c r="X9" s="20" t="s">
        <v>95</v>
      </c>
      <c r="Y9" s="20" t="s">
        <v>95</v>
      </c>
      <c r="Z9" s="20" t="s">
        <v>60</v>
      </c>
      <c r="AA9" s="20" t="s">
        <v>61</v>
      </c>
      <c r="AB9" s="20" t="s">
        <v>96</v>
      </c>
      <c r="AC9" s="28">
        <v>369.83</v>
      </c>
      <c r="AD9" s="28">
        <f>SUM(BASE[[#This Row],[MONTO DE RENTA ]]*1.16)</f>
        <v>429.00279999999998</v>
      </c>
      <c r="AE9" s="28" t="s">
        <v>97</v>
      </c>
      <c r="AF9" s="28">
        <v>473.27586206896552</v>
      </c>
      <c r="AG9" s="28">
        <v>549</v>
      </c>
      <c r="AI9" s="29">
        <v>44937</v>
      </c>
      <c r="AJ9" s="50">
        <v>46043</v>
      </c>
      <c r="AK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" s="30"/>
      <c r="AN9" s="20" t="s">
        <v>99</v>
      </c>
      <c r="AP9" s="20" t="s">
        <v>66</v>
      </c>
      <c r="AQ9" s="20" t="s">
        <v>100</v>
      </c>
    </row>
    <row r="10" spans="1:45" ht="16">
      <c r="A10" s="51">
        <v>8111838132</v>
      </c>
      <c r="B10" s="52">
        <v>6884</v>
      </c>
      <c r="C10" s="20" t="s">
        <v>159</v>
      </c>
      <c r="D10" s="20" t="s">
        <v>160</v>
      </c>
      <c r="E10" s="20" t="s">
        <v>161</v>
      </c>
      <c r="F10" s="20" t="s">
        <v>162</v>
      </c>
      <c r="G10" s="20" t="s">
        <v>162</v>
      </c>
      <c r="H10" s="20" t="s">
        <v>155</v>
      </c>
      <c r="I10" s="20" t="s">
        <v>162</v>
      </c>
      <c r="J10" s="53" t="s">
        <v>163</v>
      </c>
      <c r="K10" s="54" t="s">
        <v>164</v>
      </c>
      <c r="L10" s="23" t="s">
        <v>92</v>
      </c>
      <c r="M10" s="24" t="s">
        <v>7738</v>
      </c>
      <c r="N10" s="23">
        <v>18848003</v>
      </c>
      <c r="O10" s="25" t="s">
        <v>74</v>
      </c>
      <c r="P10" s="25" t="s">
        <v>53</v>
      </c>
      <c r="Q10" s="20" t="s">
        <v>165</v>
      </c>
      <c r="R10" s="20">
        <v>45142571</v>
      </c>
      <c r="S10" s="25" t="s">
        <v>166</v>
      </c>
      <c r="T10" s="55" t="s">
        <v>57</v>
      </c>
      <c r="U10" s="23">
        <v>357654178559483</v>
      </c>
      <c r="V10" s="27" t="s">
        <v>78</v>
      </c>
      <c r="W10" s="20" t="s">
        <v>95</v>
      </c>
      <c r="X10" s="20" t="s">
        <v>95</v>
      </c>
      <c r="Y10" s="20" t="s">
        <v>95</v>
      </c>
      <c r="Z10" s="20" t="s">
        <v>167</v>
      </c>
      <c r="AA10" s="20" t="s">
        <v>168</v>
      </c>
      <c r="AB10" s="20" t="s">
        <v>96</v>
      </c>
      <c r="AC10" s="28">
        <v>369.83</v>
      </c>
      <c r="AD10" s="28">
        <f>SUM(BASE[[#This Row],[MONTO DE RENTA ]]*1.16)</f>
        <v>429.00279999999998</v>
      </c>
      <c r="AE10" s="28" t="s">
        <v>97</v>
      </c>
      <c r="AF10" s="28">
        <v>473.27586206896552</v>
      </c>
      <c r="AG10" s="28">
        <v>549</v>
      </c>
      <c r="AH10" s="56" t="s">
        <v>116</v>
      </c>
      <c r="AI10" s="57">
        <v>45525</v>
      </c>
      <c r="AJ10" s="29">
        <v>46262</v>
      </c>
      <c r="AK10" s="30">
        <f ca="1">IFERROR(IF(BASE[[#This Row],[FECHA DE RENOVACION ]]&gt;TODAY(), DATEDIF(TODAY(),BASE[[#This Row],[FECHA DE RENOVACION ]],"M"), -DATEDIF(BASE[[#This Row],[FECHA DE RENOVACION ]],TODAY(),"M")), "Sin fecha")</f>
        <v>5</v>
      </c>
      <c r="AL10" s="51">
        <v>18848002</v>
      </c>
      <c r="AM10" s="58"/>
      <c r="AN10" s="20" t="s">
        <v>65</v>
      </c>
      <c r="AO10" s="20" t="s">
        <v>169</v>
      </c>
      <c r="AP10" s="20" t="s">
        <v>66</v>
      </c>
      <c r="AQ10" s="20" t="s">
        <v>100</v>
      </c>
    </row>
    <row r="11" spans="1:45" ht="16">
      <c r="A11" s="20">
        <v>5591851780</v>
      </c>
      <c r="B11" s="59">
        <v>620007</v>
      </c>
      <c r="C11" s="20" t="s">
        <v>170</v>
      </c>
      <c r="D11" s="20" t="s">
        <v>171</v>
      </c>
      <c r="E11" s="20" t="s">
        <v>172</v>
      </c>
      <c r="F11" s="20" t="s">
        <v>70</v>
      </c>
      <c r="G11" s="20" t="s">
        <v>70</v>
      </c>
      <c r="H11" s="20" t="s">
        <v>48</v>
      </c>
      <c r="I11" s="20" t="s">
        <v>70</v>
      </c>
      <c r="J11" s="22" t="s">
        <v>173</v>
      </c>
      <c r="K11" s="32" t="s">
        <v>174</v>
      </c>
      <c r="L11" s="25" t="s">
        <v>92</v>
      </c>
      <c r="M11" s="24" t="s">
        <v>7738</v>
      </c>
      <c r="N11" s="23">
        <v>18647000</v>
      </c>
      <c r="O11" s="25" t="s">
        <v>52</v>
      </c>
      <c r="P11" s="25" t="s">
        <v>53</v>
      </c>
      <c r="Q11" s="20" t="s">
        <v>175</v>
      </c>
      <c r="R11" s="20">
        <v>9808588</v>
      </c>
      <c r="S11" s="25" t="s">
        <v>55</v>
      </c>
      <c r="T11" s="44" t="s">
        <v>56</v>
      </c>
      <c r="U11" s="23">
        <v>356638830814585</v>
      </c>
      <c r="V11" s="27" t="s">
        <v>78</v>
      </c>
      <c r="W11" s="20" t="s">
        <v>79</v>
      </c>
      <c r="X11" s="20" t="s">
        <v>79</v>
      </c>
      <c r="Y11" s="20" t="s">
        <v>79</v>
      </c>
      <c r="Z11" s="20" t="s">
        <v>60</v>
      </c>
      <c r="AA11" s="20" t="s">
        <v>61</v>
      </c>
      <c r="AB11" s="20" t="s">
        <v>82</v>
      </c>
      <c r="AC11" s="28">
        <v>559.48</v>
      </c>
      <c r="AD11" s="28">
        <f>SUM(BASE[[#This Row],[MONTO DE RENTA ]]*1.16)</f>
        <v>648.99680000000001</v>
      </c>
      <c r="AE11" s="28" t="s">
        <v>83</v>
      </c>
      <c r="AF11" s="28">
        <v>559.48275862068965</v>
      </c>
      <c r="AG11" s="28">
        <v>649</v>
      </c>
      <c r="AH11" s="22" t="s">
        <v>98</v>
      </c>
      <c r="AI11" s="29">
        <v>45756</v>
      </c>
      <c r="AJ11" s="29">
        <v>46486</v>
      </c>
      <c r="AK11" s="30">
        <f ca="1">IFERROR(IF(BASE[[#This Row],[FECHA DE RENOVACION ]]&gt;TODAY(), DATEDIF(TODAY(),BASE[[#This Row],[FECHA DE RENOVACION ]],"M"), -DATEDIF(BASE[[#This Row],[FECHA DE RENOVACION ]],TODAY(),"M")), "Sin fecha")</f>
        <v>13</v>
      </c>
      <c r="AL11" s="47">
        <v>18848105</v>
      </c>
      <c r="AM11" s="30"/>
      <c r="AN11" s="20" t="s">
        <v>65</v>
      </c>
      <c r="AP11" s="20" t="s">
        <v>84</v>
      </c>
    </row>
    <row r="12" spans="1:45" ht="16">
      <c r="A12" s="34">
        <v>8120408999</v>
      </c>
      <c r="B12" s="35">
        <v>7053</v>
      </c>
      <c r="C12" s="20" t="s">
        <v>176</v>
      </c>
      <c r="D12" s="20" t="s">
        <v>177</v>
      </c>
      <c r="E12" s="20" t="s">
        <v>178</v>
      </c>
      <c r="F12" s="20" t="s">
        <v>179</v>
      </c>
      <c r="G12" s="20" t="s">
        <v>179</v>
      </c>
      <c r="H12" s="20" t="s">
        <v>155</v>
      </c>
      <c r="I12" s="20" t="s">
        <v>179</v>
      </c>
      <c r="J12" s="36" t="s">
        <v>180</v>
      </c>
      <c r="K12" s="37" t="s">
        <v>181</v>
      </c>
      <c r="L12" s="23" t="s">
        <v>92</v>
      </c>
      <c r="M12" s="24" t="s">
        <v>7738</v>
      </c>
      <c r="N12" s="23">
        <v>18848043</v>
      </c>
      <c r="O12" s="25" t="s">
        <v>74</v>
      </c>
      <c r="P12" s="25" t="s">
        <v>53</v>
      </c>
      <c r="Q12" s="20" t="s">
        <v>182</v>
      </c>
      <c r="R12" s="20">
        <v>43920564</v>
      </c>
      <c r="S12" s="25" t="s">
        <v>55</v>
      </c>
      <c r="T12" s="39" t="s">
        <v>56</v>
      </c>
      <c r="U12" s="23">
        <v>860900062336102</v>
      </c>
      <c r="V12" s="60" t="s">
        <v>183</v>
      </c>
      <c r="W12" s="20" t="s">
        <v>58</v>
      </c>
      <c r="X12" s="20" t="s">
        <v>59</v>
      </c>
      <c r="Y12" s="20" t="s">
        <v>59</v>
      </c>
      <c r="Z12" s="20" t="s">
        <v>60</v>
      </c>
      <c r="AA12" s="20" t="s">
        <v>61</v>
      </c>
      <c r="AB12" s="20" t="s">
        <v>184</v>
      </c>
      <c r="AC12" s="28">
        <v>473.28</v>
      </c>
      <c r="AD12" s="28">
        <f>SUM(BASE[[#This Row],[MONTO DE RENTA ]]*1.16)</f>
        <v>549.00479999999993</v>
      </c>
      <c r="AE12" s="28" t="s">
        <v>63</v>
      </c>
      <c r="AF12" s="28">
        <v>369.82758620689657</v>
      </c>
      <c r="AG12" s="28">
        <v>429</v>
      </c>
      <c r="AH12" s="36" t="s">
        <v>116</v>
      </c>
      <c r="AI12" s="46">
        <v>45748</v>
      </c>
      <c r="AJ12" s="46">
        <v>46478</v>
      </c>
      <c r="AK12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2" s="34"/>
      <c r="AM12" s="42"/>
      <c r="AN12" s="20" t="s">
        <v>65</v>
      </c>
      <c r="AO12" s="20" t="s">
        <v>141</v>
      </c>
      <c r="AP12" s="20" t="s">
        <v>118</v>
      </c>
      <c r="AQ12" s="20" t="s">
        <v>100</v>
      </c>
    </row>
    <row r="13" spans="1:45" ht="16">
      <c r="A13" s="20">
        <v>8120399804</v>
      </c>
      <c r="B13" s="21">
        <v>6924</v>
      </c>
      <c r="C13" s="20" t="s">
        <v>185</v>
      </c>
      <c r="D13" s="20" t="s">
        <v>186</v>
      </c>
      <c r="E13" s="20" t="s">
        <v>187</v>
      </c>
      <c r="F13" s="20" t="s">
        <v>188</v>
      </c>
      <c r="G13" s="20" t="s">
        <v>188</v>
      </c>
      <c r="H13" s="20" t="s">
        <v>89</v>
      </c>
      <c r="I13" s="20" t="s">
        <v>188</v>
      </c>
      <c r="J13" s="22" t="s">
        <v>189</v>
      </c>
      <c r="K13" s="32" t="s">
        <v>190</v>
      </c>
      <c r="L13" s="23" t="s">
        <v>92</v>
      </c>
      <c r="M13" s="24" t="s">
        <v>7738</v>
      </c>
      <c r="N13" s="23">
        <v>18848041</v>
      </c>
      <c r="O13" s="25" t="s">
        <v>74</v>
      </c>
      <c r="P13" s="25" t="s">
        <v>53</v>
      </c>
      <c r="Q13" s="20" t="s">
        <v>191</v>
      </c>
      <c r="R13" s="20">
        <v>45132940</v>
      </c>
      <c r="S13" s="25" t="s">
        <v>192</v>
      </c>
      <c r="T13" s="26" t="s">
        <v>57</v>
      </c>
      <c r="U13" s="23" t="s">
        <v>193</v>
      </c>
      <c r="V13" s="27" t="s">
        <v>57</v>
      </c>
      <c r="W13" s="20" t="s">
        <v>194</v>
      </c>
      <c r="X13" s="20" t="s">
        <v>194</v>
      </c>
      <c r="Y13" s="20" t="s">
        <v>194</v>
      </c>
      <c r="Z13" s="20" t="s">
        <v>167</v>
      </c>
      <c r="AA13" s="20" t="s">
        <v>168</v>
      </c>
      <c r="AB13" s="20" t="s">
        <v>82</v>
      </c>
      <c r="AC13" s="28">
        <v>559.48</v>
      </c>
      <c r="AD13" s="28">
        <f>SUM(BASE[[#This Row],[MONTO DE RENTA ]]*1.16)</f>
        <v>648.99680000000001</v>
      </c>
      <c r="AE13" s="28" t="s">
        <v>83</v>
      </c>
      <c r="AF13" s="28">
        <v>559.48275862068965</v>
      </c>
      <c r="AG13" s="28">
        <v>649</v>
      </c>
      <c r="AI13" s="29">
        <v>44937</v>
      </c>
      <c r="AJ13" s="46">
        <v>46681</v>
      </c>
      <c r="AK1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3" s="30"/>
      <c r="AN13" s="20" t="s">
        <v>65</v>
      </c>
      <c r="AO13" s="20" t="s">
        <v>141</v>
      </c>
      <c r="AP13" s="20" t="s">
        <v>84</v>
      </c>
      <c r="AQ13" s="20" t="s">
        <v>100</v>
      </c>
    </row>
    <row r="14" spans="1:45" ht="16">
      <c r="A14" s="20">
        <v>8120014438</v>
      </c>
      <c r="B14" s="21">
        <v>1048386</v>
      </c>
      <c r="C14" s="20" t="s">
        <v>195</v>
      </c>
      <c r="D14" s="20" t="s">
        <v>196</v>
      </c>
      <c r="E14" s="20" t="s">
        <v>197</v>
      </c>
      <c r="F14" s="20" t="s">
        <v>198</v>
      </c>
      <c r="G14" s="20" t="s">
        <v>198</v>
      </c>
      <c r="H14" s="20" t="s">
        <v>199</v>
      </c>
      <c r="I14" s="20" t="s">
        <v>198</v>
      </c>
      <c r="J14" s="22" t="s">
        <v>200</v>
      </c>
      <c r="K14" s="32" t="s">
        <v>201</v>
      </c>
      <c r="L14" s="23" t="s">
        <v>92</v>
      </c>
      <c r="M14" s="24" t="s">
        <v>7738</v>
      </c>
      <c r="N14" s="23">
        <v>18848076</v>
      </c>
      <c r="O14" s="25" t="s">
        <v>74</v>
      </c>
      <c r="P14" s="25" t="s">
        <v>53</v>
      </c>
      <c r="Q14" s="20" t="s">
        <v>202</v>
      </c>
      <c r="R14" s="20">
        <v>45017364</v>
      </c>
      <c r="S14" s="25" t="s">
        <v>203</v>
      </c>
      <c r="T14" s="26" t="s">
        <v>57</v>
      </c>
      <c r="U14" s="23">
        <v>860900062264387</v>
      </c>
      <c r="V14" s="27" t="s">
        <v>57</v>
      </c>
      <c r="W14" s="20" t="s">
        <v>58</v>
      </c>
      <c r="X14" s="20" t="s">
        <v>59</v>
      </c>
      <c r="Y14" s="20" t="s">
        <v>59</v>
      </c>
      <c r="Z14" s="20" t="s">
        <v>131</v>
      </c>
      <c r="AA14" s="20" t="s">
        <v>132</v>
      </c>
      <c r="AB14" s="20" t="s">
        <v>96</v>
      </c>
      <c r="AC14" s="28">
        <v>369.83</v>
      </c>
      <c r="AD14" s="28">
        <f>SUM(BASE[[#This Row],[MONTO DE RENTA ]]*1.16)</f>
        <v>429.00279999999998</v>
      </c>
      <c r="AE14" s="28" t="s">
        <v>63</v>
      </c>
      <c r="AF14" s="28">
        <v>369.82758620689657</v>
      </c>
      <c r="AG14" s="28">
        <v>429</v>
      </c>
      <c r="AH14" s="22" t="s">
        <v>64</v>
      </c>
      <c r="AI14" s="29">
        <v>45703</v>
      </c>
      <c r="AJ14" s="29">
        <v>46433</v>
      </c>
      <c r="AK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" s="30"/>
      <c r="AN14" s="20" t="s">
        <v>65</v>
      </c>
      <c r="AO14" s="20" t="s">
        <v>141</v>
      </c>
      <c r="AP14" s="20" t="s">
        <v>84</v>
      </c>
      <c r="AQ14" s="20" t="s">
        <v>100</v>
      </c>
    </row>
    <row r="15" spans="1:45" ht="16">
      <c r="A15" s="61">
        <v>8110222355</v>
      </c>
      <c r="B15" s="49">
        <v>7110</v>
      </c>
      <c r="C15" s="20" t="s">
        <v>204</v>
      </c>
      <c r="D15" s="20" t="s">
        <v>205</v>
      </c>
      <c r="E15" s="20" t="s">
        <v>206</v>
      </c>
      <c r="F15" s="20" t="s">
        <v>207</v>
      </c>
      <c r="G15" s="20" t="s">
        <v>207</v>
      </c>
      <c r="H15" s="20" t="s">
        <v>208</v>
      </c>
      <c r="I15" s="20" t="s">
        <v>207</v>
      </c>
      <c r="J15" s="54" t="s">
        <v>209</v>
      </c>
      <c r="K15" s="32" t="s">
        <v>210</v>
      </c>
      <c r="L15" s="23" t="s">
        <v>92</v>
      </c>
      <c r="M15" s="24" t="s">
        <v>7738</v>
      </c>
      <c r="N15" s="23">
        <v>18848087</v>
      </c>
      <c r="O15" s="25" t="s">
        <v>74</v>
      </c>
      <c r="P15" s="25" t="s">
        <v>53</v>
      </c>
      <c r="Q15" s="20" t="s">
        <v>211</v>
      </c>
      <c r="R15" s="20">
        <v>44114335</v>
      </c>
      <c r="S15" s="25" t="s">
        <v>212</v>
      </c>
      <c r="T15" s="44" t="s">
        <v>77</v>
      </c>
      <c r="U15" s="23" t="s">
        <v>213</v>
      </c>
      <c r="V15" s="27" t="s">
        <v>78</v>
      </c>
      <c r="W15" s="20" t="s">
        <v>214</v>
      </c>
      <c r="X15" s="20" t="s">
        <v>214</v>
      </c>
      <c r="Y15" s="20" t="s">
        <v>214</v>
      </c>
      <c r="Z15" s="20" t="s">
        <v>60</v>
      </c>
      <c r="AA15" s="20" t="s">
        <v>61</v>
      </c>
      <c r="AB15" s="20" t="s">
        <v>82</v>
      </c>
      <c r="AC15" s="28">
        <v>559.48</v>
      </c>
      <c r="AD15" s="28">
        <f>SUM(BASE[[#This Row],[MONTO DE RENTA ]]*1.16)</f>
        <v>648.99680000000001</v>
      </c>
      <c r="AE15" s="28" t="s">
        <v>83</v>
      </c>
      <c r="AF15" s="28">
        <v>559.48275862068965</v>
      </c>
      <c r="AG15" s="28">
        <v>649</v>
      </c>
      <c r="AH15" s="22" t="s">
        <v>116</v>
      </c>
      <c r="AI15" s="29">
        <v>45833</v>
      </c>
      <c r="AJ15" s="29">
        <v>46563</v>
      </c>
      <c r="AK15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5" s="20">
        <v>18848087</v>
      </c>
      <c r="AM15" s="30"/>
      <c r="AN15" s="20" t="s">
        <v>65</v>
      </c>
      <c r="AP15" s="20" t="s">
        <v>84</v>
      </c>
    </row>
    <row r="16" spans="1:45" ht="16" customHeight="1">
      <c r="A16" s="20">
        <v>8113215389</v>
      </c>
      <c r="B16" s="49">
        <v>6191</v>
      </c>
      <c r="C16" s="20" t="s">
        <v>215</v>
      </c>
      <c r="D16" s="20" t="s">
        <v>216</v>
      </c>
      <c r="E16" s="20" t="s">
        <v>187</v>
      </c>
      <c r="F16" s="20" t="s">
        <v>217</v>
      </c>
      <c r="G16" s="20" t="s">
        <v>217</v>
      </c>
      <c r="H16" s="20" t="s">
        <v>155</v>
      </c>
      <c r="I16" s="20" t="s">
        <v>217</v>
      </c>
      <c r="J16" s="62" t="s">
        <v>218</v>
      </c>
      <c r="K16" s="62" t="s">
        <v>219</v>
      </c>
      <c r="L16" s="23" t="s">
        <v>92</v>
      </c>
      <c r="M16" s="24" t="s">
        <v>7738</v>
      </c>
      <c r="N16" s="23">
        <v>18848003</v>
      </c>
      <c r="O16" s="25" t="s">
        <v>74</v>
      </c>
      <c r="P16" s="25" t="s">
        <v>53</v>
      </c>
      <c r="Q16" s="20" t="s">
        <v>220</v>
      </c>
      <c r="R16" s="20">
        <v>42960155</v>
      </c>
      <c r="S16" s="25" t="s">
        <v>55</v>
      </c>
      <c r="T16" s="26" t="s">
        <v>56</v>
      </c>
      <c r="U16" s="23">
        <v>351835921050054</v>
      </c>
      <c r="V16" s="27" t="s">
        <v>78</v>
      </c>
      <c r="W16" s="20" t="s">
        <v>95</v>
      </c>
      <c r="X16" s="20" t="s">
        <v>95</v>
      </c>
      <c r="Y16" s="20" t="s">
        <v>95</v>
      </c>
      <c r="Z16" s="20" t="s">
        <v>60</v>
      </c>
      <c r="AA16" s="20" t="s">
        <v>61</v>
      </c>
      <c r="AB16" s="20" t="s">
        <v>96</v>
      </c>
      <c r="AC16" s="28">
        <v>369.83</v>
      </c>
      <c r="AD16" s="28">
        <f>SUM(BASE[[#This Row],[MONTO DE RENTA ]]*1.16)</f>
        <v>429.00279999999998</v>
      </c>
      <c r="AE16" s="28" t="s">
        <v>83</v>
      </c>
      <c r="AF16" s="28">
        <v>559.48275862068965</v>
      </c>
      <c r="AG16" s="28">
        <v>649</v>
      </c>
      <c r="AI16" s="29">
        <v>44937</v>
      </c>
      <c r="AJ16" s="50">
        <v>46043</v>
      </c>
      <c r="AK1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" s="30"/>
      <c r="AN16" s="20" t="s">
        <v>99</v>
      </c>
      <c r="AP16" s="20" t="s">
        <v>66</v>
      </c>
      <c r="AQ16" s="20" t="s">
        <v>100</v>
      </c>
    </row>
    <row r="17" spans="1:43" ht="16">
      <c r="A17" s="20">
        <v>8118000926</v>
      </c>
      <c r="B17" s="21">
        <v>1048238</v>
      </c>
      <c r="C17" s="20" t="s">
        <v>221</v>
      </c>
      <c r="D17" s="20" t="s">
        <v>222</v>
      </c>
      <c r="E17" s="20" t="s">
        <v>102</v>
      </c>
      <c r="F17" s="20" t="s">
        <v>223</v>
      </c>
      <c r="G17" s="20" t="s">
        <v>223</v>
      </c>
      <c r="H17" s="20" t="s">
        <v>155</v>
      </c>
      <c r="I17" s="20" t="s">
        <v>223</v>
      </c>
      <c r="J17" s="32" t="s">
        <v>224</v>
      </c>
      <c r="K17" s="32" t="s">
        <v>224</v>
      </c>
      <c r="L17" s="23" t="s">
        <v>92</v>
      </c>
      <c r="M17" s="24" t="s">
        <v>7738</v>
      </c>
      <c r="N17" s="23">
        <v>18848002</v>
      </c>
      <c r="O17" s="25" t="s">
        <v>74</v>
      </c>
      <c r="P17" s="25" t="s">
        <v>53</v>
      </c>
      <c r="Q17" s="20" t="s">
        <v>225</v>
      </c>
      <c r="R17" s="20">
        <v>43786256</v>
      </c>
      <c r="S17" s="25" t="s">
        <v>226</v>
      </c>
      <c r="T17" s="26" t="s">
        <v>57</v>
      </c>
      <c r="U17" s="23">
        <v>860900062257639</v>
      </c>
      <c r="V17" s="27" t="s">
        <v>57</v>
      </c>
      <c r="W17" s="20" t="s">
        <v>58</v>
      </c>
      <c r="X17" s="20" t="s">
        <v>59</v>
      </c>
      <c r="Y17" s="20" t="s">
        <v>59</v>
      </c>
      <c r="Z17" s="20" t="s">
        <v>131</v>
      </c>
      <c r="AA17" s="20" t="s">
        <v>132</v>
      </c>
      <c r="AB17" s="20" t="s">
        <v>96</v>
      </c>
      <c r="AC17" s="28">
        <v>369.83</v>
      </c>
      <c r="AD17" s="28">
        <f>SUM(BASE[[#This Row],[MONTO DE RENTA ]]*1.16)</f>
        <v>429.00279999999998</v>
      </c>
      <c r="AE17" s="28" t="s">
        <v>63</v>
      </c>
      <c r="AF17" s="28">
        <v>369.82758620689657</v>
      </c>
      <c r="AG17" s="28">
        <v>429</v>
      </c>
      <c r="AH17" s="22" t="s">
        <v>64</v>
      </c>
      <c r="AI17" s="63">
        <v>45703</v>
      </c>
      <c r="AJ17" s="63">
        <v>46433</v>
      </c>
      <c r="AK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" s="30"/>
      <c r="AN17" s="20" t="s">
        <v>65</v>
      </c>
      <c r="AO17" s="20" t="s">
        <v>141</v>
      </c>
      <c r="AP17" s="20" t="s">
        <v>84</v>
      </c>
      <c r="AQ17" s="20" t="s">
        <v>100</v>
      </c>
    </row>
    <row r="18" spans="1:43" ht="16">
      <c r="A18" s="20">
        <v>8118206401</v>
      </c>
      <c r="B18" s="49">
        <v>1080435</v>
      </c>
      <c r="C18" s="20" t="s">
        <v>227</v>
      </c>
      <c r="D18" s="20" t="s">
        <v>228</v>
      </c>
      <c r="E18" s="20" t="s">
        <v>229</v>
      </c>
      <c r="F18" s="20" t="s">
        <v>230</v>
      </c>
      <c r="G18" s="20" t="s">
        <v>230</v>
      </c>
      <c r="H18" s="20" t="s">
        <v>231</v>
      </c>
      <c r="I18" s="20" t="s">
        <v>230</v>
      </c>
      <c r="J18" s="54" t="s">
        <v>232</v>
      </c>
      <c r="K18" s="54" t="s">
        <v>233</v>
      </c>
      <c r="L18" s="23" t="s">
        <v>92</v>
      </c>
      <c r="M18" s="24" t="s">
        <v>7738</v>
      </c>
      <c r="N18" s="23">
        <v>18848062</v>
      </c>
      <c r="O18" s="25" t="s">
        <v>74</v>
      </c>
      <c r="P18" s="25" t="s">
        <v>53</v>
      </c>
      <c r="Q18" s="20" t="s">
        <v>234</v>
      </c>
      <c r="R18" s="20">
        <v>45142566</v>
      </c>
      <c r="S18" s="25" t="s">
        <v>235</v>
      </c>
      <c r="T18" s="44" t="s">
        <v>77</v>
      </c>
      <c r="U18" s="23">
        <v>357894929967219</v>
      </c>
      <c r="V18" s="27" t="s">
        <v>78</v>
      </c>
      <c r="W18" s="20" t="s">
        <v>95</v>
      </c>
      <c r="X18" s="20" t="s">
        <v>95</v>
      </c>
      <c r="Y18" s="20" t="s">
        <v>95</v>
      </c>
      <c r="Z18" s="20" t="s">
        <v>167</v>
      </c>
      <c r="AA18" s="20" t="s">
        <v>168</v>
      </c>
      <c r="AB18" s="20" t="s">
        <v>82</v>
      </c>
      <c r="AC18" s="28">
        <v>559.48</v>
      </c>
      <c r="AD18" s="28">
        <f>SUM(BASE[[#This Row],[MONTO DE RENTA ]]*1.16)</f>
        <v>648.99680000000001</v>
      </c>
      <c r="AE18" s="28" t="s">
        <v>83</v>
      </c>
      <c r="AF18" s="28">
        <v>559.48275862068965</v>
      </c>
      <c r="AG18" s="28">
        <v>649</v>
      </c>
      <c r="AH18" s="22" t="s">
        <v>116</v>
      </c>
      <c r="AI18" s="29">
        <v>45854</v>
      </c>
      <c r="AJ18" s="29">
        <v>46038</v>
      </c>
      <c r="AK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" s="30" t="s">
        <v>236</v>
      </c>
      <c r="AN18" s="20" t="s">
        <v>99</v>
      </c>
      <c r="AP18" s="20" t="s">
        <v>84</v>
      </c>
      <c r="AQ18" s="20" t="s">
        <v>100</v>
      </c>
    </row>
    <row r="19" spans="1:43" ht="16">
      <c r="A19" s="20">
        <v>8123638525</v>
      </c>
      <c r="B19" s="64">
        <v>1081778</v>
      </c>
      <c r="C19" s="20" t="s">
        <v>237</v>
      </c>
      <c r="D19" s="20" t="s">
        <v>172</v>
      </c>
      <c r="E19" s="20" t="s">
        <v>238</v>
      </c>
      <c r="F19" s="20" t="s">
        <v>239</v>
      </c>
      <c r="G19" s="20" t="s">
        <v>239</v>
      </c>
      <c r="H19" s="20" t="s">
        <v>89</v>
      </c>
      <c r="I19" s="20" t="s">
        <v>239</v>
      </c>
      <c r="J19" s="54" t="s">
        <v>240</v>
      </c>
      <c r="K19" s="54" t="s">
        <v>240</v>
      </c>
      <c r="L19" s="23" t="s">
        <v>92</v>
      </c>
      <c r="M19" s="24" t="s">
        <v>7738</v>
      </c>
      <c r="N19" s="23">
        <v>18848041</v>
      </c>
      <c r="O19" s="25" t="s">
        <v>74</v>
      </c>
      <c r="P19" s="25" t="s">
        <v>53</v>
      </c>
      <c r="Q19" s="20" t="s">
        <v>241</v>
      </c>
      <c r="R19" s="20">
        <v>45530821</v>
      </c>
      <c r="S19" s="25" t="s">
        <v>55</v>
      </c>
      <c r="T19" s="26" t="s">
        <v>56</v>
      </c>
      <c r="U19" s="23">
        <v>860900062732466</v>
      </c>
      <c r="V19" s="27" t="s">
        <v>183</v>
      </c>
      <c r="W19" s="20" t="s">
        <v>58</v>
      </c>
      <c r="X19" s="20" t="s">
        <v>59</v>
      </c>
      <c r="Y19" s="20" t="s">
        <v>59</v>
      </c>
      <c r="Z19" s="20" t="s">
        <v>242</v>
      </c>
      <c r="AA19" s="20" t="s">
        <v>243</v>
      </c>
      <c r="AB19" s="20" t="s">
        <v>244</v>
      </c>
      <c r="AC19" s="28">
        <v>473.28</v>
      </c>
      <c r="AD19" s="28">
        <f>SUM(BASE[[#This Row],[MONTO DE RENTA ]]*1.16)</f>
        <v>549.00479999999993</v>
      </c>
      <c r="AE19" s="28" t="s">
        <v>63</v>
      </c>
      <c r="AF19" s="28">
        <v>369.82758620689657</v>
      </c>
      <c r="AG19" s="28">
        <v>429</v>
      </c>
      <c r="AH19" s="22" t="s">
        <v>98</v>
      </c>
      <c r="AI19" s="29">
        <v>45895</v>
      </c>
      <c r="AJ19" s="29">
        <v>46625</v>
      </c>
      <c r="AK19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9" s="20" t="s">
        <v>245</v>
      </c>
      <c r="AM19" s="30"/>
      <c r="AN19" s="20" t="s">
        <v>65</v>
      </c>
      <c r="AP19" s="20" t="s">
        <v>118</v>
      </c>
    </row>
    <row r="20" spans="1:43" ht="16">
      <c r="A20" s="20">
        <v>5641803638</v>
      </c>
      <c r="B20" s="21">
        <v>1000536</v>
      </c>
      <c r="C20" s="20" t="s">
        <v>246</v>
      </c>
      <c r="D20" s="20" t="s">
        <v>172</v>
      </c>
      <c r="E20" s="20" t="s">
        <v>247</v>
      </c>
      <c r="F20" s="20" t="s">
        <v>248</v>
      </c>
      <c r="G20" s="20" t="s">
        <v>248</v>
      </c>
      <c r="H20" s="20" t="s">
        <v>48</v>
      </c>
      <c r="I20" s="20" t="s">
        <v>248</v>
      </c>
      <c r="J20" s="54" t="s">
        <v>249</v>
      </c>
      <c r="K20" s="54" t="s">
        <v>249</v>
      </c>
      <c r="L20" s="23" t="s">
        <v>51</v>
      </c>
      <c r="M20" s="24" t="s">
        <v>7736</v>
      </c>
      <c r="N20" s="23">
        <v>11123000</v>
      </c>
      <c r="O20" s="25" t="s">
        <v>52</v>
      </c>
      <c r="P20" s="25" t="s">
        <v>53</v>
      </c>
      <c r="Q20" s="20" t="s">
        <v>250</v>
      </c>
      <c r="R20" s="20" t="s">
        <v>251</v>
      </c>
      <c r="S20" s="25" t="s">
        <v>252</v>
      </c>
      <c r="T20" s="65" t="s">
        <v>57</v>
      </c>
      <c r="U20" s="23">
        <v>865356065673345</v>
      </c>
      <c r="V20" s="27" t="s">
        <v>183</v>
      </c>
      <c r="W20" s="20" t="s">
        <v>129</v>
      </c>
      <c r="X20" s="20" t="s">
        <v>130</v>
      </c>
      <c r="Y20" s="20" t="s">
        <v>130</v>
      </c>
      <c r="Z20" s="20" t="s">
        <v>60</v>
      </c>
      <c r="AA20" s="20" t="s">
        <v>61</v>
      </c>
      <c r="AB20" s="20" t="s">
        <v>96</v>
      </c>
      <c r="AC20" s="28">
        <v>369.83</v>
      </c>
      <c r="AD20" s="28">
        <f>SUM(BASE[[#This Row],[MONTO DE RENTA ]]*1.16)</f>
        <v>429.00279999999998</v>
      </c>
      <c r="AE20" s="28" t="s">
        <v>63</v>
      </c>
      <c r="AF20" s="28">
        <v>369.82758620689657</v>
      </c>
      <c r="AG20" s="28">
        <v>429</v>
      </c>
      <c r="AH20" s="22" t="s">
        <v>253</v>
      </c>
      <c r="AI20" s="66">
        <v>45188</v>
      </c>
      <c r="AJ20" s="63">
        <v>46040</v>
      </c>
      <c r="AK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20" s="24">
        <v>11123000</v>
      </c>
      <c r="AM20" s="30"/>
      <c r="AN20" s="20" t="s">
        <v>99</v>
      </c>
      <c r="AP20" s="20" t="s">
        <v>84</v>
      </c>
      <c r="AQ20" s="20" t="s">
        <v>100</v>
      </c>
    </row>
    <row r="21" spans="1:43" ht="16">
      <c r="A21" s="20">
        <v>5551847137</v>
      </c>
      <c r="B21" s="49">
        <v>600304</v>
      </c>
      <c r="C21" s="20" t="s">
        <v>254</v>
      </c>
      <c r="D21" s="20" t="s">
        <v>255</v>
      </c>
      <c r="E21" s="20" t="s">
        <v>256</v>
      </c>
      <c r="F21" s="20" t="s">
        <v>257</v>
      </c>
      <c r="G21" s="20" t="s">
        <v>257</v>
      </c>
      <c r="H21" s="20" t="s">
        <v>48</v>
      </c>
      <c r="I21" s="20" t="s">
        <v>257</v>
      </c>
      <c r="J21" s="22" t="s">
        <v>258</v>
      </c>
      <c r="K21" s="22" t="s">
        <v>258</v>
      </c>
      <c r="L21" s="38" t="s">
        <v>51</v>
      </c>
      <c r="M21" s="24" t="s">
        <v>7736</v>
      </c>
      <c r="N21" s="23">
        <v>18661000</v>
      </c>
      <c r="O21" s="25" t="s">
        <v>52</v>
      </c>
      <c r="P21" s="25" t="s">
        <v>53</v>
      </c>
      <c r="Q21" s="20" t="s">
        <v>259</v>
      </c>
      <c r="R21" s="20">
        <v>96469838</v>
      </c>
      <c r="S21" s="25" t="s">
        <v>260</v>
      </c>
      <c r="T21" s="67" t="s">
        <v>57</v>
      </c>
      <c r="U21" s="23">
        <v>867353050205512</v>
      </c>
      <c r="V21" s="45" t="s">
        <v>110</v>
      </c>
      <c r="W21" s="20" t="s">
        <v>149</v>
      </c>
      <c r="X21" s="20" t="s">
        <v>150</v>
      </c>
      <c r="Y21" s="20" t="s">
        <v>150</v>
      </c>
      <c r="Z21" s="20" t="s">
        <v>261</v>
      </c>
      <c r="AA21" s="20" t="s">
        <v>167</v>
      </c>
      <c r="AB21" s="20" t="s">
        <v>262</v>
      </c>
      <c r="AC21" s="28">
        <v>369.83</v>
      </c>
      <c r="AD21" s="28">
        <f>SUM(BASE[[#This Row],[MONTO DE RENTA ]]*1.16)</f>
        <v>429.00279999999998</v>
      </c>
      <c r="AE21" s="28" t="s">
        <v>97</v>
      </c>
      <c r="AF21" s="28">
        <v>473.27586206896552</v>
      </c>
      <c r="AG21" s="28">
        <v>549</v>
      </c>
      <c r="AI21" s="63">
        <v>45940</v>
      </c>
      <c r="AJ21" s="68">
        <v>46024</v>
      </c>
      <c r="AK21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21" s="30"/>
      <c r="AN21" s="20" t="s">
        <v>99</v>
      </c>
      <c r="AP21" s="20" t="s">
        <v>66</v>
      </c>
      <c r="AQ21" s="20" t="s">
        <v>100</v>
      </c>
    </row>
    <row r="22" spans="1:43" ht="16" customHeight="1">
      <c r="A22" s="69">
        <v>5548399614</v>
      </c>
      <c r="B22" s="70">
        <v>1037089</v>
      </c>
      <c r="C22" s="20" t="s">
        <v>263</v>
      </c>
      <c r="D22" s="20" t="s">
        <v>264</v>
      </c>
      <c r="E22" s="20" t="s">
        <v>172</v>
      </c>
      <c r="F22" s="20" t="s">
        <v>104</v>
      </c>
      <c r="G22" s="20" t="s">
        <v>104</v>
      </c>
      <c r="H22" s="20" t="s">
        <v>48</v>
      </c>
      <c r="I22" s="20" t="s">
        <v>104</v>
      </c>
      <c r="J22" s="71" t="s">
        <v>265</v>
      </c>
      <c r="K22" s="71" t="s">
        <v>266</v>
      </c>
      <c r="L22" s="23" t="s">
        <v>51</v>
      </c>
      <c r="M22" s="24" t="s">
        <v>7736</v>
      </c>
      <c r="N22" s="23">
        <v>11123000</v>
      </c>
      <c r="O22" s="25" t="s">
        <v>52</v>
      </c>
      <c r="P22" s="25" t="s">
        <v>53</v>
      </c>
      <c r="Q22" s="20" t="s">
        <v>267</v>
      </c>
      <c r="R22" s="20">
        <v>96469839</v>
      </c>
      <c r="S22" s="25" t="s">
        <v>268</v>
      </c>
      <c r="T22" s="72" t="s">
        <v>57</v>
      </c>
      <c r="U22" s="23">
        <v>867471072382919</v>
      </c>
      <c r="V22" s="45" t="s">
        <v>110</v>
      </c>
      <c r="W22" s="20" t="s">
        <v>269</v>
      </c>
      <c r="X22" s="20" t="s">
        <v>270</v>
      </c>
      <c r="Y22" s="20" t="s">
        <v>270</v>
      </c>
      <c r="Z22" s="20" t="s">
        <v>261</v>
      </c>
      <c r="AA22" s="20" t="s">
        <v>167</v>
      </c>
      <c r="AB22" s="20" t="s">
        <v>262</v>
      </c>
      <c r="AC22" s="28">
        <v>369.83</v>
      </c>
      <c r="AD22" s="28">
        <f>SUM(BASE[[#This Row],[MONTO DE RENTA ]]*1.16)</f>
        <v>429.00279999999998</v>
      </c>
      <c r="AE22" s="28" t="s">
        <v>97</v>
      </c>
      <c r="AF22" s="28">
        <v>473.27586206896552</v>
      </c>
      <c r="AG22" s="28">
        <v>549</v>
      </c>
      <c r="AH22" s="53" t="s">
        <v>253</v>
      </c>
      <c r="AI22" s="73">
        <v>45946</v>
      </c>
      <c r="AJ22" s="73">
        <v>46676</v>
      </c>
      <c r="AK22" s="30">
        <f ca="1">IFERROR(IF(BASE[[#This Row],[FECHA DE RENOVACION ]]&gt;TODAY(), DATEDIF(TODAY(),BASE[[#This Row],[FECHA DE RENOVACION ]],"M"), -DATEDIF(BASE[[#This Row],[FECHA DE RENOVACION ]],TODAY(),"M")), "Sin fecha de renovaccion")</f>
        <v>19</v>
      </c>
      <c r="AL22" s="69">
        <v>11123000</v>
      </c>
      <c r="AM22" s="74" t="s">
        <v>271</v>
      </c>
      <c r="AN22" s="20" t="s">
        <v>65</v>
      </c>
      <c r="AP22" s="20" t="s">
        <v>66</v>
      </c>
    </row>
    <row r="23" spans="1:43" ht="16">
      <c r="A23" s="20">
        <v>5554029668</v>
      </c>
      <c r="B23" s="49">
        <v>996358</v>
      </c>
      <c r="C23" s="20" t="s">
        <v>272</v>
      </c>
      <c r="D23" s="20" t="s">
        <v>273</v>
      </c>
      <c r="E23" s="20" t="s">
        <v>274</v>
      </c>
      <c r="F23" s="20" t="s">
        <v>104</v>
      </c>
      <c r="G23" s="20" t="s">
        <v>104</v>
      </c>
      <c r="H23" s="20" t="s">
        <v>48</v>
      </c>
      <c r="I23" s="20" t="s">
        <v>104</v>
      </c>
      <c r="J23" s="54" t="s">
        <v>275</v>
      </c>
      <c r="K23" s="54" t="s">
        <v>276</v>
      </c>
      <c r="L23" s="23" t="s">
        <v>51</v>
      </c>
      <c r="M23" s="24" t="s">
        <v>7736</v>
      </c>
      <c r="N23" s="23">
        <v>11123000</v>
      </c>
      <c r="O23" s="25" t="s">
        <v>52</v>
      </c>
      <c r="P23" s="25" t="s">
        <v>53</v>
      </c>
      <c r="Q23" s="20" t="s">
        <v>277</v>
      </c>
      <c r="R23" s="20">
        <v>96469840</v>
      </c>
      <c r="S23" s="25" t="s">
        <v>278</v>
      </c>
      <c r="T23" s="67" t="s">
        <v>57</v>
      </c>
      <c r="U23" s="23">
        <v>867353050202022</v>
      </c>
      <c r="V23" s="45" t="s">
        <v>110</v>
      </c>
      <c r="W23" s="20" t="s">
        <v>149</v>
      </c>
      <c r="X23" s="20" t="s">
        <v>150</v>
      </c>
      <c r="Y23" s="20" t="s">
        <v>150</v>
      </c>
      <c r="Z23" s="20" t="s">
        <v>261</v>
      </c>
      <c r="AA23" s="20" t="s">
        <v>167</v>
      </c>
      <c r="AB23" s="20" t="s">
        <v>262</v>
      </c>
      <c r="AC23" s="28">
        <v>369.83</v>
      </c>
      <c r="AD23" s="28">
        <f>SUM(BASE[[#This Row],[MONTO DE RENTA ]]*1.16)</f>
        <v>429.00279999999998</v>
      </c>
      <c r="AE23" s="28" t="s">
        <v>97</v>
      </c>
      <c r="AF23" s="28">
        <v>473.27586206896552</v>
      </c>
      <c r="AG23" s="28">
        <v>549</v>
      </c>
      <c r="AI23" s="75">
        <v>45125</v>
      </c>
      <c r="AJ23" s="75">
        <v>46024</v>
      </c>
      <c r="AK23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23" s="30"/>
      <c r="AN23" s="20" t="s">
        <v>99</v>
      </c>
      <c r="AP23" s="20" t="s">
        <v>66</v>
      </c>
      <c r="AQ23" s="20" t="s">
        <v>100</v>
      </c>
    </row>
    <row r="24" spans="1:43" ht="16">
      <c r="A24" s="34">
        <v>5543691338</v>
      </c>
      <c r="B24" s="76">
        <v>600621</v>
      </c>
      <c r="C24" s="20" t="s">
        <v>279</v>
      </c>
      <c r="D24" s="20" t="s">
        <v>280</v>
      </c>
      <c r="E24" s="20" t="s">
        <v>281</v>
      </c>
      <c r="F24" s="20" t="s">
        <v>70</v>
      </c>
      <c r="G24" s="20" t="s">
        <v>70</v>
      </c>
      <c r="H24" s="20" t="s">
        <v>48</v>
      </c>
      <c r="I24" s="20" t="s">
        <v>70</v>
      </c>
      <c r="J24" s="36" t="s">
        <v>282</v>
      </c>
      <c r="K24" s="36" t="s">
        <v>282</v>
      </c>
      <c r="L24" s="38" t="s">
        <v>51</v>
      </c>
      <c r="M24" s="24" t="s">
        <v>7736</v>
      </c>
      <c r="N24" s="23">
        <v>11123000</v>
      </c>
      <c r="O24" s="25" t="s">
        <v>52</v>
      </c>
      <c r="P24" s="25" t="s">
        <v>53</v>
      </c>
      <c r="Q24" s="20" t="s">
        <v>283</v>
      </c>
      <c r="R24" s="20">
        <v>96469809</v>
      </c>
      <c r="S24" s="25" t="s">
        <v>284</v>
      </c>
      <c r="T24" s="39" t="s">
        <v>77</v>
      </c>
      <c r="U24" s="23">
        <v>357894929747199</v>
      </c>
      <c r="V24" s="27" t="s">
        <v>78</v>
      </c>
      <c r="W24" s="20" t="s">
        <v>95</v>
      </c>
      <c r="X24" s="20" t="s">
        <v>95</v>
      </c>
      <c r="Y24" s="20" t="s">
        <v>95</v>
      </c>
      <c r="Z24" s="20" t="s">
        <v>261</v>
      </c>
      <c r="AA24" s="20" t="s">
        <v>167</v>
      </c>
      <c r="AB24" s="20" t="s">
        <v>82</v>
      </c>
      <c r="AC24" s="28">
        <v>559.48</v>
      </c>
      <c r="AD24" s="28">
        <f>SUM(BASE[[#This Row],[MONTO DE RENTA ]]*1.16)</f>
        <v>648.99680000000001</v>
      </c>
      <c r="AE24" s="28" t="s">
        <v>83</v>
      </c>
      <c r="AF24" s="28">
        <v>559.48275862068965</v>
      </c>
      <c r="AG24" s="28">
        <v>649</v>
      </c>
      <c r="AH24" s="36" t="s">
        <v>64</v>
      </c>
      <c r="AI24" s="46">
        <v>45323</v>
      </c>
      <c r="AJ24" s="46">
        <v>46054</v>
      </c>
      <c r="AK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24" s="34"/>
      <c r="AM24" s="42"/>
      <c r="AN24" s="20" t="s">
        <v>99</v>
      </c>
      <c r="AP24" s="20" t="s">
        <v>84</v>
      </c>
      <c r="AQ24" s="20" t="s">
        <v>100</v>
      </c>
    </row>
    <row r="25" spans="1:43" ht="16">
      <c r="A25" s="34">
        <v>4423157075</v>
      </c>
      <c r="B25" s="35">
        <v>475015</v>
      </c>
      <c r="C25" s="20" t="s">
        <v>285</v>
      </c>
      <c r="D25" s="20" t="s">
        <v>143</v>
      </c>
      <c r="E25" s="20" t="s">
        <v>286</v>
      </c>
      <c r="F25" s="20" t="s">
        <v>47</v>
      </c>
      <c r="G25" s="20" t="s">
        <v>47</v>
      </c>
      <c r="H25" s="20" t="s">
        <v>48</v>
      </c>
      <c r="I25" s="20" t="s">
        <v>47</v>
      </c>
      <c r="J25" s="37" t="s">
        <v>287</v>
      </c>
      <c r="K25" s="37" t="s">
        <v>287</v>
      </c>
      <c r="L25" s="38" t="s">
        <v>288</v>
      </c>
      <c r="M25" s="24" t="s">
        <v>7742</v>
      </c>
      <c r="N25" s="23">
        <v>11137000</v>
      </c>
      <c r="O25" s="25" t="s">
        <v>93</v>
      </c>
      <c r="P25" s="25" t="s">
        <v>53</v>
      </c>
      <c r="Q25" s="20" t="s">
        <v>289</v>
      </c>
      <c r="R25" s="20">
        <v>64006426</v>
      </c>
      <c r="S25" s="25" t="s">
        <v>290</v>
      </c>
      <c r="T25" s="39" t="s">
        <v>57</v>
      </c>
      <c r="U25" s="23">
        <v>860900060885787</v>
      </c>
      <c r="V25" s="27" t="s">
        <v>183</v>
      </c>
      <c r="W25" s="20" t="s">
        <v>58</v>
      </c>
      <c r="X25" s="20" t="s">
        <v>59</v>
      </c>
      <c r="Y25" s="20" t="s">
        <v>59</v>
      </c>
      <c r="Z25" s="20" t="s">
        <v>131</v>
      </c>
      <c r="AA25" s="20" t="s">
        <v>132</v>
      </c>
      <c r="AB25" s="20" t="s">
        <v>96</v>
      </c>
      <c r="AC25" s="28">
        <v>369.83</v>
      </c>
      <c r="AD25" s="28">
        <f>SUM(BASE[[#This Row],[MONTO DE RENTA ]]*1.16)</f>
        <v>429.00279999999998</v>
      </c>
      <c r="AE25" s="28" t="s">
        <v>63</v>
      </c>
      <c r="AF25" s="28">
        <v>369.82758620689657</v>
      </c>
      <c r="AG25" s="28">
        <v>429</v>
      </c>
      <c r="AH25" s="36" t="s">
        <v>116</v>
      </c>
      <c r="AI25" s="46">
        <v>45573</v>
      </c>
      <c r="AJ25" s="46">
        <v>45665</v>
      </c>
      <c r="AK25" s="30">
        <f ca="1">IFERROR(IF(BASE[[#This Row],[FECHA DE RENOVACION ]]&gt;TODAY(), DATEDIF(TODAY(),BASE[[#This Row],[FECHA DE RENOVACION ]],"M"), -DATEDIF(BASE[[#This Row],[FECHA DE RENOVACION ]],TODAY(),"M")), "Sin fecha")</f>
        <v>-13</v>
      </c>
      <c r="AL25" s="77">
        <v>11137000</v>
      </c>
      <c r="AM25" s="42"/>
      <c r="AN25" s="20" t="s">
        <v>99</v>
      </c>
      <c r="AP25" s="20" t="s">
        <v>84</v>
      </c>
      <c r="AQ25" s="20" t="s">
        <v>100</v>
      </c>
    </row>
    <row r="26" spans="1:43" ht="16">
      <c r="A26" s="20">
        <v>4424230796</v>
      </c>
      <c r="B26" s="48">
        <v>1033307</v>
      </c>
      <c r="C26" s="20" t="s">
        <v>291</v>
      </c>
      <c r="D26" s="20" t="s">
        <v>292</v>
      </c>
      <c r="E26" s="20" t="s">
        <v>293</v>
      </c>
      <c r="F26" s="20" t="s">
        <v>248</v>
      </c>
      <c r="G26" s="20" t="s">
        <v>248</v>
      </c>
      <c r="H26" s="20" t="s">
        <v>48</v>
      </c>
      <c r="I26" s="20" t="s">
        <v>248</v>
      </c>
      <c r="J26" s="78" t="s">
        <v>294</v>
      </c>
      <c r="K26" s="78" t="s">
        <v>294</v>
      </c>
      <c r="L26" s="23" t="s">
        <v>288</v>
      </c>
      <c r="M26" s="24" t="s">
        <v>7742</v>
      </c>
      <c r="N26" s="23">
        <v>11137000</v>
      </c>
      <c r="O26" s="25" t="s">
        <v>93</v>
      </c>
      <c r="P26" s="25" t="s">
        <v>53</v>
      </c>
      <c r="Q26" s="20" t="s">
        <v>295</v>
      </c>
      <c r="R26" s="20">
        <v>64006427</v>
      </c>
      <c r="S26" s="25" t="s">
        <v>296</v>
      </c>
      <c r="T26" s="65" t="s">
        <v>57</v>
      </c>
      <c r="U26" s="23">
        <v>860900060884186</v>
      </c>
      <c r="V26" s="27" t="s">
        <v>57</v>
      </c>
      <c r="W26" s="20" t="s">
        <v>58</v>
      </c>
      <c r="X26" s="20" t="s">
        <v>59</v>
      </c>
      <c r="Y26" s="20" t="s">
        <v>59</v>
      </c>
      <c r="Z26" s="20" t="s">
        <v>131</v>
      </c>
      <c r="AA26" s="20" t="s">
        <v>132</v>
      </c>
      <c r="AB26" s="20" t="s">
        <v>82</v>
      </c>
      <c r="AC26" s="28">
        <v>559.48</v>
      </c>
      <c r="AD26" s="28">
        <f>SUM(BASE[[#This Row],[MONTO DE RENTA ]]*1.16)</f>
        <v>648.99680000000001</v>
      </c>
      <c r="AE26" s="28" t="s">
        <v>63</v>
      </c>
      <c r="AF26" s="28">
        <v>369.82758620689657</v>
      </c>
      <c r="AG26" s="28">
        <v>429</v>
      </c>
      <c r="AH26" s="22" t="s">
        <v>116</v>
      </c>
      <c r="AI26" s="29">
        <v>45710</v>
      </c>
      <c r="AJ26" s="29">
        <v>46402</v>
      </c>
      <c r="AK2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26" s="63">
        <v>46298</v>
      </c>
      <c r="AM26" s="30"/>
      <c r="AN26" s="20" t="s">
        <v>65</v>
      </c>
      <c r="AO26" s="20" t="s">
        <v>141</v>
      </c>
      <c r="AP26" s="20" t="s">
        <v>118</v>
      </c>
      <c r="AQ26" s="20" t="s">
        <v>100</v>
      </c>
    </row>
    <row r="27" spans="1:43" ht="16">
      <c r="A27" s="34">
        <v>4423856277</v>
      </c>
      <c r="B27" s="79">
        <v>997044</v>
      </c>
      <c r="C27" s="20" t="s">
        <v>297</v>
      </c>
      <c r="D27" s="20" t="s">
        <v>45</v>
      </c>
      <c r="E27" s="20" t="s">
        <v>298</v>
      </c>
      <c r="F27" s="20" t="s">
        <v>257</v>
      </c>
      <c r="G27" s="20" t="s">
        <v>257</v>
      </c>
      <c r="H27" s="20" t="s">
        <v>48</v>
      </c>
      <c r="I27" s="20" t="s">
        <v>257</v>
      </c>
      <c r="J27" s="80" t="s">
        <v>299</v>
      </c>
      <c r="K27" s="80" t="s">
        <v>299</v>
      </c>
      <c r="L27" s="38" t="s">
        <v>288</v>
      </c>
      <c r="M27" s="24" t="s">
        <v>7742</v>
      </c>
      <c r="N27" s="23">
        <v>11137000</v>
      </c>
      <c r="O27" s="25" t="s">
        <v>93</v>
      </c>
      <c r="P27" s="25" t="s">
        <v>53</v>
      </c>
      <c r="Q27" s="20" t="s">
        <v>300</v>
      </c>
      <c r="R27" s="20">
        <v>64006425</v>
      </c>
      <c r="S27" s="25" t="s">
        <v>301</v>
      </c>
      <c r="T27" s="39" t="s">
        <v>57</v>
      </c>
      <c r="U27" s="23">
        <v>860478062378705</v>
      </c>
      <c r="V27" s="60" t="s">
        <v>183</v>
      </c>
      <c r="W27" s="20" t="s">
        <v>302</v>
      </c>
      <c r="X27" s="20" t="s">
        <v>303</v>
      </c>
      <c r="Y27" s="20" t="s">
        <v>303</v>
      </c>
      <c r="Z27" s="20" t="s">
        <v>131</v>
      </c>
      <c r="AA27" s="20" t="s">
        <v>132</v>
      </c>
      <c r="AB27" s="20" t="s">
        <v>82</v>
      </c>
      <c r="AC27" s="28">
        <v>559.48</v>
      </c>
      <c r="AD27" s="28">
        <f>SUM(BASE[[#This Row],[MONTO DE RENTA ]]*1.16)</f>
        <v>648.99680000000001</v>
      </c>
      <c r="AE27" s="28" t="s">
        <v>83</v>
      </c>
      <c r="AF27" s="28">
        <v>559.48275862068965</v>
      </c>
      <c r="AG27" s="28">
        <v>649</v>
      </c>
      <c r="AH27" s="36" t="s">
        <v>116</v>
      </c>
      <c r="AI27" s="46">
        <v>45588</v>
      </c>
      <c r="AJ27" s="46">
        <v>46318</v>
      </c>
      <c r="AK27" s="30">
        <f ca="1">IFERROR(IF(BASE[[#This Row],[FECHA DE RENOVACION ]]&gt;TODAY(), DATEDIF(TODAY(),BASE[[#This Row],[FECHA DE RENOVACION ]],"M"), -DATEDIF(BASE[[#This Row],[FECHA DE RENOVACION ]],TODAY(),"M")), "Sin fecha")</f>
        <v>7</v>
      </c>
      <c r="AL27" s="34">
        <v>11137000</v>
      </c>
      <c r="AM27" s="42"/>
      <c r="AN27" s="20" t="s">
        <v>65</v>
      </c>
      <c r="AO27" s="20" t="s">
        <v>141</v>
      </c>
      <c r="AP27" s="20" t="s">
        <v>84</v>
      </c>
      <c r="AQ27" s="20" t="s">
        <v>100</v>
      </c>
    </row>
    <row r="28" spans="1:43" ht="16">
      <c r="A28" s="20">
        <v>4423225119</v>
      </c>
      <c r="B28" s="49">
        <v>1077272</v>
      </c>
      <c r="C28" s="20" t="s">
        <v>304</v>
      </c>
      <c r="D28" s="20" t="s">
        <v>305</v>
      </c>
      <c r="E28" s="20" t="s">
        <v>306</v>
      </c>
      <c r="F28" s="20" t="s">
        <v>104</v>
      </c>
      <c r="G28" s="20" t="s">
        <v>104</v>
      </c>
      <c r="H28" s="20" t="s">
        <v>48</v>
      </c>
      <c r="I28" s="20" t="s">
        <v>104</v>
      </c>
      <c r="J28" s="54" t="s">
        <v>307</v>
      </c>
      <c r="K28" s="54" t="s">
        <v>307</v>
      </c>
      <c r="L28" s="23" t="s">
        <v>288</v>
      </c>
      <c r="M28" s="24" t="s">
        <v>7742</v>
      </c>
      <c r="N28" s="23">
        <v>11137000</v>
      </c>
      <c r="O28" s="25" t="s">
        <v>93</v>
      </c>
      <c r="P28" s="25" t="s">
        <v>53</v>
      </c>
      <c r="Q28" s="20" t="s">
        <v>308</v>
      </c>
      <c r="R28" s="20">
        <v>64006429</v>
      </c>
      <c r="S28" s="25" t="s">
        <v>55</v>
      </c>
      <c r="T28" s="44" t="s">
        <v>56</v>
      </c>
      <c r="U28" s="23">
        <v>860478063772369</v>
      </c>
      <c r="V28" s="45" t="s">
        <v>110</v>
      </c>
      <c r="W28" s="20" t="s">
        <v>302</v>
      </c>
      <c r="X28" s="20" t="s">
        <v>303</v>
      </c>
      <c r="Y28" s="20" t="s">
        <v>303</v>
      </c>
      <c r="Z28" s="20" t="s">
        <v>60</v>
      </c>
      <c r="AA28" s="20" t="s">
        <v>61</v>
      </c>
      <c r="AB28" s="20" t="s">
        <v>82</v>
      </c>
      <c r="AC28" s="28">
        <v>559.48</v>
      </c>
      <c r="AD28" s="28">
        <f>SUM(BASE[[#This Row],[MONTO DE RENTA ]]*1.16)</f>
        <v>648.99680000000001</v>
      </c>
      <c r="AE28" s="28" t="s">
        <v>83</v>
      </c>
      <c r="AF28" s="28">
        <v>559.48275862068965</v>
      </c>
      <c r="AG28" s="28">
        <v>649</v>
      </c>
      <c r="AH28" s="22" t="s">
        <v>116</v>
      </c>
      <c r="AI28" s="63">
        <v>45588</v>
      </c>
      <c r="AJ28" s="63">
        <v>46318</v>
      </c>
      <c r="AK28" s="30">
        <f ca="1">IFERROR(IF(BASE[[#This Row],[FECHA DE RENOVACION ]]&gt;TODAY(), DATEDIF(TODAY(),BASE[[#This Row],[FECHA DE RENOVACION ]],"M"), -DATEDIF(BASE[[#This Row],[FECHA DE RENOVACION ]],TODAY(),"M")), "Sin fecha")</f>
        <v>7</v>
      </c>
      <c r="AL28" s="20">
        <v>11137000</v>
      </c>
      <c r="AM28" s="30"/>
      <c r="AN28" s="20" t="s">
        <v>65</v>
      </c>
      <c r="AP28" s="20" t="s">
        <v>84</v>
      </c>
    </row>
    <row r="29" spans="1:43" ht="15.75" customHeight="1">
      <c r="A29" s="20">
        <v>4622515046</v>
      </c>
      <c r="B29" s="21">
        <v>885015</v>
      </c>
      <c r="C29" s="20" t="s">
        <v>309</v>
      </c>
      <c r="D29" s="20" t="s">
        <v>310</v>
      </c>
      <c r="E29" s="20" t="s">
        <v>311</v>
      </c>
      <c r="F29" s="20" t="s">
        <v>70</v>
      </c>
      <c r="G29" s="20" t="s">
        <v>70</v>
      </c>
      <c r="H29" s="20" t="s">
        <v>48</v>
      </c>
      <c r="I29" s="20" t="s">
        <v>70</v>
      </c>
      <c r="J29" s="54" t="s">
        <v>312</v>
      </c>
      <c r="K29" s="54" t="s">
        <v>312</v>
      </c>
      <c r="L29" s="23" t="s">
        <v>288</v>
      </c>
      <c r="M29" s="24" t="s">
        <v>7742</v>
      </c>
      <c r="N29" s="23">
        <v>11137000</v>
      </c>
      <c r="O29" s="25" t="s">
        <v>93</v>
      </c>
      <c r="P29" s="25" t="s">
        <v>53</v>
      </c>
      <c r="Q29" s="20" t="s">
        <v>313</v>
      </c>
      <c r="R29" s="20">
        <v>62123063</v>
      </c>
      <c r="S29" s="25" t="s">
        <v>314</v>
      </c>
      <c r="T29" s="81" t="s">
        <v>57</v>
      </c>
      <c r="U29" s="23">
        <v>351835921862219</v>
      </c>
      <c r="V29" s="27" t="s">
        <v>78</v>
      </c>
      <c r="W29" s="20" t="s">
        <v>95</v>
      </c>
      <c r="X29" s="20" t="s">
        <v>95</v>
      </c>
      <c r="Y29" s="20" t="s">
        <v>95</v>
      </c>
      <c r="Z29" s="20" t="s">
        <v>131</v>
      </c>
      <c r="AA29" s="20" t="s">
        <v>132</v>
      </c>
      <c r="AB29" s="20" t="s">
        <v>96</v>
      </c>
      <c r="AC29" s="28">
        <v>369.83</v>
      </c>
      <c r="AD29" s="28">
        <f>SUM(BASE[[#This Row],[MONTO DE RENTA ]]*1.16)</f>
        <v>429.00279999999998</v>
      </c>
      <c r="AE29" s="28" t="s">
        <v>83</v>
      </c>
      <c r="AF29" s="28">
        <v>559.48275862068965</v>
      </c>
      <c r="AG29" s="28">
        <v>649</v>
      </c>
      <c r="AH29" s="22" t="s">
        <v>116</v>
      </c>
      <c r="AI29" s="29">
        <v>45483</v>
      </c>
      <c r="AJ29" s="29">
        <v>46213</v>
      </c>
      <c r="AK29" s="30">
        <f ca="1">IFERROR(IF(BASE[[#This Row],[FECHA DE RENOVACION ]]&gt;TODAY(), DATEDIF(TODAY(),BASE[[#This Row],[FECHA DE RENOVACION ]],"M"), -DATEDIF(BASE[[#This Row],[FECHA DE RENOVACION ]],TODAY(),"M")), "Sin fecha")</f>
        <v>4</v>
      </c>
      <c r="AL29" s="20">
        <v>11137000</v>
      </c>
      <c r="AM29" s="30"/>
      <c r="AN29" s="20" t="s">
        <v>65</v>
      </c>
      <c r="AO29" s="20" t="s">
        <v>169</v>
      </c>
      <c r="AP29" s="20" t="s">
        <v>66</v>
      </c>
      <c r="AQ29" s="20" t="s">
        <v>100</v>
      </c>
    </row>
    <row r="30" spans="1:43" ht="15" customHeight="1">
      <c r="A30" s="20">
        <v>4444475434</v>
      </c>
      <c r="B30" s="21">
        <v>1008329</v>
      </c>
      <c r="C30" s="20" t="s">
        <v>315</v>
      </c>
      <c r="D30" s="20" t="s">
        <v>316</v>
      </c>
      <c r="E30" s="20" t="s">
        <v>317</v>
      </c>
      <c r="F30" s="20" t="s">
        <v>47</v>
      </c>
      <c r="G30" s="20" t="s">
        <v>47</v>
      </c>
      <c r="H30" s="20" t="s">
        <v>48</v>
      </c>
      <c r="I30" s="20" t="s">
        <v>47</v>
      </c>
      <c r="J30" s="22" t="s">
        <v>318</v>
      </c>
      <c r="K30" s="22" t="s">
        <v>318</v>
      </c>
      <c r="L30" s="25" t="s">
        <v>319</v>
      </c>
      <c r="M30" s="24" t="s">
        <v>7743</v>
      </c>
      <c r="N30" s="23">
        <v>11161000</v>
      </c>
      <c r="O30" s="25" t="s">
        <v>93</v>
      </c>
      <c r="P30" s="25" t="s">
        <v>53</v>
      </c>
      <c r="Q30" s="20" t="s">
        <v>320</v>
      </c>
      <c r="R30" s="20">
        <v>62255245</v>
      </c>
      <c r="S30" s="25" t="s">
        <v>321</v>
      </c>
      <c r="T30" s="26" t="s">
        <v>57</v>
      </c>
      <c r="U30" s="23">
        <v>860900062336508</v>
      </c>
      <c r="V30" s="27" t="s">
        <v>57</v>
      </c>
      <c r="W30" s="20" t="s">
        <v>58</v>
      </c>
      <c r="X30" s="20" t="s">
        <v>59</v>
      </c>
      <c r="Y30" s="20" t="s">
        <v>59</v>
      </c>
      <c r="Z30" s="20" t="s">
        <v>60</v>
      </c>
      <c r="AA30" s="20" t="s">
        <v>61</v>
      </c>
      <c r="AB30" s="20" t="s">
        <v>96</v>
      </c>
      <c r="AC30" s="28">
        <v>369.83</v>
      </c>
      <c r="AD30" s="28">
        <f>SUM(BASE[[#This Row],[MONTO DE RENTA ]]*1.16)</f>
        <v>429.00279999999998</v>
      </c>
      <c r="AE30" s="28" t="s">
        <v>63</v>
      </c>
      <c r="AF30" s="28">
        <v>369.82758620689657</v>
      </c>
      <c r="AG30" s="28">
        <v>429</v>
      </c>
      <c r="AH30" s="22" t="s">
        <v>64</v>
      </c>
      <c r="AI30" s="63">
        <v>45703</v>
      </c>
      <c r="AJ30" s="63">
        <v>46433</v>
      </c>
      <c r="AK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" s="30"/>
      <c r="AN30" s="20" t="s">
        <v>65</v>
      </c>
      <c r="AO30" s="20" t="s">
        <v>141</v>
      </c>
      <c r="AP30" s="20" t="s">
        <v>84</v>
      </c>
      <c r="AQ30" s="20" t="s">
        <v>100</v>
      </c>
    </row>
    <row r="31" spans="1:43" ht="16">
      <c r="A31" s="20">
        <v>4441698350</v>
      </c>
      <c r="B31" s="21">
        <v>1006771</v>
      </c>
      <c r="C31" s="20" t="s">
        <v>322</v>
      </c>
      <c r="D31" s="20" t="s">
        <v>323</v>
      </c>
      <c r="E31" s="20" t="s">
        <v>324</v>
      </c>
      <c r="F31" s="20" t="s">
        <v>248</v>
      </c>
      <c r="G31" s="20" t="s">
        <v>248</v>
      </c>
      <c r="H31" s="20" t="s">
        <v>48</v>
      </c>
      <c r="I31" s="20" t="s">
        <v>248</v>
      </c>
      <c r="J31" s="22" t="s">
        <v>325</v>
      </c>
      <c r="K31" s="22" t="s">
        <v>325</v>
      </c>
      <c r="L31" s="23" t="s">
        <v>319</v>
      </c>
      <c r="M31" s="24" t="s">
        <v>7743</v>
      </c>
      <c r="N31" s="23">
        <v>11161000</v>
      </c>
      <c r="O31" s="25" t="s">
        <v>93</v>
      </c>
      <c r="P31" s="25" t="s">
        <v>53</v>
      </c>
      <c r="Q31" s="20" t="s">
        <v>326</v>
      </c>
      <c r="R31" s="20">
        <v>62255252</v>
      </c>
      <c r="S31" s="25" t="s">
        <v>327</v>
      </c>
      <c r="T31" s="26" t="s">
        <v>57</v>
      </c>
      <c r="U31" s="23">
        <v>860900062337811</v>
      </c>
      <c r="V31" s="27" t="s">
        <v>57</v>
      </c>
      <c r="W31" s="20" t="s">
        <v>58</v>
      </c>
      <c r="X31" s="20" t="s">
        <v>59</v>
      </c>
      <c r="Y31" s="20" t="s">
        <v>59</v>
      </c>
      <c r="Z31" s="20" t="s">
        <v>60</v>
      </c>
      <c r="AA31" s="20" t="s">
        <v>61</v>
      </c>
      <c r="AB31" s="20" t="s">
        <v>96</v>
      </c>
      <c r="AC31" s="28">
        <v>369.83</v>
      </c>
      <c r="AD31" s="28">
        <f>SUM(BASE[[#This Row],[MONTO DE RENTA ]]*1.16)</f>
        <v>429.00279999999998</v>
      </c>
      <c r="AE31" s="28" t="s">
        <v>63</v>
      </c>
      <c r="AF31" s="28">
        <v>369.82758620689657</v>
      </c>
      <c r="AG31" s="28">
        <v>429</v>
      </c>
      <c r="AH31" s="22" t="s">
        <v>64</v>
      </c>
      <c r="AI31" s="63">
        <v>45703</v>
      </c>
      <c r="AJ31" s="63">
        <v>46433</v>
      </c>
      <c r="AK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" s="30"/>
      <c r="AN31" s="20" t="s">
        <v>65</v>
      </c>
      <c r="AO31" s="20" t="s">
        <v>141</v>
      </c>
      <c r="AP31" s="20" t="s">
        <v>84</v>
      </c>
      <c r="AQ31" s="20" t="s">
        <v>100</v>
      </c>
    </row>
    <row r="32" spans="1:43" ht="16">
      <c r="A32" s="20">
        <v>4444201793</v>
      </c>
      <c r="B32" s="49">
        <v>1018717</v>
      </c>
      <c r="C32" s="20" t="s">
        <v>328</v>
      </c>
      <c r="D32" s="20" t="s">
        <v>45</v>
      </c>
      <c r="E32" s="20" t="s">
        <v>329</v>
      </c>
      <c r="F32" s="20" t="s">
        <v>122</v>
      </c>
      <c r="G32" s="20" t="s">
        <v>122</v>
      </c>
      <c r="H32" s="20" t="s">
        <v>48</v>
      </c>
      <c r="I32" s="20" t="s">
        <v>122</v>
      </c>
      <c r="J32" s="22" t="s">
        <v>330</v>
      </c>
      <c r="K32" s="22" t="s">
        <v>331</v>
      </c>
      <c r="L32" s="23" t="s">
        <v>319</v>
      </c>
      <c r="M32" s="24" t="s">
        <v>7743</v>
      </c>
      <c r="N32" s="23">
        <v>11161000</v>
      </c>
      <c r="O32" s="25" t="s">
        <v>93</v>
      </c>
      <c r="P32" s="25" t="s">
        <v>53</v>
      </c>
      <c r="Q32" s="20" t="s">
        <v>332</v>
      </c>
      <c r="R32" s="20">
        <v>62412349</v>
      </c>
      <c r="S32" s="25" t="s">
        <v>55</v>
      </c>
      <c r="T32" s="26" t="s">
        <v>56</v>
      </c>
      <c r="U32" s="23">
        <v>865356065673006</v>
      </c>
      <c r="V32" s="27" t="s">
        <v>183</v>
      </c>
      <c r="W32" s="20" t="s">
        <v>129</v>
      </c>
      <c r="X32" s="20" t="s">
        <v>130</v>
      </c>
      <c r="Y32" s="20" t="s">
        <v>130</v>
      </c>
      <c r="Z32" s="20" t="s">
        <v>60</v>
      </c>
      <c r="AA32" s="20" t="s">
        <v>61</v>
      </c>
      <c r="AB32" s="20" t="s">
        <v>96</v>
      </c>
      <c r="AC32" s="28">
        <v>369.83</v>
      </c>
      <c r="AD32" s="28">
        <f>SUM(BASE[[#This Row],[MONTO DE RENTA ]]*1.16)</f>
        <v>429.00279999999998</v>
      </c>
      <c r="AE32" s="28" t="s">
        <v>63</v>
      </c>
      <c r="AF32" s="28">
        <v>369.82758620689657</v>
      </c>
      <c r="AG32" s="28">
        <v>429</v>
      </c>
      <c r="AI32" s="63">
        <v>44937</v>
      </c>
      <c r="AJ32" s="73">
        <v>46043</v>
      </c>
      <c r="AK3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2" s="30"/>
      <c r="AN32" s="20" t="s">
        <v>99</v>
      </c>
      <c r="AP32" s="20" t="s">
        <v>84</v>
      </c>
      <c r="AQ32" s="20" t="s">
        <v>100</v>
      </c>
    </row>
    <row r="33" spans="1:43" ht="16">
      <c r="A33" s="20">
        <v>4444162264</v>
      </c>
      <c r="B33" s="21">
        <v>1025153</v>
      </c>
      <c r="C33" s="20" t="s">
        <v>333</v>
      </c>
      <c r="D33" s="20" t="s">
        <v>216</v>
      </c>
      <c r="E33" s="20" t="s">
        <v>334</v>
      </c>
      <c r="F33" s="20" t="s">
        <v>104</v>
      </c>
      <c r="G33" s="20" t="s">
        <v>104</v>
      </c>
      <c r="H33" s="20" t="s">
        <v>48</v>
      </c>
      <c r="I33" s="20" t="s">
        <v>104</v>
      </c>
      <c r="J33" s="22" t="s">
        <v>335</v>
      </c>
      <c r="K33" s="22" t="s">
        <v>336</v>
      </c>
      <c r="L33" s="25" t="s">
        <v>319</v>
      </c>
      <c r="M33" s="24" t="s">
        <v>7743</v>
      </c>
      <c r="N33" s="23">
        <v>11161000</v>
      </c>
      <c r="O33" s="25" t="s">
        <v>93</v>
      </c>
      <c r="P33" s="25" t="s">
        <v>53</v>
      </c>
      <c r="Q33" s="20" t="s">
        <v>337</v>
      </c>
      <c r="R33" s="20">
        <v>63352809</v>
      </c>
      <c r="S33" s="25" t="s">
        <v>338</v>
      </c>
      <c r="T33" s="26" t="s">
        <v>57</v>
      </c>
      <c r="U33" s="23">
        <v>860478064953794</v>
      </c>
      <c r="V33" s="45" t="s">
        <v>110</v>
      </c>
      <c r="W33" s="20" t="s">
        <v>302</v>
      </c>
      <c r="X33" s="20" t="s">
        <v>303</v>
      </c>
      <c r="Y33" s="20" t="s">
        <v>303</v>
      </c>
      <c r="Z33" s="20" t="s">
        <v>80</v>
      </c>
      <c r="AA33" s="20" t="s">
        <v>81</v>
      </c>
      <c r="AB33" s="20" t="s">
        <v>82</v>
      </c>
      <c r="AC33" s="28">
        <v>559.48</v>
      </c>
      <c r="AD33" s="28">
        <f>SUM(BASE[[#This Row],[MONTO DE RENTA ]]*1.16)</f>
        <v>648.99680000000001</v>
      </c>
      <c r="AE33" s="28" t="s">
        <v>83</v>
      </c>
      <c r="AF33" s="28">
        <v>559.48275862068965</v>
      </c>
      <c r="AG33" s="28">
        <v>649</v>
      </c>
      <c r="AH33" s="22" t="s">
        <v>64</v>
      </c>
      <c r="AI33" s="63">
        <v>45703</v>
      </c>
      <c r="AJ33" s="63">
        <v>46433</v>
      </c>
      <c r="AK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" s="30"/>
      <c r="AN33" s="20" t="s">
        <v>65</v>
      </c>
      <c r="AP33" s="20" t="s">
        <v>84</v>
      </c>
    </row>
    <row r="34" spans="1:43" ht="16">
      <c r="A34" s="20">
        <v>4441300683</v>
      </c>
      <c r="B34" s="21">
        <v>300459</v>
      </c>
      <c r="C34" s="20" t="s">
        <v>339</v>
      </c>
      <c r="D34" s="20" t="s">
        <v>340</v>
      </c>
      <c r="E34" s="20" t="s">
        <v>341</v>
      </c>
      <c r="F34" s="20" t="s">
        <v>342</v>
      </c>
      <c r="G34" s="20" t="s">
        <v>342</v>
      </c>
      <c r="H34" s="20" t="s">
        <v>48</v>
      </c>
      <c r="I34" s="20" t="s">
        <v>342</v>
      </c>
      <c r="J34" s="22" t="s">
        <v>343</v>
      </c>
      <c r="K34" s="22" t="s">
        <v>343</v>
      </c>
      <c r="L34" s="23" t="s">
        <v>319</v>
      </c>
      <c r="M34" s="24" t="s">
        <v>7743</v>
      </c>
      <c r="N34" s="23">
        <v>18756000</v>
      </c>
      <c r="O34" s="25" t="s">
        <v>93</v>
      </c>
      <c r="P34" s="25" t="s">
        <v>53</v>
      </c>
      <c r="Q34" s="20" t="s">
        <v>344</v>
      </c>
      <c r="R34" s="20">
        <v>62249836</v>
      </c>
      <c r="S34" s="25" t="s">
        <v>345</v>
      </c>
      <c r="T34" s="26" t="s">
        <v>57</v>
      </c>
      <c r="U34" s="23">
        <v>358366320593505</v>
      </c>
      <c r="V34" s="27" t="s">
        <v>78</v>
      </c>
      <c r="W34" s="20" t="s">
        <v>79</v>
      </c>
      <c r="X34" s="20" t="s">
        <v>79</v>
      </c>
      <c r="Y34" s="20" t="s">
        <v>79</v>
      </c>
      <c r="Z34" s="20" t="s">
        <v>60</v>
      </c>
      <c r="AA34" s="20" t="s">
        <v>61</v>
      </c>
      <c r="AB34" s="20" t="s">
        <v>96</v>
      </c>
      <c r="AC34" s="28">
        <v>369.83</v>
      </c>
      <c r="AD34" s="28">
        <f>SUM(BASE[[#This Row],[MONTO DE RENTA ]]*1.16)</f>
        <v>429.00279999999998</v>
      </c>
      <c r="AE34" s="28" t="s">
        <v>83</v>
      </c>
      <c r="AF34" s="28">
        <v>559.48275862068965</v>
      </c>
      <c r="AG34" s="28">
        <v>649</v>
      </c>
      <c r="AH34" s="22" t="s">
        <v>64</v>
      </c>
      <c r="AI34" s="63">
        <v>45703</v>
      </c>
      <c r="AJ34" s="63">
        <v>46433</v>
      </c>
      <c r="AK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" s="30"/>
      <c r="AN34" s="20" t="s">
        <v>65</v>
      </c>
      <c r="AO34" s="20" t="s">
        <v>169</v>
      </c>
      <c r="AP34" s="20" t="s">
        <v>66</v>
      </c>
      <c r="AQ34" s="20" t="s">
        <v>100</v>
      </c>
    </row>
    <row r="35" spans="1:43" s="83" customFormat="1" ht="16">
      <c r="A35" s="20">
        <v>4441417842</v>
      </c>
      <c r="B35" s="21">
        <v>1006571</v>
      </c>
      <c r="C35" s="20" t="s">
        <v>346</v>
      </c>
      <c r="D35" s="20" t="s">
        <v>347</v>
      </c>
      <c r="E35" s="20" t="s">
        <v>348</v>
      </c>
      <c r="F35" s="20" t="s">
        <v>257</v>
      </c>
      <c r="G35" s="20" t="s">
        <v>257</v>
      </c>
      <c r="H35" s="20" t="s">
        <v>48</v>
      </c>
      <c r="I35" s="20" t="s">
        <v>257</v>
      </c>
      <c r="J35" s="54" t="s">
        <v>349</v>
      </c>
      <c r="K35" s="54" t="s">
        <v>350</v>
      </c>
      <c r="L35" s="23" t="s">
        <v>319</v>
      </c>
      <c r="M35" s="24" t="s">
        <v>7743</v>
      </c>
      <c r="N35" s="23">
        <v>11161000</v>
      </c>
      <c r="O35" s="25" t="s">
        <v>93</v>
      </c>
      <c r="P35" s="25" t="s">
        <v>53</v>
      </c>
      <c r="Q35" s="20" t="s">
        <v>351</v>
      </c>
      <c r="R35" s="20">
        <v>62255250</v>
      </c>
      <c r="S35" s="25" t="s">
        <v>352</v>
      </c>
      <c r="T35" s="81" t="s">
        <v>57</v>
      </c>
      <c r="U35" s="23">
        <v>860796063912861</v>
      </c>
      <c r="V35" s="45" t="s">
        <v>110</v>
      </c>
      <c r="W35" s="20" t="s">
        <v>353</v>
      </c>
      <c r="X35" s="20" t="s">
        <v>354</v>
      </c>
      <c r="Y35" s="20" t="s">
        <v>354</v>
      </c>
      <c r="Z35" s="20" t="s">
        <v>80</v>
      </c>
      <c r="AA35" s="20" t="s">
        <v>81</v>
      </c>
      <c r="AB35" s="20" t="s">
        <v>82</v>
      </c>
      <c r="AC35" s="28">
        <v>559.48</v>
      </c>
      <c r="AD35" s="28">
        <f>SUM(BASE[[#This Row],[MONTO DE RENTA ]]*1.16)</f>
        <v>648.99680000000001</v>
      </c>
      <c r="AE35" s="28" t="s">
        <v>83</v>
      </c>
      <c r="AF35" s="28">
        <v>559.48275862068965</v>
      </c>
      <c r="AG35" s="28">
        <v>649</v>
      </c>
      <c r="AH35" s="22"/>
      <c r="AI35" s="63">
        <v>45421</v>
      </c>
      <c r="AJ35" s="63">
        <v>46516</v>
      </c>
      <c r="AK35" s="30">
        <f ca="1">IFERROR(IF(BASE[[#This Row],[FECHA DE RENOVACION ]]&gt;TODAY(), DATEDIF(TODAY(),BASE[[#This Row],[FECHA DE RENOVACION ]],"M"), -DATEDIF(BASE[[#This Row],[FECHA DE RENOVACION ]],TODAY(),"M")), "Sin fecha")</f>
        <v>14</v>
      </c>
      <c r="AL35" s="20"/>
      <c r="AM35" s="30"/>
      <c r="AN35" s="20" t="s">
        <v>65</v>
      </c>
      <c r="AO35" s="82" t="s">
        <v>355</v>
      </c>
      <c r="AP35" s="20" t="s">
        <v>84</v>
      </c>
      <c r="AQ35" s="20" t="s">
        <v>100</v>
      </c>
    </row>
    <row r="36" spans="1:43" ht="16">
      <c r="A36" s="20">
        <v>6391148915</v>
      </c>
      <c r="B36" s="21">
        <v>1006284</v>
      </c>
      <c r="C36" s="20" t="s">
        <v>356</v>
      </c>
      <c r="D36" s="20" t="s">
        <v>357</v>
      </c>
      <c r="E36" s="20" t="s">
        <v>358</v>
      </c>
      <c r="F36" s="20" t="s">
        <v>359</v>
      </c>
      <c r="G36" s="20" t="s">
        <v>47</v>
      </c>
      <c r="H36" s="20" t="s">
        <v>48</v>
      </c>
      <c r="I36" s="20" t="s">
        <v>359</v>
      </c>
      <c r="J36" s="22" t="s">
        <v>360</v>
      </c>
      <c r="K36" s="22" t="s">
        <v>360</v>
      </c>
      <c r="L36" s="23" t="s">
        <v>361</v>
      </c>
      <c r="M36" s="24" t="s">
        <v>7744</v>
      </c>
      <c r="N36" s="23">
        <v>11162000</v>
      </c>
      <c r="O36" s="25" t="s">
        <v>362</v>
      </c>
      <c r="P36" s="25" t="s">
        <v>53</v>
      </c>
      <c r="Q36" s="20" t="s">
        <v>363</v>
      </c>
      <c r="R36" s="20">
        <v>31963298</v>
      </c>
      <c r="S36" s="25" t="s">
        <v>364</v>
      </c>
      <c r="T36" s="26" t="s">
        <v>57</v>
      </c>
      <c r="U36" s="23">
        <v>860900062238779</v>
      </c>
      <c r="V36" s="27" t="s">
        <v>57</v>
      </c>
      <c r="W36" s="20" t="s">
        <v>58</v>
      </c>
      <c r="X36" s="20" t="s">
        <v>59</v>
      </c>
      <c r="Y36" s="20" t="s">
        <v>59</v>
      </c>
      <c r="Z36" s="20" t="s">
        <v>80</v>
      </c>
      <c r="AA36" s="20" t="s">
        <v>81</v>
      </c>
      <c r="AB36" s="20" t="s">
        <v>96</v>
      </c>
      <c r="AC36" s="28">
        <v>369.83</v>
      </c>
      <c r="AD36" s="28">
        <f>SUM(BASE[[#This Row],[MONTO DE RENTA ]]*1.16)</f>
        <v>429.00279999999998</v>
      </c>
      <c r="AE36" s="28" t="s">
        <v>63</v>
      </c>
      <c r="AF36" s="28">
        <v>369.82758620689657</v>
      </c>
      <c r="AG36" s="28">
        <v>429</v>
      </c>
      <c r="AH36" s="22" t="s">
        <v>64</v>
      </c>
      <c r="AI36" s="63">
        <v>45703</v>
      </c>
      <c r="AJ36" s="63">
        <v>46433</v>
      </c>
      <c r="AK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" s="30"/>
      <c r="AN36" s="20" t="s">
        <v>65</v>
      </c>
      <c r="AO36" s="20" t="s">
        <v>141</v>
      </c>
      <c r="AP36" s="20" t="s">
        <v>84</v>
      </c>
      <c r="AQ36" s="20" t="s">
        <v>100</v>
      </c>
    </row>
    <row r="37" spans="1:43" ht="16">
      <c r="A37" s="20">
        <v>6391171312</v>
      </c>
      <c r="B37" s="48">
        <v>1006593</v>
      </c>
      <c r="C37" s="20" t="s">
        <v>365</v>
      </c>
      <c r="D37" s="20" t="s">
        <v>366</v>
      </c>
      <c r="E37" s="20" t="s">
        <v>45</v>
      </c>
      <c r="F37" s="20" t="s">
        <v>248</v>
      </c>
      <c r="G37" s="20" t="s">
        <v>248</v>
      </c>
      <c r="H37" s="20" t="s">
        <v>48</v>
      </c>
      <c r="I37" s="20" t="s">
        <v>248</v>
      </c>
      <c r="J37" s="22" t="s">
        <v>367</v>
      </c>
      <c r="K37" s="22" t="s">
        <v>367</v>
      </c>
      <c r="L37" s="23" t="s">
        <v>361</v>
      </c>
      <c r="M37" s="24" t="s">
        <v>7744</v>
      </c>
      <c r="N37" s="23">
        <v>11162000</v>
      </c>
      <c r="O37" s="25" t="s">
        <v>362</v>
      </c>
      <c r="P37" s="25" t="s">
        <v>53</v>
      </c>
      <c r="Q37" s="20" t="s">
        <v>368</v>
      </c>
      <c r="R37" s="20">
        <v>31963317</v>
      </c>
      <c r="S37" s="25" t="s">
        <v>369</v>
      </c>
      <c r="T37" s="26" t="s">
        <v>57</v>
      </c>
      <c r="U37" s="23">
        <v>860900062238530</v>
      </c>
      <c r="V37" s="27" t="s">
        <v>57</v>
      </c>
      <c r="W37" s="20" t="s">
        <v>58</v>
      </c>
      <c r="X37" s="20" t="s">
        <v>59</v>
      </c>
      <c r="Y37" s="20" t="s">
        <v>59</v>
      </c>
      <c r="Z37" s="20" t="s">
        <v>80</v>
      </c>
      <c r="AA37" s="20" t="s">
        <v>81</v>
      </c>
      <c r="AB37" s="20" t="s">
        <v>96</v>
      </c>
      <c r="AC37" s="28">
        <v>369.83</v>
      </c>
      <c r="AD37" s="28">
        <f>SUM(BASE[[#This Row],[MONTO DE RENTA ]]*1.16)</f>
        <v>429.00279999999998</v>
      </c>
      <c r="AE37" s="28" t="s">
        <v>63</v>
      </c>
      <c r="AF37" s="28">
        <v>369.82758620689657</v>
      </c>
      <c r="AG37" s="28">
        <v>429</v>
      </c>
      <c r="AH37" s="22" t="s">
        <v>64</v>
      </c>
      <c r="AI37" s="29">
        <v>45703</v>
      </c>
      <c r="AJ37" s="29">
        <v>46433</v>
      </c>
      <c r="AK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" s="30"/>
      <c r="AN37" s="20" t="s">
        <v>65</v>
      </c>
      <c r="AO37" s="20" t="s">
        <v>141</v>
      </c>
      <c r="AP37" s="20" t="s">
        <v>84</v>
      </c>
      <c r="AQ37" s="20" t="s">
        <v>100</v>
      </c>
    </row>
    <row r="38" spans="1:43" s="69" customFormat="1" ht="16">
      <c r="A38" s="20">
        <v>6391069417</v>
      </c>
      <c r="B38" s="21">
        <v>1006596</v>
      </c>
      <c r="C38" s="20" t="s">
        <v>370</v>
      </c>
      <c r="D38" s="20" t="s">
        <v>371</v>
      </c>
      <c r="E38" s="20" t="s">
        <v>172</v>
      </c>
      <c r="F38" s="20" t="s">
        <v>257</v>
      </c>
      <c r="G38" s="20" t="s">
        <v>257</v>
      </c>
      <c r="H38" s="20" t="s">
        <v>48</v>
      </c>
      <c r="I38" s="20" t="s">
        <v>257</v>
      </c>
      <c r="J38" s="22" t="s">
        <v>372</v>
      </c>
      <c r="K38" s="22" t="s">
        <v>372</v>
      </c>
      <c r="L38" s="23" t="s">
        <v>361</v>
      </c>
      <c r="M38" s="24" t="s">
        <v>7744</v>
      </c>
      <c r="N38" s="23">
        <v>11162000</v>
      </c>
      <c r="O38" s="25" t="s">
        <v>362</v>
      </c>
      <c r="P38" s="25" t="s">
        <v>53</v>
      </c>
      <c r="Q38" s="20" t="s">
        <v>373</v>
      </c>
      <c r="R38" s="20">
        <v>31963293</v>
      </c>
      <c r="S38" s="25" t="s">
        <v>374</v>
      </c>
      <c r="T38" s="26" t="s">
        <v>57</v>
      </c>
      <c r="U38" s="23">
        <v>860478064951251</v>
      </c>
      <c r="V38" s="45" t="s">
        <v>110</v>
      </c>
      <c r="W38" s="20" t="s">
        <v>302</v>
      </c>
      <c r="X38" s="20" t="s">
        <v>303</v>
      </c>
      <c r="Y38" s="20" t="s">
        <v>303</v>
      </c>
      <c r="Z38" s="20" t="s">
        <v>80</v>
      </c>
      <c r="AA38" s="20" t="s">
        <v>81</v>
      </c>
      <c r="AB38" s="20" t="s">
        <v>82</v>
      </c>
      <c r="AC38" s="28">
        <v>559.48</v>
      </c>
      <c r="AD38" s="28">
        <f>SUM(BASE[[#This Row],[MONTO DE RENTA ]]*1.16)</f>
        <v>648.99680000000001</v>
      </c>
      <c r="AE38" s="28" t="s">
        <v>83</v>
      </c>
      <c r="AF38" s="28">
        <v>559.48275862068965</v>
      </c>
      <c r="AG38" s="28">
        <v>649</v>
      </c>
      <c r="AH38" s="22" t="s">
        <v>64</v>
      </c>
      <c r="AI38" s="63">
        <v>45703</v>
      </c>
      <c r="AJ38" s="63">
        <v>46433</v>
      </c>
      <c r="AK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38" s="20"/>
      <c r="AM38" s="30"/>
      <c r="AN38" s="20" t="s">
        <v>65</v>
      </c>
      <c r="AO38" s="82" t="s">
        <v>355</v>
      </c>
      <c r="AP38" s="20" t="s">
        <v>84</v>
      </c>
      <c r="AQ38" s="20" t="s">
        <v>100</v>
      </c>
    </row>
    <row r="39" spans="1:43" ht="16">
      <c r="A39" s="20">
        <v>6391004110</v>
      </c>
      <c r="B39" s="48">
        <v>1077671</v>
      </c>
      <c r="C39" s="20" t="s">
        <v>375</v>
      </c>
      <c r="D39" s="20" t="s">
        <v>376</v>
      </c>
      <c r="E39" s="20" t="s">
        <v>377</v>
      </c>
      <c r="F39" s="20" t="s">
        <v>104</v>
      </c>
      <c r="G39" s="20" t="s">
        <v>104</v>
      </c>
      <c r="H39" s="20" t="s">
        <v>48</v>
      </c>
      <c r="I39" s="20" t="s">
        <v>104</v>
      </c>
      <c r="J39" s="32" t="s">
        <v>378</v>
      </c>
      <c r="K39" s="22" t="s">
        <v>379</v>
      </c>
      <c r="L39" s="23" t="s">
        <v>361</v>
      </c>
      <c r="M39" s="24" t="s">
        <v>7744</v>
      </c>
      <c r="N39" s="23">
        <v>11162000</v>
      </c>
      <c r="O39" s="25" t="s">
        <v>362</v>
      </c>
      <c r="P39" s="25" t="s">
        <v>53</v>
      </c>
      <c r="Q39" s="20" t="s">
        <v>380</v>
      </c>
      <c r="R39" s="20">
        <v>32113011</v>
      </c>
      <c r="S39" s="25" t="s">
        <v>55</v>
      </c>
      <c r="T39" s="26" t="s">
        <v>56</v>
      </c>
      <c r="U39" s="23">
        <v>860478064844779</v>
      </c>
      <c r="V39" s="27" t="s">
        <v>57</v>
      </c>
      <c r="W39" s="20" t="s">
        <v>302</v>
      </c>
      <c r="X39" s="20" t="s">
        <v>303</v>
      </c>
      <c r="Y39" s="20" t="s">
        <v>303</v>
      </c>
      <c r="Z39" s="20" t="s">
        <v>60</v>
      </c>
      <c r="AA39" s="20" t="s">
        <v>61</v>
      </c>
      <c r="AB39" s="20" t="s">
        <v>96</v>
      </c>
      <c r="AC39" s="28">
        <v>369.83</v>
      </c>
      <c r="AD39" s="28">
        <f>SUM(BASE[[#This Row],[MONTO DE RENTA ]]*1.16)</f>
        <v>429.00279999999998</v>
      </c>
      <c r="AE39" s="28" t="s">
        <v>63</v>
      </c>
      <c r="AF39" s="28">
        <v>369.82758620689657</v>
      </c>
      <c r="AG39" s="28">
        <v>429</v>
      </c>
      <c r="AI39" s="63">
        <v>44937</v>
      </c>
      <c r="AJ39" s="84">
        <v>46316</v>
      </c>
      <c r="AK39" s="30">
        <f ca="1">IFERROR(IF(BASE[[#This Row],[FECHA DE RENOVACION ]]&gt;TODAY(), DATEDIF(TODAY(),BASE[[#This Row],[FECHA DE RENOVACION ]],"M"), -DATEDIF(BASE[[#This Row],[FECHA DE RENOVACION ]],TODAY(),"M")), "Sin fecha")</f>
        <v>7</v>
      </c>
      <c r="AM39" s="30" t="s">
        <v>381</v>
      </c>
      <c r="AN39" s="20" t="s">
        <v>65</v>
      </c>
      <c r="AO39" s="20" t="s">
        <v>141</v>
      </c>
      <c r="AP39" s="20" t="s">
        <v>84</v>
      </c>
      <c r="AQ39" s="20" t="s">
        <v>100</v>
      </c>
    </row>
    <row r="40" spans="1:43" ht="16">
      <c r="A40" s="20">
        <v>6391318477</v>
      </c>
      <c r="B40" s="48">
        <v>1061294</v>
      </c>
      <c r="C40" s="20" t="s">
        <v>382</v>
      </c>
      <c r="D40" s="20" t="s">
        <v>383</v>
      </c>
      <c r="E40" s="20" t="s">
        <v>358</v>
      </c>
      <c r="F40" s="20" t="s">
        <v>384</v>
      </c>
      <c r="G40" s="20" t="s">
        <v>104</v>
      </c>
      <c r="H40" s="20" t="s">
        <v>48</v>
      </c>
      <c r="I40" s="20" t="s">
        <v>384</v>
      </c>
      <c r="J40" s="32" t="s">
        <v>378</v>
      </c>
      <c r="K40" s="32" t="s">
        <v>378</v>
      </c>
      <c r="L40" s="23" t="s">
        <v>361</v>
      </c>
      <c r="M40" s="24" t="s">
        <v>7744</v>
      </c>
      <c r="N40" s="23">
        <v>11162000</v>
      </c>
      <c r="O40" s="25" t="s">
        <v>362</v>
      </c>
      <c r="P40" s="25" t="s">
        <v>53</v>
      </c>
      <c r="Q40" s="20" t="s">
        <v>385</v>
      </c>
      <c r="R40" s="20">
        <v>31963294</v>
      </c>
      <c r="S40" s="25" t="s">
        <v>386</v>
      </c>
      <c r="T40" s="26" t="s">
        <v>57</v>
      </c>
      <c r="U40" s="23">
        <v>860478064844779</v>
      </c>
      <c r="V40" s="27" t="s">
        <v>57</v>
      </c>
      <c r="W40" s="20" t="s">
        <v>302</v>
      </c>
      <c r="X40" s="20" t="s">
        <v>303</v>
      </c>
      <c r="Y40" s="20" t="s">
        <v>303</v>
      </c>
      <c r="Z40" s="20" t="s">
        <v>80</v>
      </c>
      <c r="AA40" s="20" t="s">
        <v>81</v>
      </c>
      <c r="AB40" s="20" t="s">
        <v>82</v>
      </c>
      <c r="AC40" s="28">
        <v>559.48</v>
      </c>
      <c r="AD40" s="28">
        <f>SUM(BASE[[#This Row],[MONTO DE RENTA ]]*1.16)</f>
        <v>648.99680000000001</v>
      </c>
      <c r="AE40" s="28" t="s">
        <v>83</v>
      </c>
      <c r="AF40" s="28">
        <v>559.48275862068965</v>
      </c>
      <c r="AG40" s="28">
        <v>649</v>
      </c>
      <c r="AH40" s="22" t="s">
        <v>64</v>
      </c>
      <c r="AI40" s="63">
        <v>45703</v>
      </c>
      <c r="AJ40" s="63">
        <v>46433</v>
      </c>
      <c r="AK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" s="30"/>
      <c r="AN40" s="20" t="s">
        <v>65</v>
      </c>
      <c r="AO40" s="20" t="s">
        <v>141</v>
      </c>
      <c r="AP40" s="20" t="s">
        <v>84</v>
      </c>
      <c r="AQ40" s="20" t="s">
        <v>100</v>
      </c>
    </row>
    <row r="41" spans="1:43" ht="16">
      <c r="A41" s="20">
        <v>6391229433</v>
      </c>
      <c r="B41" s="21">
        <v>460251</v>
      </c>
      <c r="C41" s="20" t="s">
        <v>387</v>
      </c>
      <c r="D41" s="20" t="s">
        <v>45</v>
      </c>
      <c r="E41" s="20" t="s">
        <v>247</v>
      </c>
      <c r="F41" s="20" t="s">
        <v>70</v>
      </c>
      <c r="G41" s="20" t="s">
        <v>70</v>
      </c>
      <c r="H41" s="20" t="s">
        <v>48</v>
      </c>
      <c r="I41" s="20" t="s">
        <v>70</v>
      </c>
      <c r="J41" s="22" t="s">
        <v>388</v>
      </c>
      <c r="K41" s="32" t="s">
        <v>388</v>
      </c>
      <c r="L41" s="23" t="s">
        <v>361</v>
      </c>
      <c r="M41" s="24" t="s">
        <v>7744</v>
      </c>
      <c r="N41" s="23">
        <v>11162000</v>
      </c>
      <c r="O41" s="25" t="s">
        <v>362</v>
      </c>
      <c r="P41" s="25" t="s">
        <v>53</v>
      </c>
      <c r="Q41" s="20" t="s">
        <v>389</v>
      </c>
      <c r="R41" s="20">
        <v>31931073</v>
      </c>
      <c r="S41" s="25" t="s">
        <v>390</v>
      </c>
      <c r="T41" s="26" t="s">
        <v>77</v>
      </c>
      <c r="U41" s="23">
        <v>358366320508446</v>
      </c>
      <c r="V41" s="27" t="s">
        <v>78</v>
      </c>
      <c r="W41" s="20" t="s">
        <v>79</v>
      </c>
      <c r="X41" s="20" t="s">
        <v>79</v>
      </c>
      <c r="Y41" s="20" t="s">
        <v>79</v>
      </c>
      <c r="Z41" s="20" t="s">
        <v>80</v>
      </c>
      <c r="AA41" s="20" t="s">
        <v>81</v>
      </c>
      <c r="AB41" s="20" t="s">
        <v>82</v>
      </c>
      <c r="AC41" s="28">
        <v>559.48</v>
      </c>
      <c r="AD41" s="28">
        <f>SUM(BASE[[#This Row],[MONTO DE RENTA ]]*1.16)</f>
        <v>648.99680000000001</v>
      </c>
      <c r="AE41" s="28" t="s">
        <v>83</v>
      </c>
      <c r="AF41" s="28">
        <v>559.48275862068965</v>
      </c>
      <c r="AG41" s="28">
        <v>649</v>
      </c>
      <c r="AH41" s="22" t="s">
        <v>64</v>
      </c>
      <c r="AI41" s="29">
        <v>45703</v>
      </c>
      <c r="AJ41" s="29">
        <v>46433</v>
      </c>
      <c r="AK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" s="30"/>
      <c r="AN41" s="20" t="s">
        <v>65</v>
      </c>
      <c r="AP41" s="20" t="s">
        <v>84</v>
      </c>
    </row>
    <row r="42" spans="1:43" ht="16">
      <c r="A42" s="20">
        <v>4498909017</v>
      </c>
      <c r="B42" s="49">
        <v>1009892</v>
      </c>
      <c r="C42" s="20" t="s">
        <v>391</v>
      </c>
      <c r="D42" s="20" t="s">
        <v>392</v>
      </c>
      <c r="E42" s="20" t="s">
        <v>292</v>
      </c>
      <c r="F42" s="20" t="s">
        <v>359</v>
      </c>
      <c r="G42" s="20" t="s">
        <v>47</v>
      </c>
      <c r="H42" s="20" t="s">
        <v>48</v>
      </c>
      <c r="I42" s="20" t="s">
        <v>359</v>
      </c>
      <c r="J42" s="22" t="s">
        <v>393</v>
      </c>
      <c r="K42" s="22" t="s">
        <v>393</v>
      </c>
      <c r="L42" s="23" t="s">
        <v>394</v>
      </c>
      <c r="M42" s="24" t="s">
        <v>7743</v>
      </c>
      <c r="N42" s="23">
        <v>11163000</v>
      </c>
      <c r="O42" s="25" t="s">
        <v>93</v>
      </c>
      <c r="P42" s="25" t="s">
        <v>53</v>
      </c>
      <c r="Q42" s="20" t="s">
        <v>395</v>
      </c>
      <c r="R42" s="20">
        <v>62523208</v>
      </c>
      <c r="S42" s="25" t="s">
        <v>55</v>
      </c>
      <c r="T42" s="26" t="s">
        <v>56</v>
      </c>
      <c r="U42" s="23">
        <v>865356065672891</v>
      </c>
      <c r="V42" s="27" t="s">
        <v>183</v>
      </c>
      <c r="W42" s="20" t="s">
        <v>129</v>
      </c>
      <c r="X42" s="20" t="s">
        <v>130</v>
      </c>
      <c r="Y42" s="20" t="s">
        <v>130</v>
      </c>
      <c r="Z42" s="20" t="s">
        <v>60</v>
      </c>
      <c r="AA42" s="20" t="s">
        <v>61</v>
      </c>
      <c r="AB42" s="20" t="s">
        <v>96</v>
      </c>
      <c r="AC42" s="28">
        <v>369.83</v>
      </c>
      <c r="AD42" s="28">
        <f>SUM(BASE[[#This Row],[MONTO DE RENTA ]]*1.16)</f>
        <v>429.00279999999998</v>
      </c>
      <c r="AE42" s="28" t="s">
        <v>63</v>
      </c>
      <c r="AF42" s="28">
        <v>369.82758620689657</v>
      </c>
      <c r="AG42" s="28">
        <v>429</v>
      </c>
      <c r="AI42" s="63">
        <v>44937</v>
      </c>
      <c r="AJ42" s="73">
        <v>46043</v>
      </c>
      <c r="AK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2" s="30"/>
      <c r="AN42" s="20" t="s">
        <v>99</v>
      </c>
      <c r="AP42" s="20" t="s">
        <v>84</v>
      </c>
      <c r="AQ42" s="20" t="s">
        <v>100</v>
      </c>
    </row>
    <row r="43" spans="1:43" ht="16">
      <c r="A43" s="20">
        <v>4498973564</v>
      </c>
      <c r="B43" s="49">
        <v>1009828</v>
      </c>
      <c r="C43" s="20" t="s">
        <v>396</v>
      </c>
      <c r="D43" s="20" t="s">
        <v>376</v>
      </c>
      <c r="E43" s="20" t="s">
        <v>397</v>
      </c>
      <c r="F43" s="20" t="s">
        <v>248</v>
      </c>
      <c r="G43" s="20" t="s">
        <v>248</v>
      </c>
      <c r="H43" s="20" t="s">
        <v>48</v>
      </c>
      <c r="I43" s="20" t="s">
        <v>248</v>
      </c>
      <c r="J43" s="22" t="s">
        <v>398</v>
      </c>
      <c r="K43" s="22" t="s">
        <v>398</v>
      </c>
      <c r="L43" s="23" t="s">
        <v>394</v>
      </c>
      <c r="M43" s="24" t="s">
        <v>7743</v>
      </c>
      <c r="N43" s="23">
        <v>11163000</v>
      </c>
      <c r="O43" s="25" t="s">
        <v>93</v>
      </c>
      <c r="P43" s="25" t="s">
        <v>53</v>
      </c>
      <c r="Q43" s="20" t="s">
        <v>399</v>
      </c>
      <c r="R43" s="20">
        <v>62523210</v>
      </c>
      <c r="S43" s="25" t="s">
        <v>55</v>
      </c>
      <c r="T43" s="26" t="s">
        <v>56</v>
      </c>
      <c r="U43" s="23">
        <v>865356065672875</v>
      </c>
      <c r="V43" s="27" t="s">
        <v>183</v>
      </c>
      <c r="W43" s="20" t="s">
        <v>129</v>
      </c>
      <c r="X43" s="20" t="s">
        <v>130</v>
      </c>
      <c r="Y43" s="20" t="s">
        <v>130</v>
      </c>
      <c r="Z43" s="20" t="s">
        <v>60</v>
      </c>
      <c r="AA43" s="20" t="s">
        <v>61</v>
      </c>
      <c r="AB43" s="20" t="s">
        <v>96</v>
      </c>
      <c r="AC43" s="28">
        <v>369.83</v>
      </c>
      <c r="AD43" s="28">
        <f>SUM(BASE[[#This Row],[MONTO DE RENTA ]]*1.16)</f>
        <v>429.00279999999998</v>
      </c>
      <c r="AE43" s="28" t="s">
        <v>63</v>
      </c>
      <c r="AF43" s="28">
        <v>369.82758620689657</v>
      </c>
      <c r="AG43" s="28">
        <v>429</v>
      </c>
      <c r="AI43" s="29">
        <v>44937</v>
      </c>
      <c r="AJ43" s="50">
        <v>46043</v>
      </c>
      <c r="AK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3" s="30"/>
      <c r="AN43" s="20" t="s">
        <v>99</v>
      </c>
      <c r="AP43" s="20" t="s">
        <v>84</v>
      </c>
      <c r="AQ43" s="20" t="s">
        <v>100</v>
      </c>
    </row>
    <row r="44" spans="1:43" ht="16">
      <c r="A44" s="20">
        <v>4491964847</v>
      </c>
      <c r="B44" s="49">
        <v>1009831</v>
      </c>
      <c r="C44" s="20" t="s">
        <v>400</v>
      </c>
      <c r="D44" s="20" t="s">
        <v>401</v>
      </c>
      <c r="E44" s="20" t="s">
        <v>402</v>
      </c>
      <c r="F44" s="20" t="s">
        <v>257</v>
      </c>
      <c r="G44" s="20" t="s">
        <v>257</v>
      </c>
      <c r="H44" s="20" t="s">
        <v>48</v>
      </c>
      <c r="I44" s="20" t="s">
        <v>257</v>
      </c>
      <c r="J44" s="32" t="s">
        <v>403</v>
      </c>
      <c r="K44" s="32" t="s">
        <v>403</v>
      </c>
      <c r="L44" s="23" t="s">
        <v>394</v>
      </c>
      <c r="M44" s="24" t="s">
        <v>7743</v>
      </c>
      <c r="N44" s="23">
        <v>11163000</v>
      </c>
      <c r="O44" s="25" t="s">
        <v>93</v>
      </c>
      <c r="P44" s="25" t="s">
        <v>53</v>
      </c>
      <c r="Q44" s="20" t="s">
        <v>404</v>
      </c>
      <c r="R44" s="20">
        <v>62523207</v>
      </c>
      <c r="S44" s="25" t="s">
        <v>55</v>
      </c>
      <c r="T44" s="26" t="s">
        <v>56</v>
      </c>
      <c r="U44" s="23">
        <v>860478060660732</v>
      </c>
      <c r="V44" s="45" t="s">
        <v>110</v>
      </c>
      <c r="W44" s="20" t="s">
        <v>302</v>
      </c>
      <c r="X44" s="20" t="s">
        <v>303</v>
      </c>
      <c r="Y44" s="20" t="s">
        <v>303</v>
      </c>
      <c r="Z44" s="20" t="s">
        <v>60</v>
      </c>
      <c r="AA44" s="20" t="s">
        <v>61</v>
      </c>
      <c r="AB44" s="20" t="s">
        <v>96</v>
      </c>
      <c r="AC44" s="28">
        <v>369.83</v>
      </c>
      <c r="AD44" s="28">
        <f>SUM(BASE[[#This Row],[MONTO DE RENTA ]]*1.16)</f>
        <v>429.00279999999998</v>
      </c>
      <c r="AE44" s="28" t="s">
        <v>97</v>
      </c>
      <c r="AF44" s="28">
        <v>473.27586206896552</v>
      </c>
      <c r="AG44" s="28">
        <v>549</v>
      </c>
      <c r="AI44" s="63">
        <v>44937</v>
      </c>
      <c r="AJ44" s="63">
        <v>46429</v>
      </c>
      <c r="AK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" s="30"/>
      <c r="AN44" s="20" t="s">
        <v>65</v>
      </c>
      <c r="AO44" s="82" t="s">
        <v>355</v>
      </c>
      <c r="AP44" s="20" t="s">
        <v>66</v>
      </c>
      <c r="AQ44" s="20" t="s">
        <v>100</v>
      </c>
    </row>
    <row r="45" spans="1:43" ht="16">
      <c r="A45" s="20">
        <v>4491116573</v>
      </c>
      <c r="B45" s="49">
        <v>1009974</v>
      </c>
      <c r="C45" s="20" t="s">
        <v>263</v>
      </c>
      <c r="D45" s="20" t="s">
        <v>405</v>
      </c>
      <c r="E45" s="20" t="s">
        <v>406</v>
      </c>
      <c r="F45" s="20" t="s">
        <v>104</v>
      </c>
      <c r="G45" s="20" t="s">
        <v>104</v>
      </c>
      <c r="H45" s="20" t="s">
        <v>48</v>
      </c>
      <c r="I45" s="20" t="s">
        <v>104</v>
      </c>
      <c r="J45" s="22" t="s">
        <v>407</v>
      </c>
      <c r="K45" s="22" t="s">
        <v>408</v>
      </c>
      <c r="L45" s="23" t="s">
        <v>394</v>
      </c>
      <c r="M45" s="24" t="s">
        <v>7743</v>
      </c>
      <c r="N45" s="23">
        <v>11163000</v>
      </c>
      <c r="O45" s="25" t="s">
        <v>93</v>
      </c>
      <c r="P45" s="25" t="s">
        <v>53</v>
      </c>
      <c r="Q45" s="20" t="s">
        <v>409</v>
      </c>
      <c r="R45" s="20">
        <v>62523204</v>
      </c>
      <c r="S45" s="25" t="s">
        <v>55</v>
      </c>
      <c r="T45" s="67" t="s">
        <v>56</v>
      </c>
      <c r="U45" s="23">
        <v>867353050205579</v>
      </c>
      <c r="V45" s="45" t="s">
        <v>110</v>
      </c>
      <c r="W45" s="20" t="s">
        <v>149</v>
      </c>
      <c r="X45" s="20" t="s">
        <v>150</v>
      </c>
      <c r="Y45" s="20" t="s">
        <v>150</v>
      </c>
      <c r="Z45" s="20" t="s">
        <v>60</v>
      </c>
      <c r="AA45" s="20" t="s">
        <v>61</v>
      </c>
      <c r="AB45" s="20" t="s">
        <v>96</v>
      </c>
      <c r="AC45" s="28">
        <v>369.83</v>
      </c>
      <c r="AD45" s="28">
        <f>SUM(BASE[[#This Row],[MONTO DE RENTA ]]*1.16)</f>
        <v>429.00279999999998</v>
      </c>
      <c r="AE45" s="28" t="s">
        <v>83</v>
      </c>
      <c r="AF45" s="28">
        <v>559.48275862068965</v>
      </c>
      <c r="AG45" s="28">
        <v>649</v>
      </c>
      <c r="AI45" s="29">
        <v>45940</v>
      </c>
      <c r="AJ45" s="75">
        <v>46024</v>
      </c>
      <c r="AK45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45" s="85">
        <v>46011</v>
      </c>
      <c r="AM45" s="30"/>
      <c r="AN45" s="20" t="s">
        <v>99</v>
      </c>
      <c r="AP45" s="20" t="s">
        <v>66</v>
      </c>
      <c r="AQ45" s="20" t="s">
        <v>100</v>
      </c>
    </row>
    <row r="46" spans="1:43" ht="16">
      <c r="A46" s="20">
        <v>4499112589</v>
      </c>
      <c r="B46" s="49">
        <v>30322</v>
      </c>
      <c r="C46" s="20" t="s">
        <v>410</v>
      </c>
      <c r="D46" s="20" t="s">
        <v>411</v>
      </c>
      <c r="E46" s="20" t="s">
        <v>412</v>
      </c>
      <c r="F46" s="20" t="s">
        <v>70</v>
      </c>
      <c r="G46" s="20" t="s">
        <v>70</v>
      </c>
      <c r="H46" s="20" t="s">
        <v>48</v>
      </c>
      <c r="I46" s="20" t="s">
        <v>70</v>
      </c>
      <c r="J46" s="22" t="s">
        <v>413</v>
      </c>
      <c r="K46" s="22" t="s">
        <v>413</v>
      </c>
      <c r="L46" s="23" t="s">
        <v>394</v>
      </c>
      <c r="M46" s="24" t="s">
        <v>7743</v>
      </c>
      <c r="N46" s="23">
        <v>11163000</v>
      </c>
      <c r="O46" s="25" t="s">
        <v>93</v>
      </c>
      <c r="P46" s="25" t="s">
        <v>53</v>
      </c>
      <c r="Q46" s="20" t="s">
        <v>414</v>
      </c>
      <c r="R46" s="20">
        <v>62526565</v>
      </c>
      <c r="S46" s="25" t="s">
        <v>55</v>
      </c>
      <c r="T46" s="26" t="s">
        <v>56</v>
      </c>
      <c r="U46" s="23">
        <v>357894928051346</v>
      </c>
      <c r="V46" s="27" t="s">
        <v>78</v>
      </c>
      <c r="W46" s="20" t="s">
        <v>95</v>
      </c>
      <c r="X46" s="20" t="s">
        <v>95</v>
      </c>
      <c r="Y46" s="20" t="s">
        <v>95</v>
      </c>
      <c r="Z46" s="20" t="s">
        <v>60</v>
      </c>
      <c r="AA46" s="20" t="s">
        <v>61</v>
      </c>
      <c r="AB46" s="20" t="s">
        <v>82</v>
      </c>
      <c r="AC46" s="28">
        <v>559.48</v>
      </c>
      <c r="AD46" s="28">
        <f>SUM(BASE[[#This Row],[MONTO DE RENTA ]]*1.16)</f>
        <v>648.99680000000001</v>
      </c>
      <c r="AE46" s="28" t="s">
        <v>83</v>
      </c>
      <c r="AF46" s="28">
        <v>559.48275862068965</v>
      </c>
      <c r="AG46" s="28">
        <v>649</v>
      </c>
      <c r="AI46" s="63">
        <v>44937</v>
      </c>
      <c r="AJ46" s="73">
        <v>46043</v>
      </c>
      <c r="AK4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6" s="30"/>
      <c r="AN46" s="20" t="s">
        <v>99</v>
      </c>
      <c r="AP46" s="20" t="s">
        <v>84</v>
      </c>
      <c r="AQ46" s="20" t="s">
        <v>100</v>
      </c>
    </row>
    <row r="47" spans="1:43" s="87" customFormat="1" ht="16">
      <c r="A47" s="20">
        <v>7771625453</v>
      </c>
      <c r="B47" s="86">
        <v>1011467</v>
      </c>
      <c r="C47" s="20" t="s">
        <v>415</v>
      </c>
      <c r="D47" s="20" t="s">
        <v>416</v>
      </c>
      <c r="E47" s="20" t="s">
        <v>417</v>
      </c>
      <c r="F47" s="20" t="s">
        <v>418</v>
      </c>
      <c r="G47" s="20" t="s">
        <v>47</v>
      </c>
      <c r="H47" s="20" t="s">
        <v>48</v>
      </c>
      <c r="I47" s="20" t="s">
        <v>418</v>
      </c>
      <c r="J47" s="22" t="s">
        <v>419</v>
      </c>
      <c r="K47" s="32" t="s">
        <v>419</v>
      </c>
      <c r="L47" s="23" t="s">
        <v>420</v>
      </c>
      <c r="M47" s="24" t="s">
        <v>7742</v>
      </c>
      <c r="N47" s="23">
        <v>11164000</v>
      </c>
      <c r="O47" s="25" t="s">
        <v>52</v>
      </c>
      <c r="P47" s="25" t="s">
        <v>53</v>
      </c>
      <c r="Q47" s="20" t="s">
        <v>421</v>
      </c>
      <c r="R47" s="20">
        <v>91663632</v>
      </c>
      <c r="S47" s="25" t="s">
        <v>55</v>
      </c>
      <c r="T47" s="26" t="s">
        <v>56</v>
      </c>
      <c r="U47" s="23" t="s">
        <v>193</v>
      </c>
      <c r="V47" s="27" t="s">
        <v>183</v>
      </c>
      <c r="W47" s="20" t="s">
        <v>194</v>
      </c>
      <c r="X47" s="20" t="s">
        <v>194</v>
      </c>
      <c r="Y47" s="20" t="s">
        <v>194</v>
      </c>
      <c r="Z47" s="20" t="s">
        <v>60</v>
      </c>
      <c r="AA47" s="20" t="s">
        <v>61</v>
      </c>
      <c r="AB47" s="20" t="s">
        <v>96</v>
      </c>
      <c r="AC47" s="28">
        <v>369.83</v>
      </c>
      <c r="AD47" s="28">
        <f>SUM(BASE[[#This Row],[MONTO DE RENTA ]]*1.16)</f>
        <v>429.00279999999998</v>
      </c>
      <c r="AE47" s="28" t="s">
        <v>63</v>
      </c>
      <c r="AF47" s="28">
        <v>369.82758620689657</v>
      </c>
      <c r="AG47" s="28">
        <v>429</v>
      </c>
      <c r="AH47" s="22"/>
      <c r="AI47" s="63">
        <v>44937</v>
      </c>
      <c r="AJ47" s="73">
        <v>46043</v>
      </c>
      <c r="AK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47" s="20"/>
      <c r="AM47" s="30"/>
      <c r="AN47" s="20" t="s">
        <v>99</v>
      </c>
      <c r="AO47" s="20"/>
      <c r="AP47" s="20" t="s">
        <v>84</v>
      </c>
      <c r="AQ47" s="20" t="s">
        <v>100</v>
      </c>
    </row>
    <row r="48" spans="1:43" ht="16">
      <c r="A48" s="20">
        <v>7771031292</v>
      </c>
      <c r="B48" s="49">
        <v>1011449</v>
      </c>
      <c r="C48" s="20" t="s">
        <v>422</v>
      </c>
      <c r="D48" s="20" t="s">
        <v>143</v>
      </c>
      <c r="E48" s="20" t="s">
        <v>423</v>
      </c>
      <c r="F48" s="20" t="s">
        <v>248</v>
      </c>
      <c r="G48" s="20" t="s">
        <v>248</v>
      </c>
      <c r="H48" s="20" t="s">
        <v>48</v>
      </c>
      <c r="I48" s="20" t="s">
        <v>248</v>
      </c>
      <c r="J48" s="22" t="s">
        <v>424</v>
      </c>
      <c r="K48" s="22" t="s">
        <v>424</v>
      </c>
      <c r="L48" s="23" t="s">
        <v>420</v>
      </c>
      <c r="M48" s="24" t="s">
        <v>7742</v>
      </c>
      <c r="N48" s="23">
        <v>11164000</v>
      </c>
      <c r="O48" s="25" t="s">
        <v>52</v>
      </c>
      <c r="P48" s="25" t="s">
        <v>53</v>
      </c>
      <c r="Q48" s="20" t="s">
        <v>425</v>
      </c>
      <c r="R48" s="20">
        <v>91663628</v>
      </c>
      <c r="S48" s="25" t="s">
        <v>55</v>
      </c>
      <c r="T48" s="26" t="s">
        <v>56</v>
      </c>
      <c r="U48" s="23">
        <v>865356065671752</v>
      </c>
      <c r="V48" s="27" t="s">
        <v>183</v>
      </c>
      <c r="W48" s="20" t="s">
        <v>129</v>
      </c>
      <c r="X48" s="20" t="s">
        <v>130</v>
      </c>
      <c r="Y48" s="20" t="s">
        <v>130</v>
      </c>
      <c r="Z48" s="20" t="s">
        <v>60</v>
      </c>
      <c r="AA48" s="20" t="s">
        <v>61</v>
      </c>
      <c r="AB48" s="20" t="s">
        <v>96</v>
      </c>
      <c r="AC48" s="28">
        <v>369.83</v>
      </c>
      <c r="AD48" s="28">
        <f>SUM(BASE[[#This Row],[MONTO DE RENTA ]]*1.16)</f>
        <v>429.00279999999998</v>
      </c>
      <c r="AE48" s="28" t="s">
        <v>63</v>
      </c>
      <c r="AF48" s="28">
        <v>369.82758620689657</v>
      </c>
      <c r="AG48" s="28">
        <v>429</v>
      </c>
      <c r="AI48" s="63">
        <v>44937</v>
      </c>
      <c r="AJ48" s="73">
        <v>46043</v>
      </c>
      <c r="AK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8" s="30"/>
      <c r="AN48" s="20" t="s">
        <v>99</v>
      </c>
      <c r="AP48" s="20" t="s">
        <v>84</v>
      </c>
      <c r="AQ48" s="20" t="s">
        <v>100</v>
      </c>
    </row>
    <row r="49" spans="1:43" ht="16">
      <c r="A49" s="20">
        <v>7771629659</v>
      </c>
      <c r="B49" s="49">
        <v>1027780</v>
      </c>
      <c r="C49" s="20" t="s">
        <v>426</v>
      </c>
      <c r="D49" s="20" t="s">
        <v>45</v>
      </c>
      <c r="E49" s="20" t="s">
        <v>427</v>
      </c>
      <c r="F49" s="20" t="s">
        <v>257</v>
      </c>
      <c r="G49" s="20" t="s">
        <v>257</v>
      </c>
      <c r="H49" s="20" t="s">
        <v>48</v>
      </c>
      <c r="I49" s="20" t="s">
        <v>257</v>
      </c>
      <c r="J49" s="22" t="s">
        <v>428</v>
      </c>
      <c r="K49" s="22" t="s">
        <v>428</v>
      </c>
      <c r="L49" s="23" t="s">
        <v>420</v>
      </c>
      <c r="M49" s="24" t="s">
        <v>7742</v>
      </c>
      <c r="N49" s="23">
        <v>18726000</v>
      </c>
      <c r="O49" s="25" t="s">
        <v>52</v>
      </c>
      <c r="P49" s="25" t="s">
        <v>53</v>
      </c>
      <c r="Q49" s="20" t="s">
        <v>429</v>
      </c>
      <c r="R49" s="20">
        <v>91663681</v>
      </c>
      <c r="S49" s="25" t="s">
        <v>55</v>
      </c>
      <c r="T49" s="26" t="s">
        <v>56</v>
      </c>
      <c r="U49" s="23">
        <v>867353050059042</v>
      </c>
      <c r="V49" s="45" t="s">
        <v>110</v>
      </c>
      <c r="W49" s="20" t="s">
        <v>149</v>
      </c>
      <c r="X49" s="20" t="s">
        <v>150</v>
      </c>
      <c r="Y49" s="20" t="s">
        <v>150</v>
      </c>
      <c r="Z49" s="20" t="s">
        <v>60</v>
      </c>
      <c r="AA49" s="20" t="s">
        <v>61</v>
      </c>
      <c r="AB49" s="20" t="s">
        <v>96</v>
      </c>
      <c r="AC49" s="28">
        <v>369.83</v>
      </c>
      <c r="AD49" s="28">
        <f>SUM(BASE[[#This Row],[MONTO DE RENTA ]]*1.16)</f>
        <v>429.00279999999998</v>
      </c>
      <c r="AE49" s="28" t="s">
        <v>97</v>
      </c>
      <c r="AF49" s="28">
        <v>473.27586206896552</v>
      </c>
      <c r="AG49" s="28">
        <v>549</v>
      </c>
      <c r="AI49" s="63">
        <v>44937</v>
      </c>
      <c r="AJ49" s="73">
        <v>46043</v>
      </c>
      <c r="AK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9" s="30"/>
      <c r="AN49" s="20" t="s">
        <v>99</v>
      </c>
      <c r="AP49" s="20" t="s">
        <v>66</v>
      </c>
      <c r="AQ49" s="20" t="s">
        <v>100</v>
      </c>
    </row>
    <row r="50" spans="1:43" ht="16">
      <c r="A50" s="88">
        <v>7771618847</v>
      </c>
      <c r="B50" s="89">
        <v>1004068</v>
      </c>
      <c r="C50" s="20" t="s">
        <v>279</v>
      </c>
      <c r="D50" s="20" t="s">
        <v>357</v>
      </c>
      <c r="E50" s="20" t="s">
        <v>187</v>
      </c>
      <c r="F50" s="20" t="s">
        <v>104</v>
      </c>
      <c r="G50" s="20" t="s">
        <v>104</v>
      </c>
      <c r="H50" s="20" t="s">
        <v>48</v>
      </c>
      <c r="I50" s="20" t="s">
        <v>104</v>
      </c>
      <c r="J50" s="90" t="s">
        <v>430</v>
      </c>
      <c r="K50" s="90" t="s">
        <v>430</v>
      </c>
      <c r="L50" s="91" t="s">
        <v>420</v>
      </c>
      <c r="M50" s="24" t="s">
        <v>7742</v>
      </c>
      <c r="N50" s="23">
        <v>11164000</v>
      </c>
      <c r="O50" s="25" t="s">
        <v>52</v>
      </c>
      <c r="P50" s="25" t="s">
        <v>53</v>
      </c>
      <c r="Q50" s="20" t="s">
        <v>431</v>
      </c>
      <c r="R50" s="20">
        <v>91663704</v>
      </c>
      <c r="S50" s="25" t="s">
        <v>55</v>
      </c>
      <c r="T50" s="67" t="s">
        <v>56</v>
      </c>
      <c r="U50" s="23">
        <v>860478064810911</v>
      </c>
      <c r="V50" s="45" t="s">
        <v>110</v>
      </c>
      <c r="W50" s="20" t="s">
        <v>302</v>
      </c>
      <c r="X50" s="20" t="s">
        <v>303</v>
      </c>
      <c r="Y50" s="20" t="s">
        <v>303</v>
      </c>
      <c r="Z50" s="20" t="s">
        <v>60</v>
      </c>
      <c r="AA50" s="20" t="s">
        <v>61</v>
      </c>
      <c r="AB50" s="20" t="s">
        <v>96</v>
      </c>
      <c r="AC50" s="28">
        <v>369.83</v>
      </c>
      <c r="AD50" s="28">
        <f>SUM(BASE[[#This Row],[MONTO DE RENTA ]]*1.16)</f>
        <v>429.00279999999998</v>
      </c>
      <c r="AE50" s="28" t="s">
        <v>97</v>
      </c>
      <c r="AF50" s="28">
        <v>473.27586206896552</v>
      </c>
      <c r="AG50" s="28">
        <v>549</v>
      </c>
      <c r="AH50" s="92"/>
      <c r="AI50" s="63">
        <v>44937</v>
      </c>
      <c r="AJ50" s="84">
        <v>45951</v>
      </c>
      <c r="AK50" s="30">
        <f ca="1">IFERROR(IF(BASE[[#This Row],[FECHA DE RENOVACION ]]&gt;TODAY(), DATEDIF(TODAY(),BASE[[#This Row],[FECHA DE RENOVACION ]],"M"), -DATEDIF(BASE[[#This Row],[FECHA DE RENOVACION ]],TODAY(),"M")), "Sin fecha")</f>
        <v>-4</v>
      </c>
      <c r="AL50" s="88"/>
      <c r="AM50" s="93"/>
      <c r="AN50" s="20" t="s">
        <v>99</v>
      </c>
      <c r="AP50" s="20" t="s">
        <v>66</v>
      </c>
      <c r="AQ50" s="20" t="s">
        <v>100</v>
      </c>
    </row>
    <row r="51" spans="1:43" ht="16">
      <c r="A51" s="20">
        <v>7352806987</v>
      </c>
      <c r="B51" s="21">
        <v>1036565</v>
      </c>
      <c r="C51" s="20" t="s">
        <v>43</v>
      </c>
      <c r="D51" s="20" t="s">
        <v>432</v>
      </c>
      <c r="E51" s="20" t="s">
        <v>172</v>
      </c>
      <c r="F51" s="20" t="s">
        <v>104</v>
      </c>
      <c r="G51" s="20" t="s">
        <v>104</v>
      </c>
      <c r="H51" s="20" t="s">
        <v>48</v>
      </c>
      <c r="I51" s="20" t="s">
        <v>104</v>
      </c>
      <c r="J51" s="94" t="s">
        <v>433</v>
      </c>
      <c r="K51" s="94" t="s">
        <v>433</v>
      </c>
      <c r="L51" s="23" t="s">
        <v>420</v>
      </c>
      <c r="M51" s="24" t="s">
        <v>7742</v>
      </c>
      <c r="N51" s="23">
        <v>11164000</v>
      </c>
      <c r="O51" s="25" t="s">
        <v>52</v>
      </c>
      <c r="P51" s="25" t="s">
        <v>53</v>
      </c>
      <c r="Q51" s="20" t="s">
        <v>434</v>
      </c>
      <c r="R51" s="20">
        <v>90159578</v>
      </c>
      <c r="S51" s="25" t="s">
        <v>435</v>
      </c>
      <c r="T51" s="67" t="s">
        <v>57</v>
      </c>
      <c r="U51" s="23">
        <v>860478063794702</v>
      </c>
      <c r="V51" s="45" t="s">
        <v>110</v>
      </c>
      <c r="W51" s="20" t="s">
        <v>302</v>
      </c>
      <c r="X51" s="20" t="s">
        <v>303</v>
      </c>
      <c r="Y51" s="20" t="s">
        <v>303</v>
      </c>
      <c r="Z51" s="20" t="s">
        <v>131</v>
      </c>
      <c r="AA51" s="20" t="s">
        <v>132</v>
      </c>
      <c r="AB51" s="20" t="s">
        <v>82</v>
      </c>
      <c r="AC51" s="28">
        <v>559.48</v>
      </c>
      <c r="AD51" s="28">
        <f>SUM(BASE[[#This Row],[MONTO DE RENTA ]]*1.16)</f>
        <v>648.99680000000001</v>
      </c>
      <c r="AE51" s="28" t="s">
        <v>83</v>
      </c>
      <c r="AF51" s="28">
        <v>559.48275862068965</v>
      </c>
      <c r="AG51" s="28">
        <v>649</v>
      </c>
      <c r="AH51" s="22" t="s">
        <v>64</v>
      </c>
      <c r="AI51" s="29">
        <v>45703</v>
      </c>
      <c r="AJ51" s="29">
        <v>46433</v>
      </c>
      <c r="AK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1" s="30"/>
      <c r="AN51" s="20" t="s">
        <v>65</v>
      </c>
      <c r="AO51" s="82" t="s">
        <v>355</v>
      </c>
      <c r="AP51" s="20" t="s">
        <v>84</v>
      </c>
      <c r="AQ51" s="20" t="s">
        <v>100</v>
      </c>
    </row>
    <row r="52" spans="1:43" ht="15" customHeight="1">
      <c r="A52" s="20">
        <v>7775239045</v>
      </c>
      <c r="B52" s="49">
        <v>300280</v>
      </c>
      <c r="C52" s="20" t="s">
        <v>436</v>
      </c>
      <c r="D52" s="20" t="s">
        <v>437</v>
      </c>
      <c r="E52" s="20" t="s">
        <v>438</v>
      </c>
      <c r="F52" s="20" t="s">
        <v>70</v>
      </c>
      <c r="G52" s="20" t="s">
        <v>70</v>
      </c>
      <c r="H52" s="20" t="s">
        <v>48</v>
      </c>
      <c r="I52" s="20" t="s">
        <v>70</v>
      </c>
      <c r="J52" s="22" t="s">
        <v>439</v>
      </c>
      <c r="K52" s="22" t="s">
        <v>439</v>
      </c>
      <c r="L52" s="23" t="s">
        <v>420</v>
      </c>
      <c r="M52" s="24" t="s">
        <v>7742</v>
      </c>
      <c r="N52" s="23">
        <v>11164000</v>
      </c>
      <c r="O52" s="25" t="s">
        <v>52</v>
      </c>
      <c r="P52" s="25" t="s">
        <v>53</v>
      </c>
      <c r="Q52" s="20" t="s">
        <v>440</v>
      </c>
      <c r="R52" s="20">
        <v>9732891</v>
      </c>
      <c r="S52" s="25" t="s">
        <v>55</v>
      </c>
      <c r="T52" s="26" t="s">
        <v>56</v>
      </c>
      <c r="U52" s="23">
        <v>357654177714782</v>
      </c>
      <c r="V52" s="27" t="s">
        <v>78</v>
      </c>
      <c r="W52" s="20" t="s">
        <v>95</v>
      </c>
      <c r="X52" s="20" t="s">
        <v>95</v>
      </c>
      <c r="Y52" s="20" t="s">
        <v>95</v>
      </c>
      <c r="Z52" s="20" t="s">
        <v>60</v>
      </c>
      <c r="AA52" s="20" t="s">
        <v>61</v>
      </c>
      <c r="AB52" s="20" t="s">
        <v>82</v>
      </c>
      <c r="AC52" s="28">
        <v>559.48</v>
      </c>
      <c r="AD52" s="28">
        <f>SUM(BASE[[#This Row],[MONTO DE RENTA ]]*1.16)</f>
        <v>648.99680000000001</v>
      </c>
      <c r="AE52" s="28" t="s">
        <v>83</v>
      </c>
      <c r="AF52" s="28">
        <v>559.48275862068965</v>
      </c>
      <c r="AG52" s="28">
        <v>649</v>
      </c>
      <c r="AI52" s="63">
        <v>44937</v>
      </c>
      <c r="AJ52" s="73">
        <v>46043</v>
      </c>
      <c r="AK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" s="30"/>
      <c r="AN52" s="20" t="s">
        <v>99</v>
      </c>
      <c r="AP52" s="20" t="s">
        <v>84</v>
      </c>
      <c r="AQ52" s="20" t="s">
        <v>100</v>
      </c>
    </row>
    <row r="53" spans="1:43" ht="19" customHeight="1">
      <c r="A53" s="20">
        <v>5580138027</v>
      </c>
      <c r="B53" s="21">
        <v>470040</v>
      </c>
      <c r="C53" s="20" t="s">
        <v>441</v>
      </c>
      <c r="D53" s="20" t="s">
        <v>442</v>
      </c>
      <c r="E53" s="20" t="s">
        <v>443</v>
      </c>
      <c r="F53" s="20" t="s">
        <v>47</v>
      </c>
      <c r="G53" s="20" t="s">
        <v>47</v>
      </c>
      <c r="H53" s="20" t="s">
        <v>48</v>
      </c>
      <c r="I53" s="20" t="s">
        <v>47</v>
      </c>
      <c r="J53" s="22" t="s">
        <v>444</v>
      </c>
      <c r="K53" s="54" t="s">
        <v>444</v>
      </c>
      <c r="L53" s="23" t="s">
        <v>445</v>
      </c>
      <c r="M53" s="24" t="s">
        <v>7736</v>
      </c>
      <c r="N53" s="23">
        <v>11165000</v>
      </c>
      <c r="O53" s="25" t="s">
        <v>52</v>
      </c>
      <c r="P53" s="25" t="s">
        <v>53</v>
      </c>
      <c r="Q53" s="20" t="s">
        <v>446</v>
      </c>
      <c r="R53" s="20">
        <v>93468317</v>
      </c>
      <c r="S53" s="25" t="s">
        <v>447</v>
      </c>
      <c r="T53" s="44" t="s">
        <v>57</v>
      </c>
      <c r="U53" s="23">
        <v>860900062323779</v>
      </c>
      <c r="V53" s="27" t="s">
        <v>57</v>
      </c>
      <c r="W53" s="20" t="s">
        <v>58</v>
      </c>
      <c r="X53" s="20" t="s">
        <v>59</v>
      </c>
      <c r="Y53" s="20" t="s">
        <v>59</v>
      </c>
      <c r="Z53" s="20" t="s">
        <v>60</v>
      </c>
      <c r="AA53" s="20" t="s">
        <v>61</v>
      </c>
      <c r="AB53" s="20" t="s">
        <v>96</v>
      </c>
      <c r="AC53" s="28">
        <v>369.83</v>
      </c>
      <c r="AD53" s="28">
        <f>SUM(BASE[[#This Row],[MONTO DE RENTA ]]*1.16)</f>
        <v>429.00279999999998</v>
      </c>
      <c r="AE53" s="28" t="s">
        <v>63</v>
      </c>
      <c r="AF53" s="28">
        <v>369.82758620689657</v>
      </c>
      <c r="AG53" s="28">
        <v>429</v>
      </c>
      <c r="AH53" s="22" t="s">
        <v>448</v>
      </c>
      <c r="AI53" s="63">
        <v>45146</v>
      </c>
      <c r="AJ53" s="63">
        <v>46242</v>
      </c>
      <c r="AK53" s="30">
        <f ca="1">IFERROR(IF(BASE[[#This Row],[FECHA DE RENOVACION ]]&gt;TODAY(), DATEDIF(TODAY(),BASE[[#This Row],[FECHA DE RENOVACION ]],"M"), -DATEDIF(BASE[[#This Row],[FECHA DE RENOVACION ]],TODAY(),"M")), "Sin fecha")</f>
        <v>5</v>
      </c>
      <c r="AM53" s="30"/>
      <c r="AN53" s="20" t="s">
        <v>65</v>
      </c>
      <c r="AO53" s="20" t="s">
        <v>141</v>
      </c>
      <c r="AP53" s="20" t="s">
        <v>84</v>
      </c>
      <c r="AQ53" s="20" t="s">
        <v>100</v>
      </c>
    </row>
    <row r="54" spans="1:43" ht="16">
      <c r="A54" s="20">
        <v>5580137665</v>
      </c>
      <c r="B54" s="21">
        <v>1019976</v>
      </c>
      <c r="C54" s="20" t="s">
        <v>449</v>
      </c>
      <c r="D54" s="20" t="s">
        <v>293</v>
      </c>
      <c r="E54" s="20" t="s">
        <v>450</v>
      </c>
      <c r="F54" s="20" t="s">
        <v>451</v>
      </c>
      <c r="G54" s="20" t="s">
        <v>248</v>
      </c>
      <c r="H54" s="20" t="s">
        <v>48</v>
      </c>
      <c r="I54" s="20" t="s">
        <v>451</v>
      </c>
      <c r="J54" s="22" t="s">
        <v>452</v>
      </c>
      <c r="K54" s="22" t="s">
        <v>452</v>
      </c>
      <c r="L54" s="23" t="s">
        <v>445</v>
      </c>
      <c r="M54" s="24" t="s">
        <v>7736</v>
      </c>
      <c r="N54" s="23">
        <v>11165000</v>
      </c>
      <c r="O54" s="25" t="s">
        <v>52</v>
      </c>
      <c r="P54" s="25" t="s">
        <v>53</v>
      </c>
      <c r="Q54" s="20" t="s">
        <v>453</v>
      </c>
      <c r="R54" s="20">
        <v>93468242</v>
      </c>
      <c r="S54" s="25" t="s">
        <v>454</v>
      </c>
      <c r="T54" s="26" t="s">
        <v>57</v>
      </c>
      <c r="U54" s="23">
        <v>860900062323548</v>
      </c>
      <c r="V54" s="27" t="s">
        <v>57</v>
      </c>
      <c r="W54" s="20" t="s">
        <v>58</v>
      </c>
      <c r="X54" s="20" t="s">
        <v>59</v>
      </c>
      <c r="Y54" s="20" t="s">
        <v>59</v>
      </c>
      <c r="Z54" s="20" t="s">
        <v>60</v>
      </c>
      <c r="AA54" s="20" t="s">
        <v>61</v>
      </c>
      <c r="AB54" s="20" t="s">
        <v>96</v>
      </c>
      <c r="AC54" s="28">
        <v>369.83</v>
      </c>
      <c r="AD54" s="28">
        <f>SUM(BASE[[#This Row],[MONTO DE RENTA ]]*1.16)</f>
        <v>429.00279999999998</v>
      </c>
      <c r="AE54" s="28" t="s">
        <v>63</v>
      </c>
      <c r="AF54" s="28">
        <v>369.82758620689657</v>
      </c>
      <c r="AG54" s="28">
        <v>429</v>
      </c>
      <c r="AH54" s="22" t="s">
        <v>64</v>
      </c>
      <c r="AI54" s="29">
        <v>45703</v>
      </c>
      <c r="AJ54" s="29">
        <v>46433</v>
      </c>
      <c r="AK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4" s="30"/>
      <c r="AN54" s="20" t="s">
        <v>65</v>
      </c>
      <c r="AO54" s="20" t="s">
        <v>141</v>
      </c>
      <c r="AP54" s="20" t="s">
        <v>84</v>
      </c>
      <c r="AQ54" s="20" t="s">
        <v>100</v>
      </c>
    </row>
    <row r="55" spans="1:43" ht="15" customHeight="1">
      <c r="A55" s="20">
        <v>5580137654</v>
      </c>
      <c r="B55" s="21">
        <v>450567</v>
      </c>
      <c r="C55" s="20" t="s">
        <v>426</v>
      </c>
      <c r="D55" s="20" t="s">
        <v>455</v>
      </c>
      <c r="E55" s="20" t="s">
        <v>456</v>
      </c>
      <c r="F55" s="20" t="s">
        <v>257</v>
      </c>
      <c r="G55" s="20" t="s">
        <v>257</v>
      </c>
      <c r="H55" s="20" t="s">
        <v>48</v>
      </c>
      <c r="I55" s="20" t="s">
        <v>257</v>
      </c>
      <c r="J55" s="22" t="s">
        <v>457</v>
      </c>
      <c r="K55" s="22" t="s">
        <v>457</v>
      </c>
      <c r="L55" s="23" t="s">
        <v>445</v>
      </c>
      <c r="M55" s="24" t="s">
        <v>7736</v>
      </c>
      <c r="N55" s="23">
        <v>11165000</v>
      </c>
      <c r="O55" s="25" t="s">
        <v>52</v>
      </c>
      <c r="P55" s="25" t="s">
        <v>53</v>
      </c>
      <c r="Q55" s="20" t="s">
        <v>458</v>
      </c>
      <c r="R55" s="20">
        <v>93468240</v>
      </c>
      <c r="S55" s="25" t="s">
        <v>459</v>
      </c>
      <c r="T55" s="26" t="s">
        <v>57</v>
      </c>
      <c r="U55" s="23">
        <v>860478064952507</v>
      </c>
      <c r="V55" s="45" t="s">
        <v>110</v>
      </c>
      <c r="W55" s="20" t="s">
        <v>302</v>
      </c>
      <c r="X55" s="20" t="s">
        <v>303</v>
      </c>
      <c r="Y55" s="20" t="s">
        <v>303</v>
      </c>
      <c r="Z55" s="20" t="s">
        <v>80</v>
      </c>
      <c r="AA55" s="20" t="s">
        <v>81</v>
      </c>
      <c r="AB55" s="20" t="s">
        <v>82</v>
      </c>
      <c r="AC55" s="28">
        <v>559.48</v>
      </c>
      <c r="AD55" s="28">
        <f>SUM(BASE[[#This Row],[MONTO DE RENTA ]]*1.16)</f>
        <v>648.99680000000001</v>
      </c>
      <c r="AE55" s="28" t="s">
        <v>83</v>
      </c>
      <c r="AF55" s="28">
        <v>559.48275862068965</v>
      </c>
      <c r="AG55" s="28">
        <v>649</v>
      </c>
      <c r="AH55" s="22" t="s">
        <v>64</v>
      </c>
      <c r="AI55" s="63">
        <v>45703</v>
      </c>
      <c r="AJ55" s="63">
        <v>46433</v>
      </c>
      <c r="AK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5" s="30"/>
      <c r="AN55" s="20" t="s">
        <v>65</v>
      </c>
      <c r="AO55" s="82" t="s">
        <v>355</v>
      </c>
      <c r="AP55" s="20" t="s">
        <v>84</v>
      </c>
      <c r="AQ55" s="20" t="s">
        <v>100</v>
      </c>
    </row>
    <row r="56" spans="1:43" ht="16">
      <c r="A56" s="20">
        <v>5580137664</v>
      </c>
      <c r="B56" s="59">
        <v>1043454</v>
      </c>
      <c r="C56" s="20" t="s">
        <v>460</v>
      </c>
      <c r="D56" s="20" t="s">
        <v>461</v>
      </c>
      <c r="E56" s="20" t="s">
        <v>462</v>
      </c>
      <c r="F56" s="20" t="s">
        <v>463</v>
      </c>
      <c r="G56" s="20" t="s">
        <v>104</v>
      </c>
      <c r="H56" s="20" t="s">
        <v>48</v>
      </c>
      <c r="I56" s="20" t="s">
        <v>463</v>
      </c>
      <c r="J56" s="32" t="s">
        <v>464</v>
      </c>
      <c r="K56" s="32" t="s">
        <v>464</v>
      </c>
      <c r="L56" s="91" t="s">
        <v>445</v>
      </c>
      <c r="M56" s="24" t="s">
        <v>7736</v>
      </c>
      <c r="N56" s="23">
        <v>11165000</v>
      </c>
      <c r="O56" s="25" t="s">
        <v>52</v>
      </c>
      <c r="P56" s="25" t="s">
        <v>53</v>
      </c>
      <c r="Q56" s="20" t="s">
        <v>465</v>
      </c>
      <c r="R56" s="20">
        <v>93468241</v>
      </c>
      <c r="S56" s="25" t="s">
        <v>466</v>
      </c>
      <c r="T56" s="26" t="s">
        <v>57</v>
      </c>
      <c r="U56" s="23">
        <v>860478064952085</v>
      </c>
      <c r="V56" s="45" t="s">
        <v>110</v>
      </c>
      <c r="W56" s="20" t="s">
        <v>302</v>
      </c>
      <c r="X56" s="20" t="s">
        <v>303</v>
      </c>
      <c r="Y56" s="20" t="s">
        <v>303</v>
      </c>
      <c r="Z56" s="20" t="s">
        <v>80</v>
      </c>
      <c r="AA56" s="20" t="s">
        <v>81</v>
      </c>
      <c r="AB56" s="20" t="s">
        <v>82</v>
      </c>
      <c r="AC56" s="28">
        <v>559.48</v>
      </c>
      <c r="AD56" s="28">
        <f>SUM(BASE[[#This Row],[MONTO DE RENTA ]]*1.16)</f>
        <v>648.99680000000001</v>
      </c>
      <c r="AE56" s="28" t="s">
        <v>83</v>
      </c>
      <c r="AF56" s="28">
        <v>559.48275862068965</v>
      </c>
      <c r="AG56" s="28">
        <v>649</v>
      </c>
      <c r="AH56" s="22" t="s">
        <v>64</v>
      </c>
      <c r="AI56" s="29">
        <v>45703</v>
      </c>
      <c r="AJ56" s="29">
        <v>46433</v>
      </c>
      <c r="AK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" s="30"/>
      <c r="AN56" s="20" t="s">
        <v>65</v>
      </c>
      <c r="AO56" s="82" t="s">
        <v>355</v>
      </c>
      <c r="AP56" s="20" t="s">
        <v>84</v>
      </c>
      <c r="AQ56" s="20" t="s">
        <v>100</v>
      </c>
    </row>
    <row r="57" spans="1:43" ht="16">
      <c r="A57" s="20">
        <v>5554148314</v>
      </c>
      <c r="B57" s="49">
        <v>1044110</v>
      </c>
      <c r="C57" s="20" t="s">
        <v>467</v>
      </c>
      <c r="D57" s="20" t="s">
        <v>468</v>
      </c>
      <c r="E57" s="20" t="s">
        <v>469</v>
      </c>
      <c r="F57" s="20" t="s">
        <v>70</v>
      </c>
      <c r="G57" s="20" t="s">
        <v>70</v>
      </c>
      <c r="H57" s="20" t="s">
        <v>48</v>
      </c>
      <c r="I57" s="20" t="s">
        <v>70</v>
      </c>
      <c r="J57" s="22" t="s">
        <v>470</v>
      </c>
      <c r="K57" s="22" t="s">
        <v>470</v>
      </c>
      <c r="L57" s="23" t="s">
        <v>445</v>
      </c>
      <c r="M57" s="24" t="s">
        <v>7736</v>
      </c>
      <c r="N57" s="23">
        <v>11165000</v>
      </c>
      <c r="O57" s="25" t="s">
        <v>52</v>
      </c>
      <c r="P57" s="25" t="s">
        <v>53</v>
      </c>
      <c r="Q57" s="20" t="s">
        <v>471</v>
      </c>
      <c r="R57" s="20">
        <v>90241129</v>
      </c>
      <c r="S57" s="25" t="s">
        <v>472</v>
      </c>
      <c r="T57" s="26" t="s">
        <v>77</v>
      </c>
      <c r="U57" s="23">
        <v>357654179894921</v>
      </c>
      <c r="V57" s="27" t="s">
        <v>78</v>
      </c>
      <c r="W57" s="20" t="s">
        <v>95</v>
      </c>
      <c r="X57" s="20" t="s">
        <v>95</v>
      </c>
      <c r="Y57" s="20" t="s">
        <v>95</v>
      </c>
      <c r="Z57" s="20" t="s">
        <v>261</v>
      </c>
      <c r="AA57" s="20" t="s">
        <v>473</v>
      </c>
      <c r="AB57" s="20" t="s">
        <v>474</v>
      </c>
      <c r="AC57" s="28">
        <v>559.48</v>
      </c>
      <c r="AD57" s="28">
        <f>SUM(BASE[[#This Row],[MONTO DE RENTA ]]*1.16)</f>
        <v>648.99680000000001</v>
      </c>
      <c r="AE57" s="28" t="s">
        <v>83</v>
      </c>
      <c r="AF57" s="28">
        <v>559.48275862068965</v>
      </c>
      <c r="AG57" s="28">
        <v>649</v>
      </c>
      <c r="AI57" s="63">
        <v>44937</v>
      </c>
      <c r="AJ57" s="73">
        <v>46043</v>
      </c>
      <c r="AK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7" s="30"/>
      <c r="AN57" s="20" t="s">
        <v>99</v>
      </c>
      <c r="AP57" s="20" t="s">
        <v>84</v>
      </c>
      <c r="AQ57" s="20" t="s">
        <v>100</v>
      </c>
    </row>
    <row r="58" spans="1:43" ht="16">
      <c r="A58" s="20">
        <v>4423691788</v>
      </c>
      <c r="B58" s="21">
        <v>1036294</v>
      </c>
      <c r="C58" s="20" t="s">
        <v>475</v>
      </c>
      <c r="D58" s="20" t="s">
        <v>476</v>
      </c>
      <c r="E58" s="20" t="s">
        <v>477</v>
      </c>
      <c r="F58" s="20" t="s">
        <v>451</v>
      </c>
      <c r="G58" s="20" t="s">
        <v>47</v>
      </c>
      <c r="H58" s="20" t="s">
        <v>48</v>
      </c>
      <c r="I58" s="20" t="s">
        <v>451</v>
      </c>
      <c r="J58" s="22" t="s">
        <v>478</v>
      </c>
      <c r="K58" s="22" t="s">
        <v>478</v>
      </c>
      <c r="L58" s="25" t="s">
        <v>479</v>
      </c>
      <c r="M58" s="24" t="s">
        <v>7742</v>
      </c>
      <c r="N58" s="23">
        <v>11166000</v>
      </c>
      <c r="O58" s="25" t="s">
        <v>93</v>
      </c>
      <c r="P58" s="25" t="s">
        <v>53</v>
      </c>
      <c r="Q58" s="20" t="s">
        <v>480</v>
      </c>
      <c r="R58" s="20">
        <v>62700413</v>
      </c>
      <c r="S58" s="25" t="s">
        <v>481</v>
      </c>
      <c r="T58" s="26" t="s">
        <v>57</v>
      </c>
      <c r="U58" s="23">
        <v>860900062258488</v>
      </c>
      <c r="V58" s="27" t="s">
        <v>57</v>
      </c>
      <c r="W58" s="20" t="s">
        <v>58</v>
      </c>
      <c r="X58" s="20" t="s">
        <v>59</v>
      </c>
      <c r="Y58" s="20" t="s">
        <v>59</v>
      </c>
      <c r="Z58" s="20" t="s">
        <v>131</v>
      </c>
      <c r="AA58" s="20" t="s">
        <v>132</v>
      </c>
      <c r="AB58" s="20" t="s">
        <v>96</v>
      </c>
      <c r="AC58" s="28">
        <v>369.83</v>
      </c>
      <c r="AD58" s="28">
        <f>SUM(BASE[[#This Row],[MONTO DE RENTA ]]*1.16)</f>
        <v>429.00279999999998</v>
      </c>
      <c r="AE58" s="28" t="s">
        <v>63</v>
      </c>
      <c r="AF58" s="28">
        <v>369.82758620689657</v>
      </c>
      <c r="AG58" s="28">
        <v>429</v>
      </c>
      <c r="AH58" s="22" t="s">
        <v>64</v>
      </c>
      <c r="AI58" s="63">
        <v>45703</v>
      </c>
      <c r="AJ58" s="63">
        <v>46433</v>
      </c>
      <c r="AK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" s="30"/>
      <c r="AN58" s="20" t="s">
        <v>65</v>
      </c>
      <c r="AO58" s="20" t="s">
        <v>141</v>
      </c>
      <c r="AP58" s="20" t="s">
        <v>84</v>
      </c>
      <c r="AQ58" s="20" t="s">
        <v>100</v>
      </c>
    </row>
    <row r="59" spans="1:43" ht="16">
      <c r="A59" s="20">
        <v>4422633934</v>
      </c>
      <c r="B59" s="21">
        <v>565016</v>
      </c>
      <c r="C59" s="20" t="s">
        <v>482</v>
      </c>
      <c r="D59" s="20" t="s">
        <v>427</v>
      </c>
      <c r="E59" s="20" t="s">
        <v>196</v>
      </c>
      <c r="F59" s="20" t="s">
        <v>483</v>
      </c>
      <c r="G59" s="20" t="s">
        <v>248</v>
      </c>
      <c r="H59" s="20" t="s">
        <v>48</v>
      </c>
      <c r="I59" s="20" t="s">
        <v>483</v>
      </c>
      <c r="J59" s="22" t="s">
        <v>484</v>
      </c>
      <c r="K59" s="22" t="s">
        <v>484</v>
      </c>
      <c r="L59" s="23" t="s">
        <v>479</v>
      </c>
      <c r="M59" s="24" t="s">
        <v>7742</v>
      </c>
      <c r="N59" s="23">
        <v>18649000</v>
      </c>
      <c r="O59" s="25" t="s">
        <v>93</v>
      </c>
      <c r="P59" s="25" t="s">
        <v>53</v>
      </c>
      <c r="Q59" s="20" t="s">
        <v>485</v>
      </c>
      <c r="R59" s="20">
        <v>62700415</v>
      </c>
      <c r="S59" s="25" t="s">
        <v>486</v>
      </c>
      <c r="T59" s="26" t="s">
        <v>57</v>
      </c>
      <c r="U59" s="23">
        <v>860900062255963</v>
      </c>
      <c r="V59" s="27" t="s">
        <v>57</v>
      </c>
      <c r="W59" s="20" t="s">
        <v>58</v>
      </c>
      <c r="X59" s="20" t="s">
        <v>59</v>
      </c>
      <c r="Y59" s="20" t="s">
        <v>59</v>
      </c>
      <c r="Z59" s="20" t="s">
        <v>131</v>
      </c>
      <c r="AA59" s="20" t="s">
        <v>132</v>
      </c>
      <c r="AB59" s="20" t="s">
        <v>96</v>
      </c>
      <c r="AC59" s="28">
        <v>369.83</v>
      </c>
      <c r="AD59" s="28">
        <f>SUM(BASE[[#This Row],[MONTO DE RENTA ]]*1.16)</f>
        <v>429.00279999999998</v>
      </c>
      <c r="AE59" s="28" t="s">
        <v>63</v>
      </c>
      <c r="AF59" s="28">
        <v>369.82758620689657</v>
      </c>
      <c r="AG59" s="28">
        <v>429</v>
      </c>
      <c r="AH59" s="22" t="s">
        <v>64</v>
      </c>
      <c r="AI59" s="63">
        <v>45703</v>
      </c>
      <c r="AJ59" s="63">
        <v>46433</v>
      </c>
      <c r="AK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" s="30"/>
      <c r="AN59" s="20" t="s">
        <v>65</v>
      </c>
      <c r="AO59" s="20" t="s">
        <v>141</v>
      </c>
      <c r="AP59" s="20" t="s">
        <v>84</v>
      </c>
      <c r="AQ59" s="20" t="s">
        <v>100</v>
      </c>
    </row>
    <row r="60" spans="1:43" s="69" customFormat="1" ht="16">
      <c r="A60" s="20">
        <v>4423380660</v>
      </c>
      <c r="B60" s="21">
        <v>1084221</v>
      </c>
      <c r="C60" s="20" t="s">
        <v>487</v>
      </c>
      <c r="D60" s="20" t="s">
        <v>247</v>
      </c>
      <c r="E60" s="20" t="s">
        <v>488</v>
      </c>
      <c r="F60" s="20" t="s">
        <v>257</v>
      </c>
      <c r="G60" s="20" t="s">
        <v>257</v>
      </c>
      <c r="H60" s="20" t="s">
        <v>48</v>
      </c>
      <c r="I60" s="20" t="s">
        <v>257</v>
      </c>
      <c r="J60" s="22" t="s">
        <v>489</v>
      </c>
      <c r="K60" s="22" t="s">
        <v>489</v>
      </c>
      <c r="L60" s="23" t="s">
        <v>479</v>
      </c>
      <c r="M60" s="24" t="s">
        <v>7742</v>
      </c>
      <c r="N60" s="23">
        <v>11166000</v>
      </c>
      <c r="O60" s="25" t="s">
        <v>93</v>
      </c>
      <c r="P60" s="25" t="s">
        <v>53</v>
      </c>
      <c r="Q60" s="20" t="s">
        <v>490</v>
      </c>
      <c r="R60" s="20">
        <v>62700409</v>
      </c>
      <c r="S60" s="25" t="s">
        <v>491</v>
      </c>
      <c r="T60" s="26" t="s">
        <v>57</v>
      </c>
      <c r="U60" s="23">
        <v>860478062375487</v>
      </c>
      <c r="V60" s="45" t="s">
        <v>110</v>
      </c>
      <c r="W60" s="20" t="s">
        <v>302</v>
      </c>
      <c r="X60" s="20" t="s">
        <v>303</v>
      </c>
      <c r="Y60" s="20" t="s">
        <v>303</v>
      </c>
      <c r="Z60" s="20" t="s">
        <v>131</v>
      </c>
      <c r="AA60" s="20" t="s">
        <v>132</v>
      </c>
      <c r="AB60" s="20" t="s">
        <v>82</v>
      </c>
      <c r="AC60" s="28">
        <v>559.48</v>
      </c>
      <c r="AD60" s="28">
        <f>SUM(BASE[[#This Row],[MONTO DE RENTA ]]*1.16)</f>
        <v>648.99680000000001</v>
      </c>
      <c r="AE60" s="28" t="s">
        <v>83</v>
      </c>
      <c r="AF60" s="28">
        <v>559.48275862068965</v>
      </c>
      <c r="AG60" s="28">
        <v>649</v>
      </c>
      <c r="AH60" s="22" t="s">
        <v>64</v>
      </c>
      <c r="AI60" s="29">
        <v>45703</v>
      </c>
      <c r="AJ60" s="29">
        <v>46433</v>
      </c>
      <c r="AK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60" s="20"/>
      <c r="AM60" s="30"/>
      <c r="AN60" s="20" t="s">
        <v>65</v>
      </c>
      <c r="AO60" s="82" t="s">
        <v>355</v>
      </c>
      <c r="AP60" s="20" t="s">
        <v>84</v>
      </c>
      <c r="AQ60" s="20" t="s">
        <v>100</v>
      </c>
    </row>
    <row r="61" spans="1:43" ht="16">
      <c r="A61" s="20">
        <v>4423597698</v>
      </c>
      <c r="B61" s="21">
        <v>1013934</v>
      </c>
      <c r="C61" s="20" t="s">
        <v>492</v>
      </c>
      <c r="D61" s="20" t="s">
        <v>86</v>
      </c>
      <c r="E61" s="20" t="s">
        <v>358</v>
      </c>
      <c r="F61" s="20" t="s">
        <v>104</v>
      </c>
      <c r="G61" s="20" t="s">
        <v>104</v>
      </c>
      <c r="H61" s="20" t="s">
        <v>48</v>
      </c>
      <c r="I61" s="20" t="s">
        <v>104</v>
      </c>
      <c r="J61" s="32" t="s">
        <v>493</v>
      </c>
      <c r="K61" s="32" t="s">
        <v>493</v>
      </c>
      <c r="L61" s="23" t="s">
        <v>479</v>
      </c>
      <c r="M61" s="24" t="s">
        <v>7742</v>
      </c>
      <c r="N61" s="23">
        <v>11166000</v>
      </c>
      <c r="O61" s="25" t="s">
        <v>93</v>
      </c>
      <c r="P61" s="25" t="s">
        <v>53</v>
      </c>
      <c r="Q61" s="20" t="s">
        <v>494</v>
      </c>
      <c r="R61" s="20">
        <v>62700410</v>
      </c>
      <c r="S61" s="25" t="s">
        <v>495</v>
      </c>
      <c r="T61" s="26" t="s">
        <v>57</v>
      </c>
      <c r="U61" s="23">
        <v>860478062365900</v>
      </c>
      <c r="V61" s="45" t="s">
        <v>110</v>
      </c>
      <c r="W61" s="20" t="s">
        <v>302</v>
      </c>
      <c r="X61" s="20" t="s">
        <v>303</v>
      </c>
      <c r="Y61" s="20" t="s">
        <v>303</v>
      </c>
      <c r="Z61" s="20" t="s">
        <v>131</v>
      </c>
      <c r="AA61" s="20" t="s">
        <v>132</v>
      </c>
      <c r="AB61" s="20" t="s">
        <v>82</v>
      </c>
      <c r="AC61" s="28">
        <v>559.48</v>
      </c>
      <c r="AD61" s="28">
        <f>SUM(BASE[[#This Row],[MONTO DE RENTA ]]*1.16)</f>
        <v>648.99680000000001</v>
      </c>
      <c r="AE61" s="28" t="s">
        <v>83</v>
      </c>
      <c r="AF61" s="28">
        <v>559.48275862068965</v>
      </c>
      <c r="AG61" s="28">
        <v>649</v>
      </c>
      <c r="AH61" s="22" t="s">
        <v>64</v>
      </c>
      <c r="AI61" s="63">
        <v>45703</v>
      </c>
      <c r="AJ61" s="63">
        <v>46433</v>
      </c>
      <c r="AK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" s="30"/>
      <c r="AN61" s="20" t="s">
        <v>65</v>
      </c>
      <c r="AO61" s="82" t="s">
        <v>355</v>
      </c>
      <c r="AP61" s="20" t="s">
        <v>84</v>
      </c>
      <c r="AQ61" s="20" t="s">
        <v>100</v>
      </c>
    </row>
    <row r="62" spans="1:43" ht="16">
      <c r="A62" s="20">
        <v>4422810292</v>
      </c>
      <c r="B62" s="21">
        <v>1084070</v>
      </c>
      <c r="C62" s="20" t="s">
        <v>496</v>
      </c>
      <c r="D62" s="20" t="s">
        <v>497</v>
      </c>
      <c r="E62" s="20" t="s">
        <v>376</v>
      </c>
      <c r="F62" s="20" t="s">
        <v>104</v>
      </c>
      <c r="G62" s="20" t="s">
        <v>104</v>
      </c>
      <c r="H62" s="20" t="s">
        <v>48</v>
      </c>
      <c r="I62" s="20" t="s">
        <v>104</v>
      </c>
      <c r="J62" s="32" t="s">
        <v>498</v>
      </c>
      <c r="K62" s="32" t="s">
        <v>498</v>
      </c>
      <c r="L62" s="23" t="s">
        <v>479</v>
      </c>
      <c r="M62" s="24" t="s">
        <v>7742</v>
      </c>
      <c r="N62" s="23">
        <v>11166000</v>
      </c>
      <c r="O62" s="25" t="s">
        <v>93</v>
      </c>
      <c r="P62" s="25" t="s">
        <v>53</v>
      </c>
      <c r="Q62" s="20" t="s">
        <v>499</v>
      </c>
      <c r="R62" s="20">
        <v>63447122</v>
      </c>
      <c r="S62" s="25" t="s">
        <v>500</v>
      </c>
      <c r="T62" s="26" t="s">
        <v>57</v>
      </c>
      <c r="U62" s="23">
        <v>860478062333577</v>
      </c>
      <c r="V62" s="45" t="s">
        <v>110</v>
      </c>
      <c r="W62" s="20" t="s">
        <v>302</v>
      </c>
      <c r="X62" s="20" t="s">
        <v>303</v>
      </c>
      <c r="Y62" s="20" t="s">
        <v>303</v>
      </c>
      <c r="Z62" s="20" t="s">
        <v>131</v>
      </c>
      <c r="AA62" s="20" t="s">
        <v>132</v>
      </c>
      <c r="AB62" s="20" t="s">
        <v>82</v>
      </c>
      <c r="AC62" s="28">
        <v>559.48</v>
      </c>
      <c r="AD62" s="28">
        <f>SUM(BASE[[#This Row],[MONTO DE RENTA ]]*1.16)</f>
        <v>648.99680000000001</v>
      </c>
      <c r="AE62" s="28" t="s">
        <v>83</v>
      </c>
      <c r="AF62" s="28">
        <v>559.48275862068965</v>
      </c>
      <c r="AG62" s="28">
        <v>649</v>
      </c>
      <c r="AH62" s="22" t="s">
        <v>64</v>
      </c>
      <c r="AI62" s="63">
        <v>45703</v>
      </c>
      <c r="AJ62" s="63">
        <v>46433</v>
      </c>
      <c r="AK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" s="30"/>
      <c r="AN62" s="20" t="s">
        <v>65</v>
      </c>
      <c r="AO62" s="82" t="s">
        <v>355</v>
      </c>
      <c r="AP62" s="20" t="s">
        <v>84</v>
      </c>
      <c r="AQ62" s="20" t="s">
        <v>100</v>
      </c>
    </row>
    <row r="63" spans="1:43" ht="16">
      <c r="A63" s="20">
        <v>4427900101</v>
      </c>
      <c r="B63" s="21">
        <v>1047517</v>
      </c>
      <c r="C63" s="20" t="s">
        <v>501</v>
      </c>
      <c r="D63" s="20" t="s">
        <v>502</v>
      </c>
      <c r="E63" s="20" t="s">
        <v>216</v>
      </c>
      <c r="F63" s="20" t="s">
        <v>70</v>
      </c>
      <c r="G63" s="20" t="s">
        <v>70</v>
      </c>
      <c r="H63" s="20" t="s">
        <v>48</v>
      </c>
      <c r="I63" s="20" t="s">
        <v>70</v>
      </c>
      <c r="J63" s="22" t="s">
        <v>503</v>
      </c>
      <c r="K63" s="22" t="s">
        <v>503</v>
      </c>
      <c r="L63" s="23" t="s">
        <v>479</v>
      </c>
      <c r="M63" s="24" t="s">
        <v>7742</v>
      </c>
      <c r="N63" s="23">
        <v>11166000</v>
      </c>
      <c r="O63" s="25" t="s">
        <v>93</v>
      </c>
      <c r="P63" s="25" t="s">
        <v>53</v>
      </c>
      <c r="Q63" s="20" t="s">
        <v>504</v>
      </c>
      <c r="R63" s="20">
        <v>62698258</v>
      </c>
      <c r="S63" s="25" t="s">
        <v>505</v>
      </c>
      <c r="T63" s="26" t="s">
        <v>77</v>
      </c>
      <c r="U63" s="23">
        <v>358366320749347</v>
      </c>
      <c r="V63" s="27" t="s">
        <v>78</v>
      </c>
      <c r="W63" s="20" t="s">
        <v>79</v>
      </c>
      <c r="X63" s="20" t="s">
        <v>79</v>
      </c>
      <c r="Y63" s="20" t="s">
        <v>79</v>
      </c>
      <c r="Z63" s="20" t="s">
        <v>131</v>
      </c>
      <c r="AA63" s="20" t="s">
        <v>132</v>
      </c>
      <c r="AB63" s="20" t="s">
        <v>82</v>
      </c>
      <c r="AC63" s="28">
        <v>559.48</v>
      </c>
      <c r="AD63" s="28">
        <f>SUM(BASE[[#This Row],[MONTO DE RENTA ]]*1.16)</f>
        <v>648.99680000000001</v>
      </c>
      <c r="AE63" s="28" t="s">
        <v>83</v>
      </c>
      <c r="AF63" s="28">
        <v>559.48275862068965</v>
      </c>
      <c r="AG63" s="28">
        <v>649</v>
      </c>
      <c r="AH63" s="22" t="s">
        <v>64</v>
      </c>
      <c r="AI63" s="63">
        <v>45703</v>
      </c>
      <c r="AJ63" s="63">
        <v>46433</v>
      </c>
      <c r="AK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" s="30"/>
      <c r="AN63" s="20" t="s">
        <v>65</v>
      </c>
      <c r="AP63" s="20" t="s">
        <v>84</v>
      </c>
    </row>
    <row r="64" spans="1:43" ht="16">
      <c r="A64" s="20">
        <v>5534240154</v>
      </c>
      <c r="B64" s="49">
        <v>997529</v>
      </c>
      <c r="C64" s="20" t="s">
        <v>506</v>
      </c>
      <c r="D64" s="20" t="s">
        <v>507</v>
      </c>
      <c r="E64" s="20" t="s">
        <v>508</v>
      </c>
      <c r="F64" s="20" t="s">
        <v>509</v>
      </c>
      <c r="G64" s="20" t="s">
        <v>47</v>
      </c>
      <c r="H64" s="20" t="s">
        <v>48</v>
      </c>
      <c r="I64" s="20" t="s">
        <v>509</v>
      </c>
      <c r="J64" s="22" t="s">
        <v>510</v>
      </c>
      <c r="K64" s="22" t="s">
        <v>510</v>
      </c>
      <c r="L64" s="23" t="s">
        <v>511</v>
      </c>
      <c r="M64" s="24" t="s">
        <v>7741</v>
      </c>
      <c r="N64" s="23">
        <v>18861000</v>
      </c>
      <c r="O64" s="25" t="s">
        <v>52</v>
      </c>
      <c r="P64" s="25" t="s">
        <v>53</v>
      </c>
      <c r="Q64" s="20" t="s">
        <v>512</v>
      </c>
      <c r="R64" s="20">
        <v>93514399</v>
      </c>
      <c r="S64" s="25" t="s">
        <v>55</v>
      </c>
      <c r="T64" s="26" t="s">
        <v>56</v>
      </c>
      <c r="U64" s="23">
        <v>865356065688400</v>
      </c>
      <c r="V64" s="27" t="s">
        <v>183</v>
      </c>
      <c r="W64" s="20" t="s">
        <v>129</v>
      </c>
      <c r="X64" s="20" t="s">
        <v>130</v>
      </c>
      <c r="Y64" s="20" t="s">
        <v>130</v>
      </c>
      <c r="Z64" s="20" t="s">
        <v>60</v>
      </c>
      <c r="AA64" s="20" t="s">
        <v>61</v>
      </c>
      <c r="AB64" s="20" t="s">
        <v>96</v>
      </c>
      <c r="AC64" s="28">
        <v>369.83</v>
      </c>
      <c r="AD64" s="28">
        <f>SUM(BASE[[#This Row],[MONTO DE RENTA ]]*1.16)</f>
        <v>429.00279999999998</v>
      </c>
      <c r="AE64" s="28" t="s">
        <v>63</v>
      </c>
      <c r="AF64" s="28">
        <v>369.82758620689657</v>
      </c>
      <c r="AG64" s="28">
        <v>429</v>
      </c>
      <c r="AI64" s="63">
        <v>44937</v>
      </c>
      <c r="AJ64" s="73">
        <v>46043</v>
      </c>
      <c r="AK6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4" s="30"/>
      <c r="AN64" s="20" t="s">
        <v>99</v>
      </c>
      <c r="AP64" s="20" t="s">
        <v>84</v>
      </c>
      <c r="AQ64" s="20" t="s">
        <v>100</v>
      </c>
    </row>
    <row r="65" spans="1:43" ht="16">
      <c r="A65" s="20">
        <v>5534320410</v>
      </c>
      <c r="B65" s="21">
        <v>650307</v>
      </c>
      <c r="C65" s="20" t="s">
        <v>513</v>
      </c>
      <c r="D65" s="20" t="s">
        <v>358</v>
      </c>
      <c r="E65" s="20" t="s">
        <v>514</v>
      </c>
      <c r="F65" s="20" t="s">
        <v>248</v>
      </c>
      <c r="G65" s="20" t="s">
        <v>248</v>
      </c>
      <c r="H65" s="20" t="s">
        <v>48</v>
      </c>
      <c r="I65" s="20" t="s">
        <v>248</v>
      </c>
      <c r="J65" s="22" t="s">
        <v>515</v>
      </c>
      <c r="K65" s="22" t="s">
        <v>515</v>
      </c>
      <c r="L65" s="23" t="s">
        <v>511</v>
      </c>
      <c r="M65" s="24" t="s">
        <v>7741</v>
      </c>
      <c r="N65" s="23">
        <v>11167000</v>
      </c>
      <c r="O65" s="25" t="s">
        <v>52</v>
      </c>
      <c r="P65" s="25" t="s">
        <v>53</v>
      </c>
      <c r="Q65" s="20" t="s">
        <v>516</v>
      </c>
      <c r="R65" s="20">
        <v>93514401</v>
      </c>
      <c r="S65" s="25" t="s">
        <v>517</v>
      </c>
      <c r="T65" s="26" t="s">
        <v>57</v>
      </c>
      <c r="U65" s="23">
        <v>860900062323159</v>
      </c>
      <c r="V65" s="27" t="s">
        <v>57</v>
      </c>
      <c r="W65" s="20" t="s">
        <v>58</v>
      </c>
      <c r="X65" s="20" t="s">
        <v>59</v>
      </c>
      <c r="Y65" s="20" t="s">
        <v>59</v>
      </c>
      <c r="Z65" s="20" t="s">
        <v>60</v>
      </c>
      <c r="AA65" s="20" t="s">
        <v>61</v>
      </c>
      <c r="AB65" s="20" t="s">
        <v>96</v>
      </c>
      <c r="AC65" s="28">
        <v>369.83</v>
      </c>
      <c r="AD65" s="28">
        <f>SUM(BASE[[#This Row],[MONTO DE RENTA ]]*1.16)</f>
        <v>429.00279999999998</v>
      </c>
      <c r="AE65" s="28" t="s">
        <v>63</v>
      </c>
      <c r="AF65" s="28">
        <v>369.82758620689657</v>
      </c>
      <c r="AG65" s="28">
        <v>429</v>
      </c>
      <c r="AH65" s="22" t="s">
        <v>64</v>
      </c>
      <c r="AI65" s="63">
        <v>45703</v>
      </c>
      <c r="AJ65" s="63">
        <v>46433</v>
      </c>
      <c r="AK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" s="30"/>
      <c r="AN65" s="20" t="s">
        <v>65</v>
      </c>
      <c r="AO65" s="20" t="s">
        <v>141</v>
      </c>
      <c r="AP65" s="20" t="s">
        <v>84</v>
      </c>
      <c r="AQ65" s="20" t="s">
        <v>100</v>
      </c>
    </row>
    <row r="66" spans="1:43" ht="16">
      <c r="A66" s="20">
        <v>5580137729</v>
      </c>
      <c r="B66" s="49">
        <v>1033553</v>
      </c>
      <c r="C66" s="20" t="s">
        <v>518</v>
      </c>
      <c r="D66" s="20" t="s">
        <v>143</v>
      </c>
      <c r="E66" s="20" t="s">
        <v>519</v>
      </c>
      <c r="F66" s="20" t="s">
        <v>257</v>
      </c>
      <c r="G66" s="20" t="s">
        <v>257</v>
      </c>
      <c r="H66" s="20" t="s">
        <v>48</v>
      </c>
      <c r="I66" s="20" t="s">
        <v>257</v>
      </c>
      <c r="J66" s="22" t="s">
        <v>520</v>
      </c>
      <c r="K66" s="22" t="s">
        <v>520</v>
      </c>
      <c r="L66" s="91" t="s">
        <v>511</v>
      </c>
      <c r="M66" s="24" t="s">
        <v>7741</v>
      </c>
      <c r="N66" s="23">
        <v>11167000</v>
      </c>
      <c r="O66" s="25" t="s">
        <v>52</v>
      </c>
      <c r="P66" s="25" t="s">
        <v>53</v>
      </c>
      <c r="Q66" s="20" t="s">
        <v>521</v>
      </c>
      <c r="R66" s="20">
        <v>93468259</v>
      </c>
      <c r="S66" s="25" t="s">
        <v>55</v>
      </c>
      <c r="T66" s="44" t="s">
        <v>56</v>
      </c>
      <c r="U66" s="23">
        <v>865356065688582</v>
      </c>
      <c r="V66" s="27" t="s">
        <v>183</v>
      </c>
      <c r="W66" s="20" t="s">
        <v>129</v>
      </c>
      <c r="X66" s="20" t="s">
        <v>130</v>
      </c>
      <c r="Y66" s="20" t="s">
        <v>130</v>
      </c>
      <c r="Z66" s="20" t="s">
        <v>60</v>
      </c>
      <c r="AA66" s="20" t="s">
        <v>61</v>
      </c>
      <c r="AB66" s="20" t="s">
        <v>96</v>
      </c>
      <c r="AC66" s="28">
        <v>369.83</v>
      </c>
      <c r="AD66" s="28">
        <f>SUM(BASE[[#This Row],[MONTO DE RENTA ]]*1.16)</f>
        <v>429.00279999999998</v>
      </c>
      <c r="AE66" s="28" t="s">
        <v>97</v>
      </c>
      <c r="AF66" s="28">
        <v>473.27586206896552</v>
      </c>
      <c r="AG66" s="28">
        <v>549</v>
      </c>
      <c r="AI66" s="63">
        <v>44937</v>
      </c>
      <c r="AJ66" s="73">
        <v>46043</v>
      </c>
      <c r="AK6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6" s="30"/>
      <c r="AN66" s="20" t="s">
        <v>99</v>
      </c>
      <c r="AP66" s="20" t="s">
        <v>66</v>
      </c>
      <c r="AQ66" s="20" t="s">
        <v>100</v>
      </c>
    </row>
    <row r="67" spans="1:43" ht="16">
      <c r="A67" s="20">
        <v>5580137682</v>
      </c>
      <c r="B67" s="49">
        <v>1065449</v>
      </c>
      <c r="C67" s="20" t="s">
        <v>396</v>
      </c>
      <c r="D67" s="20" t="s">
        <v>247</v>
      </c>
      <c r="E67" s="20" t="s">
        <v>45</v>
      </c>
      <c r="F67" s="20" t="s">
        <v>104</v>
      </c>
      <c r="G67" s="20" t="s">
        <v>104</v>
      </c>
      <c r="H67" s="20" t="s">
        <v>48</v>
      </c>
      <c r="I67" s="20" t="s">
        <v>104</v>
      </c>
      <c r="J67" s="32" t="s">
        <v>522</v>
      </c>
      <c r="K67" s="22" t="s">
        <v>522</v>
      </c>
      <c r="L67" s="23" t="s">
        <v>511</v>
      </c>
      <c r="M67" s="24" t="s">
        <v>7741</v>
      </c>
      <c r="N67" s="23">
        <v>11167000</v>
      </c>
      <c r="O67" s="25" t="s">
        <v>52</v>
      </c>
      <c r="P67" s="25" t="s">
        <v>53</v>
      </c>
      <c r="Q67" s="20" t="s">
        <v>523</v>
      </c>
      <c r="R67" s="20">
        <v>93468244</v>
      </c>
      <c r="S67" s="25" t="s">
        <v>55</v>
      </c>
      <c r="T67" s="26" t="s">
        <v>56</v>
      </c>
      <c r="U67" s="23">
        <v>860796063912796</v>
      </c>
      <c r="V67" s="45" t="s">
        <v>110</v>
      </c>
      <c r="W67" s="20" t="s">
        <v>353</v>
      </c>
      <c r="X67" s="20" t="s">
        <v>354</v>
      </c>
      <c r="Y67" s="20" t="s">
        <v>354</v>
      </c>
      <c r="Z67" s="20" t="s">
        <v>60</v>
      </c>
      <c r="AA67" s="20" t="s">
        <v>61</v>
      </c>
      <c r="AB67" s="20" t="s">
        <v>96</v>
      </c>
      <c r="AC67" s="28">
        <v>369.83</v>
      </c>
      <c r="AD67" s="28">
        <f>SUM(BASE[[#This Row],[MONTO DE RENTA ]]*1.16)</f>
        <v>429.00279999999998</v>
      </c>
      <c r="AE67" s="28" t="s">
        <v>97</v>
      </c>
      <c r="AF67" s="28">
        <v>473.27586206896552</v>
      </c>
      <c r="AG67" s="28">
        <v>549</v>
      </c>
      <c r="AI67" s="63">
        <v>44937</v>
      </c>
      <c r="AJ67" s="73">
        <v>46043</v>
      </c>
      <c r="AK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7" s="30"/>
      <c r="AN67" s="20" t="s">
        <v>99</v>
      </c>
      <c r="AP67" s="20" t="s">
        <v>66</v>
      </c>
      <c r="AQ67" s="20" t="s">
        <v>100</v>
      </c>
    </row>
    <row r="68" spans="1:43" ht="16">
      <c r="A68" s="20">
        <v>5580137719</v>
      </c>
      <c r="B68" s="21">
        <v>240105</v>
      </c>
      <c r="C68" s="20" t="s">
        <v>524</v>
      </c>
      <c r="D68" s="20" t="s">
        <v>456</v>
      </c>
      <c r="E68" s="20" t="s">
        <v>406</v>
      </c>
      <c r="F68" s="20" t="s">
        <v>70</v>
      </c>
      <c r="G68" s="20" t="s">
        <v>70</v>
      </c>
      <c r="H68" s="20" t="s">
        <v>48</v>
      </c>
      <c r="I68" s="20" t="s">
        <v>70</v>
      </c>
      <c r="J68" s="22" t="s">
        <v>525</v>
      </c>
      <c r="K68" s="22" t="s">
        <v>525</v>
      </c>
      <c r="L68" s="23" t="s">
        <v>511</v>
      </c>
      <c r="M68" s="24" t="s">
        <v>7741</v>
      </c>
      <c r="N68" s="23">
        <v>11167000</v>
      </c>
      <c r="O68" s="25" t="s">
        <v>52</v>
      </c>
      <c r="P68" s="25" t="s">
        <v>53</v>
      </c>
      <c r="Q68" s="20" t="s">
        <v>526</v>
      </c>
      <c r="R68" s="20">
        <v>93468246</v>
      </c>
      <c r="S68" s="25" t="s">
        <v>527</v>
      </c>
      <c r="T68" s="26" t="s">
        <v>77</v>
      </c>
      <c r="U68" s="23">
        <v>358366320617007</v>
      </c>
      <c r="V68" s="27" t="s">
        <v>78</v>
      </c>
      <c r="W68" s="20" t="s">
        <v>79</v>
      </c>
      <c r="X68" s="20" t="s">
        <v>79</v>
      </c>
      <c r="Y68" s="20" t="s">
        <v>79</v>
      </c>
      <c r="Z68" s="20" t="s">
        <v>131</v>
      </c>
      <c r="AA68" s="20" t="s">
        <v>132</v>
      </c>
      <c r="AB68" s="20" t="s">
        <v>82</v>
      </c>
      <c r="AC68" s="28">
        <v>559.48</v>
      </c>
      <c r="AD68" s="28">
        <f>SUM(BASE[[#This Row],[MONTO DE RENTA ]]*1.16)</f>
        <v>648.99680000000001</v>
      </c>
      <c r="AE68" s="28" t="s">
        <v>83</v>
      </c>
      <c r="AF68" s="28">
        <v>559.48275862068965</v>
      </c>
      <c r="AG68" s="28">
        <v>649</v>
      </c>
      <c r="AH68" s="22" t="s">
        <v>64</v>
      </c>
      <c r="AI68" s="63">
        <v>45703</v>
      </c>
      <c r="AJ68" s="63">
        <v>46433</v>
      </c>
      <c r="AK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" s="30"/>
      <c r="AN68" s="20" t="s">
        <v>65</v>
      </c>
      <c r="AP68" s="20" t="s">
        <v>84</v>
      </c>
    </row>
    <row r="69" spans="1:43" ht="16">
      <c r="A69" s="20">
        <v>6645696000</v>
      </c>
      <c r="B69" s="21">
        <v>1033018</v>
      </c>
      <c r="C69" s="20" t="s">
        <v>528</v>
      </c>
      <c r="D69" s="20" t="s">
        <v>529</v>
      </c>
      <c r="E69" s="20" t="s">
        <v>172</v>
      </c>
      <c r="F69" s="20" t="s">
        <v>530</v>
      </c>
      <c r="G69" s="20" t="s">
        <v>47</v>
      </c>
      <c r="H69" s="20" t="s">
        <v>48</v>
      </c>
      <c r="I69" s="20" t="s">
        <v>530</v>
      </c>
      <c r="J69" s="22" t="s">
        <v>531</v>
      </c>
      <c r="K69" s="22" t="s">
        <v>531</v>
      </c>
      <c r="L69" s="23" t="s">
        <v>532</v>
      </c>
      <c r="M69" s="24" t="s">
        <v>7745</v>
      </c>
      <c r="N69" s="23">
        <v>18706000</v>
      </c>
      <c r="O69" s="25" t="s">
        <v>126</v>
      </c>
      <c r="P69" s="25" t="s">
        <v>53</v>
      </c>
      <c r="Q69" s="20" t="s">
        <v>533</v>
      </c>
      <c r="R69" s="20">
        <v>12311625</v>
      </c>
      <c r="S69" s="25" t="s">
        <v>534</v>
      </c>
      <c r="T69" s="26" t="s">
        <v>57</v>
      </c>
      <c r="U69" s="23">
        <v>860900062336318</v>
      </c>
      <c r="V69" s="27" t="s">
        <v>57</v>
      </c>
      <c r="W69" s="20" t="s">
        <v>58</v>
      </c>
      <c r="X69" s="20" t="s">
        <v>59</v>
      </c>
      <c r="Y69" s="20" t="s">
        <v>59</v>
      </c>
      <c r="Z69" s="20" t="s">
        <v>60</v>
      </c>
      <c r="AA69" s="20" t="s">
        <v>61</v>
      </c>
      <c r="AB69" s="20" t="s">
        <v>96</v>
      </c>
      <c r="AC69" s="28">
        <v>369.83</v>
      </c>
      <c r="AD69" s="28">
        <f>SUM(BASE[[#This Row],[MONTO DE RENTA ]]*1.16)</f>
        <v>429.00279999999998</v>
      </c>
      <c r="AE69" s="28" t="s">
        <v>63</v>
      </c>
      <c r="AF69" s="28">
        <v>369.82758620689657</v>
      </c>
      <c r="AG69" s="28">
        <v>429</v>
      </c>
      <c r="AH69" s="22" t="s">
        <v>64</v>
      </c>
      <c r="AI69" s="29">
        <v>45703</v>
      </c>
      <c r="AJ69" s="29">
        <v>46433</v>
      </c>
      <c r="AK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" s="30"/>
      <c r="AN69" s="20" t="s">
        <v>65</v>
      </c>
      <c r="AO69" s="20" t="s">
        <v>141</v>
      </c>
      <c r="AP69" s="20" t="s">
        <v>84</v>
      </c>
      <c r="AQ69" s="20" t="s">
        <v>100</v>
      </c>
    </row>
    <row r="70" spans="1:43" ht="16">
      <c r="A70" s="20">
        <v>6641197924</v>
      </c>
      <c r="B70" s="49">
        <v>1041094</v>
      </c>
      <c r="C70" s="20" t="s">
        <v>535</v>
      </c>
      <c r="D70" s="20" t="s">
        <v>536</v>
      </c>
      <c r="E70" s="20" t="s">
        <v>537</v>
      </c>
      <c r="F70" s="20" t="s">
        <v>451</v>
      </c>
      <c r="G70" s="20" t="s">
        <v>248</v>
      </c>
      <c r="H70" s="20" t="s">
        <v>48</v>
      </c>
      <c r="I70" s="20" t="s">
        <v>451</v>
      </c>
      <c r="J70" s="32" t="s">
        <v>538</v>
      </c>
      <c r="K70" s="22" t="s">
        <v>538</v>
      </c>
      <c r="L70" s="23" t="s">
        <v>532</v>
      </c>
      <c r="M70" s="24" t="s">
        <v>7745</v>
      </c>
      <c r="N70" s="23">
        <v>11168000</v>
      </c>
      <c r="O70" s="25" t="s">
        <v>126</v>
      </c>
      <c r="P70" s="25" t="s">
        <v>53</v>
      </c>
      <c r="Q70" s="20" t="s">
        <v>539</v>
      </c>
      <c r="R70" s="20">
        <v>11985282</v>
      </c>
      <c r="S70" s="25" t="s">
        <v>55</v>
      </c>
      <c r="T70" s="26" t="s">
        <v>56</v>
      </c>
      <c r="U70" s="23">
        <v>860900062255096</v>
      </c>
      <c r="V70" s="27" t="s">
        <v>57</v>
      </c>
      <c r="W70" s="20" t="s">
        <v>58</v>
      </c>
      <c r="X70" s="20" t="s">
        <v>59</v>
      </c>
      <c r="Y70" s="20" t="s">
        <v>59</v>
      </c>
      <c r="Z70" s="20" t="s">
        <v>60</v>
      </c>
      <c r="AA70" s="20" t="s">
        <v>61</v>
      </c>
      <c r="AB70" s="20" t="s">
        <v>96</v>
      </c>
      <c r="AC70" s="28">
        <v>369.83</v>
      </c>
      <c r="AD70" s="28">
        <f>SUM(BASE[[#This Row],[MONTO DE RENTA ]]*1.16)</f>
        <v>429.00279999999998</v>
      </c>
      <c r="AE70" s="28" t="s">
        <v>63</v>
      </c>
      <c r="AF70" s="28">
        <v>369.82758620689657</v>
      </c>
      <c r="AG70" s="28">
        <v>429</v>
      </c>
      <c r="AI70" s="63">
        <v>44937</v>
      </c>
      <c r="AJ70" s="63">
        <v>46429</v>
      </c>
      <c r="AK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" s="30"/>
      <c r="AN70" s="20" t="s">
        <v>65</v>
      </c>
      <c r="AO70" s="20" t="s">
        <v>141</v>
      </c>
      <c r="AP70" s="20" t="s">
        <v>84</v>
      </c>
      <c r="AQ70" s="20" t="s">
        <v>100</v>
      </c>
    </row>
    <row r="71" spans="1:43" ht="16">
      <c r="A71" s="20">
        <v>6643575323</v>
      </c>
      <c r="B71" s="49">
        <v>61444</v>
      </c>
      <c r="C71" s="20" t="s">
        <v>540</v>
      </c>
      <c r="D71" s="20" t="s">
        <v>187</v>
      </c>
      <c r="E71" s="20" t="s">
        <v>541</v>
      </c>
      <c r="F71" s="20" t="s">
        <v>104</v>
      </c>
      <c r="G71" s="20" t="s">
        <v>104</v>
      </c>
      <c r="H71" s="20" t="s">
        <v>48</v>
      </c>
      <c r="I71" s="20" t="s">
        <v>104</v>
      </c>
      <c r="J71" s="32" t="s">
        <v>542</v>
      </c>
      <c r="K71" s="32" t="s">
        <v>543</v>
      </c>
      <c r="L71" s="23" t="s">
        <v>532</v>
      </c>
      <c r="M71" s="24" t="s">
        <v>7745</v>
      </c>
      <c r="N71" s="23">
        <v>11168000</v>
      </c>
      <c r="O71" s="25" t="s">
        <v>126</v>
      </c>
      <c r="P71" s="25" t="s">
        <v>53</v>
      </c>
      <c r="Q71" s="20" t="s">
        <v>544</v>
      </c>
      <c r="R71" s="20">
        <v>11985283</v>
      </c>
      <c r="S71" s="25" t="s">
        <v>55</v>
      </c>
      <c r="T71" s="26" t="s">
        <v>56</v>
      </c>
      <c r="U71" s="23">
        <v>867353050177117</v>
      </c>
      <c r="V71" s="45" t="s">
        <v>110</v>
      </c>
      <c r="W71" s="20" t="s">
        <v>149</v>
      </c>
      <c r="X71" s="20" t="s">
        <v>150</v>
      </c>
      <c r="Y71" s="20" t="s">
        <v>150</v>
      </c>
      <c r="Z71" s="20" t="s">
        <v>60</v>
      </c>
      <c r="AA71" s="20" t="s">
        <v>61</v>
      </c>
      <c r="AB71" s="20" t="s">
        <v>96</v>
      </c>
      <c r="AC71" s="28">
        <v>369.83</v>
      </c>
      <c r="AD71" s="28">
        <f>SUM(BASE[[#This Row],[MONTO DE RENTA ]]*1.16)</f>
        <v>429.00279999999998</v>
      </c>
      <c r="AE71" s="28" t="s">
        <v>97</v>
      </c>
      <c r="AF71" s="28">
        <v>473.27586206896552</v>
      </c>
      <c r="AG71" s="28">
        <v>549</v>
      </c>
      <c r="AI71" s="29">
        <v>44937</v>
      </c>
      <c r="AJ71" s="50">
        <v>46043</v>
      </c>
      <c r="AK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1" s="30"/>
      <c r="AN71" s="20" t="s">
        <v>99</v>
      </c>
      <c r="AP71" s="20" t="s">
        <v>66</v>
      </c>
      <c r="AQ71" s="20" t="s">
        <v>100</v>
      </c>
    </row>
    <row r="72" spans="1:43" ht="16">
      <c r="A72" s="20">
        <v>6632028277</v>
      </c>
      <c r="B72" s="21">
        <v>1027804</v>
      </c>
      <c r="C72" s="20" t="s">
        <v>545</v>
      </c>
      <c r="D72" s="20" t="s">
        <v>546</v>
      </c>
      <c r="E72" s="20" t="s">
        <v>547</v>
      </c>
      <c r="F72" s="20" t="s">
        <v>122</v>
      </c>
      <c r="G72" s="20" t="s">
        <v>122</v>
      </c>
      <c r="H72" s="20" t="s">
        <v>48</v>
      </c>
      <c r="I72" s="20" t="s">
        <v>122</v>
      </c>
      <c r="J72" s="54" t="s">
        <v>548</v>
      </c>
      <c r="K72" s="54" t="s">
        <v>548</v>
      </c>
      <c r="L72" s="23" t="s">
        <v>532</v>
      </c>
      <c r="M72" s="24" t="s">
        <v>7745</v>
      </c>
      <c r="N72" s="23">
        <v>11168000</v>
      </c>
      <c r="O72" s="25" t="s">
        <v>126</v>
      </c>
      <c r="P72" s="25" t="s">
        <v>53</v>
      </c>
      <c r="Q72" s="20" t="s">
        <v>549</v>
      </c>
      <c r="R72" s="20">
        <v>12372967</v>
      </c>
      <c r="S72" s="25" t="s">
        <v>550</v>
      </c>
      <c r="T72" s="65" t="s">
        <v>57</v>
      </c>
      <c r="U72" s="23">
        <v>860900062337167</v>
      </c>
      <c r="V72" s="27" t="s">
        <v>57</v>
      </c>
      <c r="W72" s="20" t="s">
        <v>58</v>
      </c>
      <c r="X72" s="20" t="s">
        <v>59</v>
      </c>
      <c r="Y72" s="20" t="s">
        <v>59</v>
      </c>
      <c r="Z72" s="20" t="s">
        <v>60</v>
      </c>
      <c r="AA72" s="20" t="s">
        <v>61</v>
      </c>
      <c r="AB72" s="20" t="s">
        <v>96</v>
      </c>
      <c r="AC72" s="28">
        <v>369.83</v>
      </c>
      <c r="AD72" s="28">
        <f>SUM(BASE[[#This Row],[MONTO DE RENTA ]]*1.16)</f>
        <v>429.00279999999998</v>
      </c>
      <c r="AE72" s="28" t="s">
        <v>63</v>
      </c>
      <c r="AF72" s="28">
        <v>369.82758620689657</v>
      </c>
      <c r="AG72" s="28">
        <v>429</v>
      </c>
      <c r="AH72" s="22" t="s">
        <v>140</v>
      </c>
      <c r="AI72" s="63">
        <v>45710</v>
      </c>
      <c r="AJ72" s="63">
        <v>46402</v>
      </c>
      <c r="AK7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72" s="20">
        <v>18848061</v>
      </c>
      <c r="AM72" s="30"/>
      <c r="AN72" s="20" t="s">
        <v>65</v>
      </c>
      <c r="AO72" s="20" t="s">
        <v>141</v>
      </c>
      <c r="AP72" s="20" t="s">
        <v>84</v>
      </c>
      <c r="AQ72" s="20" t="s">
        <v>100</v>
      </c>
    </row>
    <row r="73" spans="1:43" ht="16">
      <c r="A73" s="20">
        <v>6642043632</v>
      </c>
      <c r="B73" s="49">
        <v>1058932</v>
      </c>
      <c r="C73" s="20" t="s">
        <v>551</v>
      </c>
      <c r="D73" s="20" t="s">
        <v>172</v>
      </c>
      <c r="E73" s="20" t="s">
        <v>552</v>
      </c>
      <c r="F73" s="20" t="s">
        <v>70</v>
      </c>
      <c r="G73" s="20" t="s">
        <v>70</v>
      </c>
      <c r="H73" s="20" t="s">
        <v>48</v>
      </c>
      <c r="I73" s="20" t="s">
        <v>70</v>
      </c>
      <c r="J73" s="22" t="s">
        <v>553</v>
      </c>
      <c r="K73" s="22" t="s">
        <v>553</v>
      </c>
      <c r="L73" s="23" t="s">
        <v>532</v>
      </c>
      <c r="M73" s="24" t="s">
        <v>7745</v>
      </c>
      <c r="N73" s="23">
        <v>11168000</v>
      </c>
      <c r="O73" s="25" t="s">
        <v>126</v>
      </c>
      <c r="P73" s="25" t="s">
        <v>53</v>
      </c>
      <c r="Q73" s="20" t="s">
        <v>554</v>
      </c>
      <c r="R73" s="20">
        <v>11978308</v>
      </c>
      <c r="S73" s="25" t="s">
        <v>55</v>
      </c>
      <c r="T73" s="26" t="s">
        <v>56</v>
      </c>
      <c r="U73" s="23">
        <v>357894929052731</v>
      </c>
      <c r="V73" s="27" t="s">
        <v>78</v>
      </c>
      <c r="W73" s="20" t="s">
        <v>95</v>
      </c>
      <c r="X73" s="20" t="s">
        <v>95</v>
      </c>
      <c r="Y73" s="20" t="s">
        <v>95</v>
      </c>
      <c r="Z73" s="20" t="s">
        <v>60</v>
      </c>
      <c r="AA73" s="20" t="s">
        <v>61</v>
      </c>
      <c r="AB73" s="20" t="s">
        <v>82</v>
      </c>
      <c r="AC73" s="28">
        <v>559.48</v>
      </c>
      <c r="AD73" s="28">
        <f>SUM(BASE[[#This Row],[MONTO DE RENTA ]]*1.16)</f>
        <v>648.99680000000001</v>
      </c>
      <c r="AE73" s="28" t="s">
        <v>83</v>
      </c>
      <c r="AF73" s="28">
        <v>559.48275862068965</v>
      </c>
      <c r="AG73" s="28">
        <v>649</v>
      </c>
      <c r="AI73" s="63">
        <v>44937</v>
      </c>
      <c r="AJ73" s="73">
        <v>46043</v>
      </c>
      <c r="AK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3" s="30"/>
      <c r="AN73" s="20" t="s">
        <v>99</v>
      </c>
      <c r="AP73" s="20" t="s">
        <v>84</v>
      </c>
      <c r="AQ73" s="20" t="s">
        <v>100</v>
      </c>
    </row>
    <row r="74" spans="1:43" ht="16">
      <c r="A74" s="20">
        <v>8119998743</v>
      </c>
      <c r="B74" s="49">
        <v>1000467</v>
      </c>
      <c r="C74" s="20" t="s">
        <v>555</v>
      </c>
      <c r="D74" s="20" t="s">
        <v>556</v>
      </c>
      <c r="E74" s="20" t="s">
        <v>476</v>
      </c>
      <c r="F74" s="20" t="s">
        <v>557</v>
      </c>
      <c r="G74" s="20" t="s">
        <v>47</v>
      </c>
      <c r="H74" s="20" t="s">
        <v>48</v>
      </c>
      <c r="I74" s="20" t="s">
        <v>557</v>
      </c>
      <c r="J74" s="22" t="s">
        <v>558</v>
      </c>
      <c r="K74" s="22" t="s">
        <v>558</v>
      </c>
      <c r="L74" s="23" t="s">
        <v>559</v>
      </c>
      <c r="M74" s="24" t="s">
        <v>7737</v>
      </c>
      <c r="N74" s="23">
        <v>11333000</v>
      </c>
      <c r="O74" s="25" t="s">
        <v>74</v>
      </c>
      <c r="P74" s="25" t="s">
        <v>53</v>
      </c>
      <c r="Q74" s="20" t="s">
        <v>560</v>
      </c>
      <c r="R74" s="20">
        <v>43625195</v>
      </c>
      <c r="S74" s="25" t="s">
        <v>55</v>
      </c>
      <c r="T74" s="26" t="s">
        <v>56</v>
      </c>
      <c r="U74" s="23">
        <v>865356065729899</v>
      </c>
      <c r="V74" s="27" t="s">
        <v>183</v>
      </c>
      <c r="W74" s="20" t="s">
        <v>129</v>
      </c>
      <c r="X74" s="20" t="s">
        <v>130</v>
      </c>
      <c r="Y74" s="20" t="s">
        <v>130</v>
      </c>
      <c r="Z74" s="20" t="s">
        <v>60</v>
      </c>
      <c r="AA74" s="20" t="s">
        <v>61</v>
      </c>
      <c r="AB74" s="20" t="s">
        <v>96</v>
      </c>
      <c r="AC74" s="28">
        <v>369.83</v>
      </c>
      <c r="AD74" s="28">
        <f>SUM(BASE[[#This Row],[MONTO DE RENTA ]]*1.16)</f>
        <v>429.00279999999998</v>
      </c>
      <c r="AE74" s="28" t="s">
        <v>63</v>
      </c>
      <c r="AF74" s="28">
        <v>369.82758620689657</v>
      </c>
      <c r="AG74" s="28">
        <v>429</v>
      </c>
      <c r="AI74" s="63">
        <v>44937</v>
      </c>
      <c r="AJ74" s="73">
        <v>46043</v>
      </c>
      <c r="AK7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" s="30"/>
      <c r="AN74" s="20" t="s">
        <v>99</v>
      </c>
      <c r="AP74" s="20" t="s">
        <v>84</v>
      </c>
      <c r="AQ74" s="20" t="s">
        <v>100</v>
      </c>
    </row>
    <row r="75" spans="1:43" ht="16">
      <c r="A75" s="20">
        <v>8181615828</v>
      </c>
      <c r="B75" s="49">
        <v>1029908</v>
      </c>
      <c r="C75" s="20" t="s">
        <v>561</v>
      </c>
      <c r="D75" s="20" t="s">
        <v>329</v>
      </c>
      <c r="E75" s="20" t="s">
        <v>562</v>
      </c>
      <c r="F75" s="20" t="s">
        <v>359</v>
      </c>
      <c r="G75" s="20" t="s">
        <v>248</v>
      </c>
      <c r="H75" s="20" t="s">
        <v>48</v>
      </c>
      <c r="I75" s="20" t="s">
        <v>359</v>
      </c>
      <c r="J75" s="22" t="s">
        <v>563</v>
      </c>
      <c r="K75" s="22" t="s">
        <v>563</v>
      </c>
      <c r="L75" s="23" t="s">
        <v>559</v>
      </c>
      <c r="M75" s="24" t="s">
        <v>7737</v>
      </c>
      <c r="N75" s="23">
        <v>11169000</v>
      </c>
      <c r="O75" s="25" t="s">
        <v>74</v>
      </c>
      <c r="P75" s="25" t="s">
        <v>53</v>
      </c>
      <c r="Q75" s="20" t="s">
        <v>564</v>
      </c>
      <c r="R75" s="20">
        <v>43544585</v>
      </c>
      <c r="S75" s="25" t="s">
        <v>55</v>
      </c>
      <c r="T75" s="26" t="s">
        <v>56</v>
      </c>
      <c r="U75" s="23">
        <v>865356065716060</v>
      </c>
      <c r="V75" s="27" t="s">
        <v>183</v>
      </c>
      <c r="W75" s="20" t="s">
        <v>129</v>
      </c>
      <c r="X75" s="20" t="s">
        <v>130</v>
      </c>
      <c r="Y75" s="20" t="s">
        <v>130</v>
      </c>
      <c r="Z75" s="20" t="s">
        <v>60</v>
      </c>
      <c r="AA75" s="20" t="s">
        <v>61</v>
      </c>
      <c r="AB75" s="20" t="s">
        <v>96</v>
      </c>
      <c r="AC75" s="28">
        <v>369.83</v>
      </c>
      <c r="AD75" s="28">
        <f>SUM(BASE[[#This Row],[MONTO DE RENTA ]]*1.16)</f>
        <v>429.00279999999998</v>
      </c>
      <c r="AE75" s="28" t="s">
        <v>63</v>
      </c>
      <c r="AF75" s="28">
        <v>369.82758620689657</v>
      </c>
      <c r="AG75" s="28">
        <v>429</v>
      </c>
      <c r="AI75" s="29">
        <v>44937</v>
      </c>
      <c r="AJ75" s="50">
        <v>46043</v>
      </c>
      <c r="AK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5" s="30"/>
      <c r="AN75" s="20" t="s">
        <v>99</v>
      </c>
      <c r="AP75" s="20" t="s">
        <v>84</v>
      </c>
      <c r="AQ75" s="20" t="s">
        <v>100</v>
      </c>
    </row>
    <row r="76" spans="1:43" ht="16">
      <c r="A76" s="20">
        <v>8118019085</v>
      </c>
      <c r="B76" s="21">
        <v>31527</v>
      </c>
      <c r="C76" s="20" t="s">
        <v>565</v>
      </c>
      <c r="D76" s="20" t="s">
        <v>255</v>
      </c>
      <c r="E76" s="20" t="s">
        <v>566</v>
      </c>
      <c r="F76" s="20" t="s">
        <v>257</v>
      </c>
      <c r="G76" s="20" t="s">
        <v>257</v>
      </c>
      <c r="H76" s="20" t="s">
        <v>48</v>
      </c>
      <c r="I76" s="20" t="s">
        <v>257</v>
      </c>
      <c r="J76" s="22" t="s">
        <v>567</v>
      </c>
      <c r="K76" s="22" t="s">
        <v>567</v>
      </c>
      <c r="L76" s="23" t="s">
        <v>559</v>
      </c>
      <c r="M76" s="24" t="s">
        <v>7737</v>
      </c>
      <c r="N76" s="23">
        <v>11169000</v>
      </c>
      <c r="O76" s="25" t="s">
        <v>74</v>
      </c>
      <c r="P76" s="25" t="s">
        <v>53</v>
      </c>
      <c r="Q76" s="20" t="s">
        <v>568</v>
      </c>
      <c r="R76" s="20">
        <v>43254985</v>
      </c>
      <c r="S76" s="25" t="s">
        <v>569</v>
      </c>
      <c r="T76" s="26" t="s">
        <v>57</v>
      </c>
      <c r="U76" s="23">
        <v>860478062096570</v>
      </c>
      <c r="V76" s="45" t="s">
        <v>110</v>
      </c>
      <c r="W76" s="20" t="s">
        <v>302</v>
      </c>
      <c r="X76" s="20" t="s">
        <v>303</v>
      </c>
      <c r="Y76" s="20" t="s">
        <v>303</v>
      </c>
      <c r="Z76" s="20" t="s">
        <v>80</v>
      </c>
      <c r="AA76" s="20" t="s">
        <v>81</v>
      </c>
      <c r="AB76" s="20" t="s">
        <v>82</v>
      </c>
      <c r="AC76" s="28">
        <v>559.48</v>
      </c>
      <c r="AD76" s="28">
        <f>SUM(BASE[[#This Row],[MONTO DE RENTA ]]*1.16)</f>
        <v>648.99680000000001</v>
      </c>
      <c r="AE76" s="28" t="s">
        <v>83</v>
      </c>
      <c r="AF76" s="28">
        <v>559.48275862068965</v>
      </c>
      <c r="AG76" s="28">
        <v>649</v>
      </c>
      <c r="AH76" s="22" t="s">
        <v>64</v>
      </c>
      <c r="AI76" s="63">
        <v>45703</v>
      </c>
      <c r="AJ76" s="63">
        <v>46433</v>
      </c>
      <c r="AK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" s="30"/>
      <c r="AN76" s="20" t="s">
        <v>65</v>
      </c>
      <c r="AO76" s="82" t="s">
        <v>355</v>
      </c>
      <c r="AP76" s="20" t="s">
        <v>84</v>
      </c>
      <c r="AQ76" s="20" t="s">
        <v>100</v>
      </c>
    </row>
    <row r="77" spans="1:43" ht="16">
      <c r="A77" s="20">
        <v>8182541914</v>
      </c>
      <c r="B77" s="21">
        <v>1036510</v>
      </c>
      <c r="C77" s="20" t="s">
        <v>570</v>
      </c>
      <c r="D77" s="20" t="s">
        <v>571</v>
      </c>
      <c r="E77" s="20" t="s">
        <v>572</v>
      </c>
      <c r="F77" s="20" t="s">
        <v>104</v>
      </c>
      <c r="G77" s="20" t="s">
        <v>104</v>
      </c>
      <c r="H77" s="20" t="s">
        <v>48</v>
      </c>
      <c r="I77" s="20" t="s">
        <v>104</v>
      </c>
      <c r="J77" s="32" t="s">
        <v>573</v>
      </c>
      <c r="K77" s="32" t="s">
        <v>573</v>
      </c>
      <c r="L77" s="23" t="s">
        <v>559</v>
      </c>
      <c r="M77" s="24" t="s">
        <v>7737</v>
      </c>
      <c r="N77" s="23">
        <v>11169000</v>
      </c>
      <c r="O77" s="25" t="s">
        <v>74</v>
      </c>
      <c r="P77" s="25" t="s">
        <v>53</v>
      </c>
      <c r="Q77" s="20" t="s">
        <v>574</v>
      </c>
      <c r="R77" s="20">
        <v>43090221</v>
      </c>
      <c r="S77" s="25" t="s">
        <v>575</v>
      </c>
      <c r="T77" s="26" t="s">
        <v>57</v>
      </c>
      <c r="U77" s="23">
        <v>860478062356628</v>
      </c>
      <c r="V77" s="45" t="s">
        <v>110</v>
      </c>
      <c r="W77" s="20" t="s">
        <v>302</v>
      </c>
      <c r="X77" s="20" t="s">
        <v>303</v>
      </c>
      <c r="Y77" s="20" t="s">
        <v>303</v>
      </c>
      <c r="Z77" s="20" t="s">
        <v>80</v>
      </c>
      <c r="AA77" s="20" t="s">
        <v>81</v>
      </c>
      <c r="AB77" s="20" t="s">
        <v>82</v>
      </c>
      <c r="AC77" s="28">
        <v>559.48</v>
      </c>
      <c r="AD77" s="28">
        <f>SUM(BASE[[#This Row],[MONTO DE RENTA ]]*1.16)</f>
        <v>648.99680000000001</v>
      </c>
      <c r="AE77" s="28" t="s">
        <v>83</v>
      </c>
      <c r="AF77" s="28">
        <v>559.48275862068965</v>
      </c>
      <c r="AG77" s="28">
        <v>649</v>
      </c>
      <c r="AH77" s="22" t="s">
        <v>64</v>
      </c>
      <c r="AI77" s="29">
        <v>45703</v>
      </c>
      <c r="AJ77" s="29">
        <v>46433</v>
      </c>
      <c r="AK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" s="30"/>
      <c r="AN77" s="20" t="s">
        <v>65</v>
      </c>
      <c r="AO77" s="82" t="s">
        <v>355</v>
      </c>
      <c r="AP77" s="20" t="s">
        <v>84</v>
      </c>
      <c r="AQ77" s="20" t="s">
        <v>100</v>
      </c>
    </row>
    <row r="78" spans="1:43" ht="16">
      <c r="A78" s="20">
        <v>8126800081</v>
      </c>
      <c r="B78" s="21">
        <v>1036510</v>
      </c>
      <c r="C78" s="20" t="s">
        <v>570</v>
      </c>
      <c r="D78" s="20" t="s">
        <v>571</v>
      </c>
      <c r="E78" s="20" t="s">
        <v>572</v>
      </c>
      <c r="F78" s="20" t="s">
        <v>104</v>
      </c>
      <c r="G78" s="20" t="s">
        <v>104</v>
      </c>
      <c r="H78" s="20" t="s">
        <v>48</v>
      </c>
      <c r="I78" s="20" t="s">
        <v>104</v>
      </c>
      <c r="J78" s="32" t="s">
        <v>576</v>
      </c>
      <c r="K78" s="32" t="s">
        <v>576</v>
      </c>
      <c r="L78" s="23" t="s">
        <v>559</v>
      </c>
      <c r="M78" s="24" t="s">
        <v>7737</v>
      </c>
      <c r="N78" s="23">
        <v>11169000</v>
      </c>
      <c r="O78" s="25" t="s">
        <v>74</v>
      </c>
      <c r="P78" s="25" t="s">
        <v>53</v>
      </c>
      <c r="Q78" s="20" t="s">
        <v>577</v>
      </c>
      <c r="R78" s="20">
        <v>44114368</v>
      </c>
      <c r="S78" s="25" t="s">
        <v>578</v>
      </c>
      <c r="T78" s="26" t="s">
        <v>57</v>
      </c>
      <c r="U78" s="23">
        <v>860478062096620</v>
      </c>
      <c r="V78" s="45" t="s">
        <v>110</v>
      </c>
      <c r="W78" s="20" t="s">
        <v>302</v>
      </c>
      <c r="X78" s="20" t="s">
        <v>303</v>
      </c>
      <c r="Y78" s="20" t="s">
        <v>303</v>
      </c>
      <c r="Z78" s="20" t="s">
        <v>80</v>
      </c>
      <c r="AA78" s="20" t="s">
        <v>81</v>
      </c>
      <c r="AB78" s="20" t="s">
        <v>82</v>
      </c>
      <c r="AC78" s="28">
        <v>559.48</v>
      </c>
      <c r="AD78" s="28">
        <f>SUM(BASE[[#This Row],[MONTO DE RENTA ]]*1.16)</f>
        <v>648.99680000000001</v>
      </c>
      <c r="AE78" s="28" t="s">
        <v>83</v>
      </c>
      <c r="AF78" s="28">
        <v>559.48275862068965</v>
      </c>
      <c r="AG78" s="28">
        <v>649</v>
      </c>
      <c r="AH78" s="22" t="s">
        <v>64</v>
      </c>
      <c r="AI78" s="63">
        <v>45703</v>
      </c>
      <c r="AJ78" s="63">
        <v>46433</v>
      </c>
      <c r="AK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" s="30"/>
      <c r="AN78" s="20" t="s">
        <v>65</v>
      </c>
      <c r="AO78" s="82" t="s">
        <v>355</v>
      </c>
      <c r="AP78" s="20" t="s">
        <v>84</v>
      </c>
      <c r="AQ78" s="20" t="s">
        <v>100</v>
      </c>
    </row>
    <row r="79" spans="1:43" ht="16">
      <c r="A79" s="20">
        <v>8110220329</v>
      </c>
      <c r="B79" s="49">
        <v>1068327</v>
      </c>
      <c r="C79" s="20" t="s">
        <v>579</v>
      </c>
      <c r="D79" s="20" t="s">
        <v>580</v>
      </c>
      <c r="E79" s="20" t="s">
        <v>581</v>
      </c>
      <c r="F79" s="20" t="s">
        <v>70</v>
      </c>
      <c r="G79" s="20" t="s">
        <v>70</v>
      </c>
      <c r="H79" s="20" t="s">
        <v>48</v>
      </c>
      <c r="I79" s="20" t="s">
        <v>70</v>
      </c>
      <c r="J79" s="22" t="s">
        <v>582</v>
      </c>
      <c r="K79" s="22" t="s">
        <v>582</v>
      </c>
      <c r="L79" s="23" t="s">
        <v>559</v>
      </c>
      <c r="M79" s="24" t="s">
        <v>7737</v>
      </c>
      <c r="N79" s="23">
        <v>11169000</v>
      </c>
      <c r="O79" s="25" t="s">
        <v>74</v>
      </c>
      <c r="P79" s="25" t="s">
        <v>53</v>
      </c>
      <c r="Q79" s="20" t="s">
        <v>583</v>
      </c>
      <c r="R79" s="20">
        <v>42669157</v>
      </c>
      <c r="S79" s="25" t="s">
        <v>55</v>
      </c>
      <c r="T79" s="26" t="s">
        <v>56</v>
      </c>
      <c r="U79" s="23">
        <v>357654178171099</v>
      </c>
      <c r="V79" s="27" t="s">
        <v>78</v>
      </c>
      <c r="W79" s="20" t="s">
        <v>95</v>
      </c>
      <c r="X79" s="20" t="s">
        <v>95</v>
      </c>
      <c r="Y79" s="20" t="s">
        <v>95</v>
      </c>
      <c r="Z79" s="20" t="s">
        <v>584</v>
      </c>
      <c r="AA79" s="20" t="s">
        <v>585</v>
      </c>
      <c r="AB79" s="20" t="s">
        <v>82</v>
      </c>
      <c r="AC79" s="28">
        <v>559.48</v>
      </c>
      <c r="AD79" s="28">
        <f>SUM(BASE[[#This Row],[MONTO DE RENTA ]]*1.16)</f>
        <v>648.99680000000001</v>
      </c>
      <c r="AE79" s="28" t="s">
        <v>83</v>
      </c>
      <c r="AF79" s="28">
        <v>559.48275862068965</v>
      </c>
      <c r="AG79" s="28">
        <v>649</v>
      </c>
      <c r="AI79" s="29">
        <v>44937</v>
      </c>
      <c r="AJ79" s="50">
        <v>46043</v>
      </c>
      <c r="AK7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9" s="30"/>
      <c r="AN79" s="20" t="s">
        <v>99</v>
      </c>
      <c r="AP79" s="20" t="s">
        <v>84</v>
      </c>
      <c r="AQ79" s="20" t="s">
        <v>100</v>
      </c>
    </row>
    <row r="80" spans="1:43" ht="16">
      <c r="A80" s="20">
        <v>4422196134</v>
      </c>
      <c r="B80" s="21">
        <v>355151</v>
      </c>
      <c r="C80" s="20" t="s">
        <v>356</v>
      </c>
      <c r="D80" s="20" t="s">
        <v>586</v>
      </c>
      <c r="E80" s="20" t="s">
        <v>383</v>
      </c>
      <c r="F80" s="20" t="s">
        <v>587</v>
      </c>
      <c r="G80" s="20" t="s">
        <v>47</v>
      </c>
      <c r="H80" s="20" t="s">
        <v>48</v>
      </c>
      <c r="I80" s="20" t="s">
        <v>587</v>
      </c>
      <c r="J80" s="22" t="s">
        <v>588</v>
      </c>
      <c r="K80" s="22" t="s">
        <v>588</v>
      </c>
      <c r="L80" s="23" t="s">
        <v>589</v>
      </c>
      <c r="M80" s="24" t="s">
        <v>7742</v>
      </c>
      <c r="N80" s="23">
        <v>11170000</v>
      </c>
      <c r="O80" s="25" t="s">
        <v>93</v>
      </c>
      <c r="P80" s="25" t="s">
        <v>53</v>
      </c>
      <c r="Q80" s="20" t="s">
        <v>590</v>
      </c>
      <c r="R80" s="20">
        <v>63377621</v>
      </c>
      <c r="S80" s="25" t="s">
        <v>591</v>
      </c>
      <c r="T80" s="26" t="s">
        <v>57</v>
      </c>
      <c r="U80" s="23">
        <v>860900062256201</v>
      </c>
      <c r="V80" s="27" t="s">
        <v>57</v>
      </c>
      <c r="W80" s="20" t="s">
        <v>58</v>
      </c>
      <c r="X80" s="20" t="s">
        <v>59</v>
      </c>
      <c r="Y80" s="20" t="s">
        <v>59</v>
      </c>
      <c r="Z80" s="20" t="s">
        <v>131</v>
      </c>
      <c r="AA80" s="20" t="s">
        <v>132</v>
      </c>
      <c r="AB80" s="20" t="s">
        <v>96</v>
      </c>
      <c r="AC80" s="28">
        <v>369.83</v>
      </c>
      <c r="AD80" s="28">
        <f>SUM(BASE[[#This Row],[MONTO DE RENTA ]]*1.16)</f>
        <v>429.00279999999998</v>
      </c>
      <c r="AE80" s="28" t="s">
        <v>63</v>
      </c>
      <c r="AF80" s="28">
        <v>369.82758620689657</v>
      </c>
      <c r="AG80" s="28">
        <v>429</v>
      </c>
      <c r="AH80" s="22" t="s">
        <v>64</v>
      </c>
      <c r="AI80" s="29">
        <v>45703</v>
      </c>
      <c r="AJ80" s="29">
        <v>46433</v>
      </c>
      <c r="AK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" s="30"/>
      <c r="AN80" s="20" t="s">
        <v>65</v>
      </c>
      <c r="AO80" s="20" t="s">
        <v>141</v>
      </c>
      <c r="AP80" s="20" t="s">
        <v>84</v>
      </c>
      <c r="AQ80" s="20" t="s">
        <v>100</v>
      </c>
    </row>
    <row r="81" spans="1:43" ht="16">
      <c r="A81" s="20">
        <v>4422075014</v>
      </c>
      <c r="B81" s="21">
        <v>1000380</v>
      </c>
      <c r="C81" s="20" t="s">
        <v>592</v>
      </c>
      <c r="D81" s="20" t="s">
        <v>593</v>
      </c>
      <c r="E81" s="20" t="s">
        <v>594</v>
      </c>
      <c r="F81" s="20" t="s">
        <v>248</v>
      </c>
      <c r="G81" s="20" t="s">
        <v>248</v>
      </c>
      <c r="H81" s="20" t="s">
        <v>48</v>
      </c>
      <c r="I81" s="20" t="s">
        <v>248</v>
      </c>
      <c r="J81" s="22" t="s">
        <v>595</v>
      </c>
      <c r="K81" s="22" t="s">
        <v>595</v>
      </c>
      <c r="L81" s="23" t="s">
        <v>589</v>
      </c>
      <c r="M81" s="24" t="s">
        <v>7742</v>
      </c>
      <c r="N81" s="23">
        <v>11166000</v>
      </c>
      <c r="O81" s="25" t="s">
        <v>93</v>
      </c>
      <c r="P81" s="25" t="s">
        <v>53</v>
      </c>
      <c r="Q81" s="20" t="s">
        <v>596</v>
      </c>
      <c r="R81" s="20">
        <v>63377619</v>
      </c>
      <c r="S81" s="25" t="s">
        <v>597</v>
      </c>
      <c r="T81" s="26" t="s">
        <v>57</v>
      </c>
      <c r="U81" s="23">
        <v>860900062256151</v>
      </c>
      <c r="V81" s="27" t="s">
        <v>57</v>
      </c>
      <c r="W81" s="20" t="s">
        <v>58</v>
      </c>
      <c r="X81" s="20" t="s">
        <v>59</v>
      </c>
      <c r="Y81" s="20" t="s">
        <v>59</v>
      </c>
      <c r="Z81" s="20" t="s">
        <v>131</v>
      </c>
      <c r="AA81" s="20" t="s">
        <v>132</v>
      </c>
      <c r="AB81" s="20" t="s">
        <v>96</v>
      </c>
      <c r="AC81" s="28">
        <v>369.83</v>
      </c>
      <c r="AD81" s="95">
        <f>SUM(BASE[[#This Row],[MONTO DE RENTA ]]*1.16)</f>
        <v>429.00279999999998</v>
      </c>
      <c r="AE81" s="28" t="s">
        <v>63</v>
      </c>
      <c r="AF81" s="95">
        <v>369.82758620689657</v>
      </c>
      <c r="AG81" s="95">
        <v>429</v>
      </c>
      <c r="AH81" s="96" t="s">
        <v>64</v>
      </c>
      <c r="AI81" s="29">
        <v>45703</v>
      </c>
      <c r="AJ81" s="29">
        <v>46433</v>
      </c>
      <c r="AK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" s="30"/>
      <c r="AN81" s="20" t="s">
        <v>65</v>
      </c>
      <c r="AO81" s="20" t="s">
        <v>141</v>
      </c>
      <c r="AP81" s="20" t="s">
        <v>84</v>
      </c>
      <c r="AQ81" s="20" t="s">
        <v>100</v>
      </c>
    </row>
    <row r="82" spans="1:43" ht="16">
      <c r="A82" s="20">
        <v>4427154635</v>
      </c>
      <c r="B82" s="21">
        <v>999203</v>
      </c>
      <c r="C82" s="20" t="s">
        <v>43</v>
      </c>
      <c r="D82" s="20" t="s">
        <v>329</v>
      </c>
      <c r="E82" s="20" t="s">
        <v>598</v>
      </c>
      <c r="F82" s="20" t="s">
        <v>257</v>
      </c>
      <c r="G82" s="20" t="s">
        <v>257</v>
      </c>
      <c r="H82" s="20" t="s">
        <v>48</v>
      </c>
      <c r="I82" s="20" t="s">
        <v>257</v>
      </c>
      <c r="J82" s="22" t="s">
        <v>599</v>
      </c>
      <c r="K82" s="22" t="s">
        <v>599</v>
      </c>
      <c r="L82" s="23" t="s">
        <v>589</v>
      </c>
      <c r="M82" s="24" t="s">
        <v>7742</v>
      </c>
      <c r="N82" s="23">
        <v>11170000</v>
      </c>
      <c r="O82" s="25" t="s">
        <v>93</v>
      </c>
      <c r="P82" s="25" t="s">
        <v>53</v>
      </c>
      <c r="Q82" s="20" t="s">
        <v>600</v>
      </c>
      <c r="R82" s="20">
        <v>63377606</v>
      </c>
      <c r="S82" s="25" t="s">
        <v>601</v>
      </c>
      <c r="T82" s="26" t="s">
        <v>57</v>
      </c>
      <c r="U82" s="23">
        <v>860478062352247</v>
      </c>
      <c r="V82" s="45" t="s">
        <v>110</v>
      </c>
      <c r="W82" s="20" t="s">
        <v>302</v>
      </c>
      <c r="X82" s="20" t="s">
        <v>303</v>
      </c>
      <c r="Y82" s="20" t="s">
        <v>303</v>
      </c>
      <c r="Z82" s="20" t="s">
        <v>131</v>
      </c>
      <c r="AA82" s="20" t="s">
        <v>132</v>
      </c>
      <c r="AB82" s="20" t="s">
        <v>82</v>
      </c>
      <c r="AC82" s="28">
        <v>559.48</v>
      </c>
      <c r="AD82" s="28">
        <f>SUM(BASE[[#This Row],[MONTO DE RENTA ]]*1.16)</f>
        <v>648.99680000000001</v>
      </c>
      <c r="AE82" s="28" t="s">
        <v>83</v>
      </c>
      <c r="AF82" s="28">
        <v>559.48275862068965</v>
      </c>
      <c r="AG82" s="28">
        <v>649</v>
      </c>
      <c r="AH82" s="22" t="s">
        <v>64</v>
      </c>
      <c r="AI82" s="29">
        <v>45703</v>
      </c>
      <c r="AJ82" s="29">
        <v>46433</v>
      </c>
      <c r="AK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" s="30"/>
      <c r="AN82" s="20" t="s">
        <v>65</v>
      </c>
      <c r="AO82" s="82" t="s">
        <v>355</v>
      </c>
      <c r="AP82" s="20" t="s">
        <v>84</v>
      </c>
      <c r="AQ82" s="20" t="s">
        <v>100</v>
      </c>
    </row>
    <row r="83" spans="1:43" ht="17.25" customHeight="1">
      <c r="A83" s="20">
        <v>4427167257</v>
      </c>
      <c r="B83" s="21">
        <v>1016554</v>
      </c>
      <c r="C83" s="20" t="s">
        <v>602</v>
      </c>
      <c r="D83" s="20" t="s">
        <v>376</v>
      </c>
      <c r="E83" s="20" t="s">
        <v>187</v>
      </c>
      <c r="F83" s="20" t="s">
        <v>104</v>
      </c>
      <c r="G83" s="20" t="s">
        <v>104</v>
      </c>
      <c r="H83" s="20" t="s">
        <v>48</v>
      </c>
      <c r="I83" s="20" t="s">
        <v>104</v>
      </c>
      <c r="J83" s="97" t="s">
        <v>603</v>
      </c>
      <c r="K83" s="97" t="s">
        <v>603</v>
      </c>
      <c r="L83" s="23" t="s">
        <v>589</v>
      </c>
      <c r="M83" s="24" t="s">
        <v>7742</v>
      </c>
      <c r="N83" s="23">
        <v>11170000</v>
      </c>
      <c r="O83" s="25" t="s">
        <v>93</v>
      </c>
      <c r="P83" s="25" t="s">
        <v>53</v>
      </c>
      <c r="Q83" s="20" t="s">
        <v>604</v>
      </c>
      <c r="R83" s="20">
        <v>63377604</v>
      </c>
      <c r="S83" s="25" t="s">
        <v>605</v>
      </c>
      <c r="T83" s="26" t="s">
        <v>57</v>
      </c>
      <c r="U83" s="23">
        <v>860478062354342</v>
      </c>
      <c r="V83" s="45" t="s">
        <v>110</v>
      </c>
      <c r="W83" s="20" t="s">
        <v>302</v>
      </c>
      <c r="X83" s="20" t="s">
        <v>303</v>
      </c>
      <c r="Y83" s="20" t="s">
        <v>303</v>
      </c>
      <c r="Z83" s="20" t="s">
        <v>131</v>
      </c>
      <c r="AA83" s="20" t="s">
        <v>132</v>
      </c>
      <c r="AB83" s="20" t="s">
        <v>82</v>
      </c>
      <c r="AC83" s="28">
        <v>559.48</v>
      </c>
      <c r="AD83" s="28">
        <f>SUM(BASE[[#This Row],[MONTO DE RENTA ]]*1.16)</f>
        <v>648.99680000000001</v>
      </c>
      <c r="AE83" s="28" t="s">
        <v>83</v>
      </c>
      <c r="AF83" s="28">
        <v>559.48275862068965</v>
      </c>
      <c r="AG83" s="28">
        <v>649</v>
      </c>
      <c r="AH83" s="22" t="s">
        <v>64</v>
      </c>
      <c r="AI83" s="29">
        <v>45703</v>
      </c>
      <c r="AJ83" s="29">
        <v>46433</v>
      </c>
      <c r="AK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" s="30"/>
      <c r="AN83" s="20" t="s">
        <v>65</v>
      </c>
      <c r="AO83" s="82" t="s">
        <v>355</v>
      </c>
      <c r="AP83" s="20" t="s">
        <v>84</v>
      </c>
      <c r="AQ83" s="20" t="s">
        <v>100</v>
      </c>
    </row>
    <row r="84" spans="1:43" ht="14" customHeight="1">
      <c r="A84" s="20">
        <v>4421867282</v>
      </c>
      <c r="B84" s="21">
        <v>1078334</v>
      </c>
      <c r="C84" s="20" t="s">
        <v>606</v>
      </c>
      <c r="D84" s="20" t="s">
        <v>607</v>
      </c>
      <c r="E84" s="20" t="s">
        <v>608</v>
      </c>
      <c r="F84" s="20" t="s">
        <v>104</v>
      </c>
      <c r="G84" s="20" t="s">
        <v>104</v>
      </c>
      <c r="H84" s="20" t="s">
        <v>48</v>
      </c>
      <c r="I84" s="20" t="s">
        <v>104</v>
      </c>
      <c r="J84" s="32" t="s">
        <v>609</v>
      </c>
      <c r="K84" s="32" t="s">
        <v>609</v>
      </c>
      <c r="L84" s="25" t="s">
        <v>589</v>
      </c>
      <c r="M84" s="24" t="s">
        <v>7742</v>
      </c>
      <c r="N84" s="23">
        <v>11170000</v>
      </c>
      <c r="O84" s="25" t="s">
        <v>93</v>
      </c>
      <c r="P84" s="25" t="s">
        <v>53</v>
      </c>
      <c r="Q84" s="20" t="s">
        <v>610</v>
      </c>
      <c r="R84" s="20">
        <v>63633775</v>
      </c>
      <c r="S84" s="25" t="s">
        <v>611</v>
      </c>
      <c r="T84" s="26" t="s">
        <v>57</v>
      </c>
      <c r="U84" s="23">
        <v>860478062354656</v>
      </c>
      <c r="V84" s="45" t="s">
        <v>110</v>
      </c>
      <c r="W84" s="20" t="s">
        <v>302</v>
      </c>
      <c r="X84" s="20" t="s">
        <v>303</v>
      </c>
      <c r="Y84" s="20" t="s">
        <v>303</v>
      </c>
      <c r="Z84" s="20" t="s">
        <v>131</v>
      </c>
      <c r="AA84" s="20" t="s">
        <v>132</v>
      </c>
      <c r="AB84" s="20" t="s">
        <v>82</v>
      </c>
      <c r="AC84" s="28">
        <v>559.48</v>
      </c>
      <c r="AD84" s="28">
        <f>SUM(BASE[[#This Row],[MONTO DE RENTA ]]*1.16)</f>
        <v>648.99680000000001</v>
      </c>
      <c r="AE84" s="28" t="s">
        <v>83</v>
      </c>
      <c r="AF84" s="28">
        <v>559.48275862068965</v>
      </c>
      <c r="AG84" s="28">
        <v>649</v>
      </c>
      <c r="AH84" s="22" t="s">
        <v>64</v>
      </c>
      <c r="AI84" s="29">
        <v>45703</v>
      </c>
      <c r="AJ84" s="29">
        <v>46433</v>
      </c>
      <c r="AK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4" s="30"/>
      <c r="AN84" s="20" t="s">
        <v>65</v>
      </c>
      <c r="AO84" s="82" t="s">
        <v>355</v>
      </c>
      <c r="AP84" s="20" t="s">
        <v>84</v>
      </c>
      <c r="AQ84" s="20" t="s">
        <v>100</v>
      </c>
    </row>
    <row r="85" spans="1:43" ht="16">
      <c r="A85" s="20">
        <v>4461392712</v>
      </c>
      <c r="B85" s="21">
        <v>380001</v>
      </c>
      <c r="C85" s="20" t="s">
        <v>612</v>
      </c>
      <c r="D85" s="20" t="s">
        <v>613</v>
      </c>
      <c r="E85" s="20" t="s">
        <v>614</v>
      </c>
      <c r="F85" s="20" t="s">
        <v>70</v>
      </c>
      <c r="G85" s="20" t="s">
        <v>70</v>
      </c>
      <c r="H85" s="20" t="s">
        <v>48</v>
      </c>
      <c r="I85" s="20" t="s">
        <v>70</v>
      </c>
      <c r="J85" s="32" t="s">
        <v>615</v>
      </c>
      <c r="K85" s="22" t="s">
        <v>615</v>
      </c>
      <c r="L85" s="23" t="s">
        <v>589</v>
      </c>
      <c r="M85" s="24" t="s">
        <v>7742</v>
      </c>
      <c r="N85" s="23">
        <v>11170000</v>
      </c>
      <c r="O85" s="25" t="s">
        <v>93</v>
      </c>
      <c r="P85" s="25" t="s">
        <v>53</v>
      </c>
      <c r="Q85" s="20" t="s">
        <v>616</v>
      </c>
      <c r="R85" s="20">
        <v>63377556</v>
      </c>
      <c r="S85" s="25" t="s">
        <v>617</v>
      </c>
      <c r="T85" s="26" t="s">
        <v>77</v>
      </c>
      <c r="U85" s="23">
        <v>358366320266243</v>
      </c>
      <c r="V85" s="27" t="s">
        <v>78</v>
      </c>
      <c r="W85" s="20" t="s">
        <v>79</v>
      </c>
      <c r="X85" s="20" t="s">
        <v>79</v>
      </c>
      <c r="Y85" s="20" t="s">
        <v>79</v>
      </c>
      <c r="Z85" s="20" t="s">
        <v>131</v>
      </c>
      <c r="AA85" s="20" t="s">
        <v>132</v>
      </c>
      <c r="AB85" s="20" t="s">
        <v>82</v>
      </c>
      <c r="AC85" s="28">
        <v>559.48</v>
      </c>
      <c r="AD85" s="28">
        <f>SUM(BASE[[#This Row],[MONTO DE RENTA ]]*1.16)</f>
        <v>648.99680000000001</v>
      </c>
      <c r="AE85" s="28" t="s">
        <v>83</v>
      </c>
      <c r="AF85" s="28">
        <v>559.48275862068965</v>
      </c>
      <c r="AG85" s="28">
        <v>649</v>
      </c>
      <c r="AH85" s="22" t="s">
        <v>64</v>
      </c>
      <c r="AI85" s="29">
        <v>45703</v>
      </c>
      <c r="AJ85" s="29">
        <v>46433</v>
      </c>
      <c r="AK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" s="30"/>
      <c r="AN85" s="20" t="s">
        <v>65</v>
      </c>
      <c r="AP85" s="20" t="s">
        <v>84</v>
      </c>
    </row>
    <row r="86" spans="1:43" ht="16">
      <c r="A86" s="20">
        <v>6141242085</v>
      </c>
      <c r="B86" s="21">
        <v>1075445</v>
      </c>
      <c r="C86" s="20" t="s">
        <v>618</v>
      </c>
      <c r="D86" s="20" t="s">
        <v>619</v>
      </c>
      <c r="E86" s="20" t="s">
        <v>620</v>
      </c>
      <c r="F86" s="20" t="s">
        <v>104</v>
      </c>
      <c r="G86" s="20" t="s">
        <v>104</v>
      </c>
      <c r="H86" s="20" t="s">
        <v>48</v>
      </c>
      <c r="I86" s="20" t="s">
        <v>104</v>
      </c>
      <c r="J86" s="32" t="s">
        <v>621</v>
      </c>
      <c r="K86" s="32" t="s">
        <v>622</v>
      </c>
      <c r="L86" s="23" t="s">
        <v>623</v>
      </c>
      <c r="M86" s="24" t="s">
        <v>7744</v>
      </c>
      <c r="N86" s="23">
        <v>11174000</v>
      </c>
      <c r="O86" s="25" t="s">
        <v>362</v>
      </c>
      <c r="P86" s="25" t="s">
        <v>53</v>
      </c>
      <c r="Q86" s="20" t="s">
        <v>624</v>
      </c>
      <c r="R86" s="20">
        <v>32966762</v>
      </c>
      <c r="S86" s="25" t="s">
        <v>625</v>
      </c>
      <c r="T86" s="26" t="s">
        <v>57</v>
      </c>
      <c r="U86" s="23">
        <v>860478064863290</v>
      </c>
      <c r="V86" s="45" t="s">
        <v>110</v>
      </c>
      <c r="W86" s="20" t="s">
        <v>302</v>
      </c>
      <c r="X86" s="20" t="s">
        <v>303</v>
      </c>
      <c r="Y86" s="20" t="s">
        <v>303</v>
      </c>
      <c r="Z86" s="20" t="s">
        <v>80</v>
      </c>
      <c r="AA86" s="20" t="s">
        <v>81</v>
      </c>
      <c r="AB86" s="20" t="s">
        <v>82</v>
      </c>
      <c r="AC86" s="28">
        <v>559.48</v>
      </c>
      <c r="AD86" s="28">
        <f>SUM(BASE[[#This Row],[MONTO DE RENTA ]]*1.16)</f>
        <v>648.99680000000001</v>
      </c>
      <c r="AE86" s="28" t="s">
        <v>83</v>
      </c>
      <c r="AF86" s="28">
        <v>559.48275862068965</v>
      </c>
      <c r="AG86" s="28">
        <v>649</v>
      </c>
      <c r="AH86" s="22" t="s">
        <v>64</v>
      </c>
      <c r="AI86" s="63">
        <v>45703</v>
      </c>
      <c r="AJ86" s="63">
        <v>46433</v>
      </c>
      <c r="AK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" s="30"/>
      <c r="AN86" s="20" t="s">
        <v>65</v>
      </c>
      <c r="AO86" s="82" t="s">
        <v>355</v>
      </c>
      <c r="AP86" s="20" t="s">
        <v>84</v>
      </c>
      <c r="AQ86" s="20" t="s">
        <v>100</v>
      </c>
    </row>
    <row r="87" spans="1:43" ht="16">
      <c r="A87" s="20">
        <v>6141049389</v>
      </c>
      <c r="B87" s="49">
        <v>1011286</v>
      </c>
      <c r="C87" s="20" t="s">
        <v>626</v>
      </c>
      <c r="D87" s="20" t="s">
        <v>477</v>
      </c>
      <c r="E87" s="20" t="s">
        <v>627</v>
      </c>
      <c r="F87" s="20" t="s">
        <v>451</v>
      </c>
      <c r="G87" s="20" t="s">
        <v>47</v>
      </c>
      <c r="H87" s="20" t="s">
        <v>48</v>
      </c>
      <c r="I87" s="20" t="s">
        <v>451</v>
      </c>
      <c r="J87" s="22" t="s">
        <v>628</v>
      </c>
      <c r="K87" s="22" t="s">
        <v>628</v>
      </c>
      <c r="L87" s="23" t="s">
        <v>623</v>
      </c>
      <c r="M87" s="24" t="s">
        <v>7744</v>
      </c>
      <c r="N87" s="23">
        <v>11174000</v>
      </c>
      <c r="O87" s="25" t="s">
        <v>362</v>
      </c>
      <c r="P87" s="25" t="s">
        <v>53</v>
      </c>
      <c r="Q87" s="20" t="s">
        <v>629</v>
      </c>
      <c r="R87" s="20">
        <v>32984037</v>
      </c>
      <c r="S87" s="25" t="s">
        <v>55</v>
      </c>
      <c r="T87" s="26" t="s">
        <v>56</v>
      </c>
      <c r="U87" s="23">
        <v>865356065728511</v>
      </c>
      <c r="V87" s="27" t="s">
        <v>183</v>
      </c>
      <c r="W87" s="20" t="s">
        <v>129</v>
      </c>
      <c r="X87" s="20" t="s">
        <v>130</v>
      </c>
      <c r="Y87" s="20" t="s">
        <v>130</v>
      </c>
      <c r="Z87" s="20" t="s">
        <v>60</v>
      </c>
      <c r="AA87" s="20" t="s">
        <v>61</v>
      </c>
      <c r="AB87" s="20" t="s">
        <v>96</v>
      </c>
      <c r="AC87" s="28">
        <v>369.83</v>
      </c>
      <c r="AD87" s="28">
        <f>SUM(BASE[[#This Row],[MONTO DE RENTA ]]*1.16)</f>
        <v>429.00279999999998</v>
      </c>
      <c r="AE87" s="28" t="s">
        <v>63</v>
      </c>
      <c r="AF87" s="28">
        <v>369.82758620689657</v>
      </c>
      <c r="AG87" s="28">
        <v>429</v>
      </c>
      <c r="AI87" s="63">
        <v>44937</v>
      </c>
      <c r="AJ87" s="73">
        <v>46043</v>
      </c>
      <c r="AK8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7" s="30"/>
      <c r="AN87" s="20" t="s">
        <v>99</v>
      </c>
      <c r="AP87" s="20" t="s">
        <v>84</v>
      </c>
      <c r="AQ87" s="20" t="s">
        <v>100</v>
      </c>
    </row>
    <row r="88" spans="1:43" ht="17.25" customHeight="1">
      <c r="A88" s="20">
        <v>6143947687</v>
      </c>
      <c r="B88" s="49">
        <v>1040317</v>
      </c>
      <c r="C88" s="20" t="s">
        <v>630</v>
      </c>
      <c r="D88" s="20" t="s">
        <v>631</v>
      </c>
      <c r="E88" s="20" t="s">
        <v>477</v>
      </c>
      <c r="F88" s="20" t="s">
        <v>248</v>
      </c>
      <c r="G88" s="20" t="s">
        <v>248</v>
      </c>
      <c r="H88" s="20" t="s">
        <v>48</v>
      </c>
      <c r="I88" s="20" t="s">
        <v>248</v>
      </c>
      <c r="J88" s="22" t="s">
        <v>632</v>
      </c>
      <c r="K88" s="22" t="s">
        <v>632</v>
      </c>
      <c r="L88" s="23" t="s">
        <v>623</v>
      </c>
      <c r="M88" s="24" t="s">
        <v>7744</v>
      </c>
      <c r="N88" s="23">
        <v>11174000</v>
      </c>
      <c r="O88" s="25" t="s">
        <v>362</v>
      </c>
      <c r="P88" s="25" t="s">
        <v>53</v>
      </c>
      <c r="Q88" s="20" t="s">
        <v>633</v>
      </c>
      <c r="R88" s="20">
        <v>32975733</v>
      </c>
      <c r="S88" s="25" t="s">
        <v>55</v>
      </c>
      <c r="T88" s="26" t="s">
        <v>56</v>
      </c>
      <c r="U88" s="23">
        <v>865356065720674</v>
      </c>
      <c r="V88" s="27" t="s">
        <v>183</v>
      </c>
      <c r="W88" s="20" t="s">
        <v>129</v>
      </c>
      <c r="X88" s="20" t="s">
        <v>130</v>
      </c>
      <c r="Y88" s="20" t="s">
        <v>130</v>
      </c>
      <c r="Z88" s="20" t="s">
        <v>60</v>
      </c>
      <c r="AA88" s="20" t="s">
        <v>61</v>
      </c>
      <c r="AB88" s="20" t="s">
        <v>96</v>
      </c>
      <c r="AC88" s="28">
        <v>369.83</v>
      </c>
      <c r="AD88" s="28">
        <f>SUM(BASE[[#This Row],[MONTO DE RENTA ]]*1.16)</f>
        <v>429.00279999999998</v>
      </c>
      <c r="AE88" s="28" t="s">
        <v>63</v>
      </c>
      <c r="AF88" s="28">
        <v>369.82758620689657</v>
      </c>
      <c r="AG88" s="28">
        <v>429</v>
      </c>
      <c r="AI88" s="29">
        <v>44937</v>
      </c>
      <c r="AJ88" s="50">
        <v>46043</v>
      </c>
      <c r="AK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8" s="30"/>
      <c r="AN88" s="20" t="s">
        <v>99</v>
      </c>
      <c r="AP88" s="20" t="s">
        <v>84</v>
      </c>
      <c r="AQ88" s="20" t="s">
        <v>100</v>
      </c>
    </row>
    <row r="89" spans="1:43" ht="16">
      <c r="A89" s="20">
        <v>6141761182</v>
      </c>
      <c r="B89" s="21">
        <v>191021</v>
      </c>
      <c r="C89" s="20" t="s">
        <v>634</v>
      </c>
      <c r="D89" s="20" t="s">
        <v>635</v>
      </c>
      <c r="E89" s="20" t="s">
        <v>636</v>
      </c>
      <c r="F89" s="20" t="s">
        <v>257</v>
      </c>
      <c r="G89" s="20" t="s">
        <v>257</v>
      </c>
      <c r="H89" s="20" t="s">
        <v>48</v>
      </c>
      <c r="I89" s="20" t="s">
        <v>257</v>
      </c>
      <c r="J89" s="22" t="s">
        <v>637</v>
      </c>
      <c r="K89" s="32" t="s">
        <v>637</v>
      </c>
      <c r="L89" s="23" t="s">
        <v>623</v>
      </c>
      <c r="M89" s="24" t="s">
        <v>7744</v>
      </c>
      <c r="N89" s="23">
        <v>11174000</v>
      </c>
      <c r="O89" s="25" t="s">
        <v>362</v>
      </c>
      <c r="P89" s="25" t="s">
        <v>53</v>
      </c>
      <c r="Q89" s="20" t="s">
        <v>638</v>
      </c>
      <c r="R89" s="20">
        <v>32966760</v>
      </c>
      <c r="S89" s="25" t="s">
        <v>55</v>
      </c>
      <c r="T89" s="44" t="s">
        <v>56</v>
      </c>
      <c r="U89" s="23">
        <v>865356065689341</v>
      </c>
      <c r="V89" s="27" t="s">
        <v>183</v>
      </c>
      <c r="W89" s="20" t="s">
        <v>129</v>
      </c>
      <c r="X89" s="20" t="s">
        <v>130</v>
      </c>
      <c r="Y89" s="20" t="s">
        <v>130</v>
      </c>
      <c r="Z89" s="20" t="s">
        <v>60</v>
      </c>
      <c r="AA89" s="20" t="s">
        <v>61</v>
      </c>
      <c r="AB89" s="20" t="s">
        <v>96</v>
      </c>
      <c r="AC89" s="28">
        <v>369.83</v>
      </c>
      <c r="AD89" s="28">
        <f>SUM(BASE[[#This Row],[MONTO DE RENTA ]]*1.16)</f>
        <v>429.00279999999998</v>
      </c>
      <c r="AE89" s="28" t="s">
        <v>97</v>
      </c>
      <c r="AF89" s="28">
        <v>473.27586206896552</v>
      </c>
      <c r="AG89" s="28">
        <v>549</v>
      </c>
      <c r="AI89" s="29">
        <v>44937</v>
      </c>
      <c r="AJ89" s="50">
        <v>46043</v>
      </c>
      <c r="AK8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9" s="30"/>
      <c r="AN89" s="20" t="s">
        <v>99</v>
      </c>
      <c r="AP89" s="20" t="s">
        <v>66</v>
      </c>
      <c r="AQ89" s="20" t="s">
        <v>100</v>
      </c>
    </row>
    <row r="90" spans="1:43" ht="16">
      <c r="A90" s="20">
        <v>6141420365</v>
      </c>
      <c r="B90" s="98">
        <v>880466</v>
      </c>
      <c r="C90" s="20" t="s">
        <v>639</v>
      </c>
      <c r="D90" s="20" t="s">
        <v>640</v>
      </c>
      <c r="E90" s="20" t="s">
        <v>641</v>
      </c>
      <c r="F90" s="20" t="s">
        <v>70</v>
      </c>
      <c r="G90" s="20" t="s">
        <v>70</v>
      </c>
      <c r="H90" s="20" t="s">
        <v>48</v>
      </c>
      <c r="I90" s="20" t="s">
        <v>70</v>
      </c>
      <c r="J90" s="22" t="s">
        <v>642</v>
      </c>
      <c r="K90" s="22" t="s">
        <v>642</v>
      </c>
      <c r="L90" s="23" t="s">
        <v>623</v>
      </c>
      <c r="M90" s="24" t="s">
        <v>7744</v>
      </c>
      <c r="N90" s="23">
        <v>11174000</v>
      </c>
      <c r="O90" s="25" t="s">
        <v>362</v>
      </c>
      <c r="P90" s="25" t="s">
        <v>53</v>
      </c>
      <c r="Q90" s="20" t="s">
        <v>643</v>
      </c>
      <c r="R90" s="20">
        <v>32955008</v>
      </c>
      <c r="S90" s="25" t="s">
        <v>55</v>
      </c>
      <c r="T90" s="26" t="s">
        <v>56</v>
      </c>
      <c r="U90" s="23">
        <v>357654179441087</v>
      </c>
      <c r="V90" s="27" t="s">
        <v>183</v>
      </c>
      <c r="W90" s="20" t="s">
        <v>95</v>
      </c>
      <c r="X90" s="20" t="s">
        <v>95</v>
      </c>
      <c r="Y90" s="20" t="s">
        <v>95</v>
      </c>
      <c r="Z90" s="20" t="s">
        <v>60</v>
      </c>
      <c r="AA90" s="20" t="s">
        <v>61</v>
      </c>
      <c r="AB90" s="20" t="s">
        <v>96</v>
      </c>
      <c r="AC90" s="28">
        <v>369.83</v>
      </c>
      <c r="AD90" s="28">
        <f>SUM(BASE[[#This Row],[MONTO DE RENTA ]]*1.16)</f>
        <v>429.00279999999998</v>
      </c>
      <c r="AE90" s="28" t="s">
        <v>83</v>
      </c>
      <c r="AF90" s="28">
        <v>559.48275862068965</v>
      </c>
      <c r="AG90" s="28">
        <v>649</v>
      </c>
      <c r="AI90" s="29">
        <v>44937</v>
      </c>
      <c r="AJ90" s="50">
        <v>46043</v>
      </c>
      <c r="AK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0" s="30"/>
      <c r="AN90" s="20" t="s">
        <v>99</v>
      </c>
      <c r="AP90" s="20" t="s">
        <v>66</v>
      </c>
      <c r="AQ90" s="20" t="s">
        <v>100</v>
      </c>
    </row>
    <row r="91" spans="1:43" ht="16">
      <c r="A91" s="99">
        <v>8119119991</v>
      </c>
      <c r="B91" s="21">
        <v>1002056</v>
      </c>
      <c r="C91" s="20" t="s">
        <v>644</v>
      </c>
      <c r="D91" s="20" t="s">
        <v>645</v>
      </c>
      <c r="E91" s="20" t="s">
        <v>187</v>
      </c>
      <c r="F91" s="20" t="s">
        <v>47</v>
      </c>
      <c r="G91" s="20" t="s">
        <v>47</v>
      </c>
      <c r="H91" s="20" t="s">
        <v>48</v>
      </c>
      <c r="I91" s="20" t="s">
        <v>47</v>
      </c>
      <c r="J91" s="100" t="s">
        <v>646</v>
      </c>
      <c r="K91" s="100" t="s">
        <v>646</v>
      </c>
      <c r="L91" s="23" t="s">
        <v>647</v>
      </c>
      <c r="M91" s="24" t="s">
        <v>7737</v>
      </c>
      <c r="N91" s="23">
        <v>11175000</v>
      </c>
      <c r="O91" s="25" t="s">
        <v>74</v>
      </c>
      <c r="P91" s="25" t="s">
        <v>53</v>
      </c>
      <c r="Q91" s="20" t="s">
        <v>648</v>
      </c>
      <c r="R91" s="20">
        <v>41181856</v>
      </c>
      <c r="S91" s="25" t="s">
        <v>55</v>
      </c>
      <c r="T91" s="101" t="s">
        <v>56</v>
      </c>
      <c r="U91" s="23">
        <v>866223054942744</v>
      </c>
      <c r="V91" s="27" t="s">
        <v>183</v>
      </c>
      <c r="W91" s="20" t="s">
        <v>649</v>
      </c>
      <c r="X91" s="20" t="s">
        <v>650</v>
      </c>
      <c r="Y91" s="20" t="s">
        <v>650</v>
      </c>
      <c r="Z91" s="20" t="s">
        <v>60</v>
      </c>
      <c r="AA91" s="20" t="s">
        <v>61</v>
      </c>
      <c r="AB91" s="20" t="s">
        <v>96</v>
      </c>
      <c r="AC91" s="28">
        <v>369.83</v>
      </c>
      <c r="AD91" s="28">
        <f>SUM(BASE[[#This Row],[MONTO DE RENTA ]]*1.16)</f>
        <v>429.00279999999998</v>
      </c>
      <c r="AE91" s="28" t="s">
        <v>63</v>
      </c>
      <c r="AF91" s="28">
        <v>369.82758620689657</v>
      </c>
      <c r="AG91" s="28">
        <v>429</v>
      </c>
      <c r="AH91" s="100"/>
      <c r="AI91" s="102">
        <v>45771</v>
      </c>
      <c r="AJ91" s="103">
        <v>46024</v>
      </c>
      <c r="AK91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91" s="99"/>
      <c r="AM91" s="104"/>
      <c r="AN91" s="20" t="s">
        <v>99</v>
      </c>
      <c r="AP91" s="20" t="s">
        <v>84</v>
      </c>
      <c r="AQ91" s="20" t="s">
        <v>100</v>
      </c>
    </row>
    <row r="92" spans="1:43" ht="16">
      <c r="A92" s="20">
        <v>8119845670</v>
      </c>
      <c r="B92" s="49">
        <v>1016673</v>
      </c>
      <c r="C92" s="20" t="s">
        <v>651</v>
      </c>
      <c r="D92" s="20" t="s">
        <v>376</v>
      </c>
      <c r="E92" s="20" t="s">
        <v>652</v>
      </c>
      <c r="F92" s="20" t="s">
        <v>248</v>
      </c>
      <c r="G92" s="20" t="s">
        <v>248</v>
      </c>
      <c r="H92" s="20" t="s">
        <v>48</v>
      </c>
      <c r="I92" s="20" t="s">
        <v>248</v>
      </c>
      <c r="J92" s="22" t="s">
        <v>653</v>
      </c>
      <c r="K92" s="22" t="s">
        <v>653</v>
      </c>
      <c r="L92" s="23" t="s">
        <v>647</v>
      </c>
      <c r="M92" s="24" t="s">
        <v>7737</v>
      </c>
      <c r="N92" s="23">
        <v>11175000</v>
      </c>
      <c r="O92" s="25" t="s">
        <v>74</v>
      </c>
      <c r="P92" s="25" t="s">
        <v>53</v>
      </c>
      <c r="Q92" s="20" t="s">
        <v>654</v>
      </c>
      <c r="R92" s="20">
        <v>45017368</v>
      </c>
      <c r="S92" s="25" t="s">
        <v>655</v>
      </c>
      <c r="T92" s="65" t="s">
        <v>57</v>
      </c>
      <c r="U92" s="23">
        <v>865356065673337</v>
      </c>
      <c r="V92" s="27" t="s">
        <v>183</v>
      </c>
      <c r="W92" s="20" t="s">
        <v>129</v>
      </c>
      <c r="X92" s="20" t="s">
        <v>130</v>
      </c>
      <c r="Y92" s="20" t="s">
        <v>130</v>
      </c>
      <c r="Z92" s="20" t="s">
        <v>167</v>
      </c>
      <c r="AA92" s="20" t="s">
        <v>168</v>
      </c>
      <c r="AB92" s="20" t="s">
        <v>96</v>
      </c>
      <c r="AC92" s="28">
        <v>369.83</v>
      </c>
      <c r="AD92" s="28">
        <f>SUM(BASE[[#This Row],[MONTO DE RENTA ]]*1.16)</f>
        <v>429.00279999999998</v>
      </c>
      <c r="AE92" s="28" t="s">
        <v>63</v>
      </c>
      <c r="AF92" s="28">
        <v>369.82758620689657</v>
      </c>
      <c r="AG92" s="28">
        <v>429</v>
      </c>
      <c r="AH92" s="22" t="s">
        <v>140</v>
      </c>
      <c r="AI92" s="63">
        <v>45518</v>
      </c>
      <c r="AJ92" s="63">
        <v>46040</v>
      </c>
      <c r="AK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92" s="20">
        <v>11137000</v>
      </c>
      <c r="AM92" s="30"/>
      <c r="AN92" s="20" t="s">
        <v>99</v>
      </c>
      <c r="AP92" s="20" t="s">
        <v>84</v>
      </c>
      <c r="AQ92" s="20" t="s">
        <v>100</v>
      </c>
    </row>
    <row r="93" spans="1:43" s="87" customFormat="1" ht="16">
      <c r="A93" s="20">
        <v>8119803672</v>
      </c>
      <c r="B93" s="49">
        <v>1001625</v>
      </c>
      <c r="C93" s="20" t="s">
        <v>656</v>
      </c>
      <c r="D93" s="20" t="s">
        <v>187</v>
      </c>
      <c r="E93" s="20" t="s">
        <v>657</v>
      </c>
      <c r="F93" s="20" t="s">
        <v>257</v>
      </c>
      <c r="G93" s="20" t="s">
        <v>257</v>
      </c>
      <c r="H93" s="20" t="s">
        <v>48</v>
      </c>
      <c r="I93" s="20" t="s">
        <v>257</v>
      </c>
      <c r="J93" s="22" t="s">
        <v>658</v>
      </c>
      <c r="K93" s="32" t="s">
        <v>659</v>
      </c>
      <c r="L93" s="91" t="s">
        <v>647</v>
      </c>
      <c r="M93" s="24" t="s">
        <v>7737</v>
      </c>
      <c r="N93" s="23">
        <v>11175000</v>
      </c>
      <c r="O93" s="25" t="s">
        <v>74</v>
      </c>
      <c r="P93" s="25" t="s">
        <v>53</v>
      </c>
      <c r="Q93" s="20" t="s">
        <v>660</v>
      </c>
      <c r="R93" s="20">
        <v>45017370</v>
      </c>
      <c r="S93" s="25" t="s">
        <v>661</v>
      </c>
      <c r="T93" s="26" t="s">
        <v>57</v>
      </c>
      <c r="U93" s="23">
        <v>860478064849422</v>
      </c>
      <c r="V93" s="27" t="s">
        <v>57</v>
      </c>
      <c r="W93" s="20" t="s">
        <v>302</v>
      </c>
      <c r="X93" s="20" t="s">
        <v>303</v>
      </c>
      <c r="Y93" s="20" t="s">
        <v>303</v>
      </c>
      <c r="Z93" s="20" t="s">
        <v>167</v>
      </c>
      <c r="AA93" s="20" t="s">
        <v>168</v>
      </c>
      <c r="AB93" s="20" t="s">
        <v>96</v>
      </c>
      <c r="AC93" s="28">
        <v>369.83</v>
      </c>
      <c r="AD93" s="28">
        <f>SUM(BASE[[#This Row],[MONTO DE RENTA ]]*1.16)</f>
        <v>429.00279999999998</v>
      </c>
      <c r="AE93" s="28" t="s">
        <v>97</v>
      </c>
      <c r="AF93" s="28">
        <v>473.27586206896552</v>
      </c>
      <c r="AG93" s="28">
        <v>549</v>
      </c>
      <c r="AH93" s="22" t="s">
        <v>64</v>
      </c>
      <c r="AI93" s="29">
        <v>45703</v>
      </c>
      <c r="AJ93" s="29">
        <v>46433</v>
      </c>
      <c r="AK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93" s="20"/>
      <c r="AM93" s="30"/>
      <c r="AN93" s="20" t="s">
        <v>65</v>
      </c>
      <c r="AO93" s="20" t="s">
        <v>141</v>
      </c>
      <c r="AP93" s="20" t="s">
        <v>66</v>
      </c>
      <c r="AQ93" s="20" t="s">
        <v>100</v>
      </c>
    </row>
    <row r="94" spans="1:43" ht="16">
      <c r="A94" s="20">
        <v>8120010216</v>
      </c>
      <c r="B94" s="21">
        <v>100895</v>
      </c>
      <c r="C94" s="20" t="s">
        <v>662</v>
      </c>
      <c r="D94" s="20" t="s">
        <v>663</v>
      </c>
      <c r="E94" s="20" t="s">
        <v>664</v>
      </c>
      <c r="F94" s="20" t="s">
        <v>104</v>
      </c>
      <c r="G94" s="20" t="s">
        <v>104</v>
      </c>
      <c r="H94" s="20" t="s">
        <v>48</v>
      </c>
      <c r="I94" s="20" t="s">
        <v>104</v>
      </c>
      <c r="J94" s="32" t="s">
        <v>665</v>
      </c>
      <c r="K94" s="32" t="s">
        <v>665</v>
      </c>
      <c r="L94" s="91" t="s">
        <v>647</v>
      </c>
      <c r="M94" s="24" t="s">
        <v>7737</v>
      </c>
      <c r="N94" s="23">
        <v>11175000</v>
      </c>
      <c r="O94" s="25" t="s">
        <v>74</v>
      </c>
      <c r="P94" s="25" t="s">
        <v>53</v>
      </c>
      <c r="Q94" s="20" t="s">
        <v>666</v>
      </c>
      <c r="R94" s="20">
        <v>45017366</v>
      </c>
      <c r="S94" s="25" t="s">
        <v>667</v>
      </c>
      <c r="T94" s="26" t="s">
        <v>57</v>
      </c>
      <c r="U94" s="23">
        <v>860478064858795</v>
      </c>
      <c r="V94" s="45" t="s">
        <v>110</v>
      </c>
      <c r="W94" s="20" t="s">
        <v>302</v>
      </c>
      <c r="X94" s="20" t="s">
        <v>303</v>
      </c>
      <c r="Y94" s="20" t="s">
        <v>303</v>
      </c>
      <c r="Z94" s="20" t="s">
        <v>167</v>
      </c>
      <c r="AA94" s="20" t="s">
        <v>168</v>
      </c>
      <c r="AB94" s="20" t="s">
        <v>96</v>
      </c>
      <c r="AC94" s="28">
        <v>369.83</v>
      </c>
      <c r="AD94" s="28">
        <f>SUM(BASE[[#This Row],[MONTO DE RENTA ]]*1.16)</f>
        <v>429.00279999999998</v>
      </c>
      <c r="AE94" s="28" t="s">
        <v>97</v>
      </c>
      <c r="AF94" s="28">
        <v>473.27586206896552</v>
      </c>
      <c r="AG94" s="28">
        <v>549</v>
      </c>
      <c r="AH94" s="22" t="s">
        <v>64</v>
      </c>
      <c r="AI94" s="63">
        <v>45703</v>
      </c>
      <c r="AJ94" s="63">
        <v>46433</v>
      </c>
      <c r="AK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" s="30"/>
      <c r="AN94" s="20" t="s">
        <v>65</v>
      </c>
      <c r="AO94" s="82" t="s">
        <v>355</v>
      </c>
      <c r="AP94" s="20" t="s">
        <v>66</v>
      </c>
      <c r="AQ94" s="20" t="s">
        <v>100</v>
      </c>
    </row>
    <row r="95" spans="1:43" ht="16">
      <c r="A95" s="20">
        <v>8135515310</v>
      </c>
      <c r="B95" s="86">
        <v>280369</v>
      </c>
      <c r="C95" s="20" t="s">
        <v>668</v>
      </c>
      <c r="D95" s="20" t="s">
        <v>669</v>
      </c>
      <c r="E95" s="20" t="s">
        <v>670</v>
      </c>
      <c r="F95" s="20" t="s">
        <v>70</v>
      </c>
      <c r="G95" s="20" t="s">
        <v>70</v>
      </c>
      <c r="H95" s="20" t="s">
        <v>48</v>
      </c>
      <c r="I95" s="20" t="s">
        <v>70</v>
      </c>
      <c r="J95" s="22" t="s">
        <v>671</v>
      </c>
      <c r="K95" s="22" t="s">
        <v>671</v>
      </c>
      <c r="L95" s="91" t="s">
        <v>647</v>
      </c>
      <c r="M95" s="24" t="s">
        <v>7737</v>
      </c>
      <c r="N95" s="23">
        <v>11175000</v>
      </c>
      <c r="O95" s="25" t="s">
        <v>74</v>
      </c>
      <c r="P95" s="25" t="s">
        <v>53</v>
      </c>
      <c r="Q95" s="20" t="s">
        <v>672</v>
      </c>
      <c r="R95" s="20">
        <v>44918942</v>
      </c>
      <c r="S95" s="25" t="s">
        <v>55</v>
      </c>
      <c r="T95" s="26" t="s">
        <v>56</v>
      </c>
      <c r="U95" s="23">
        <v>351835921710145</v>
      </c>
      <c r="V95" s="27" t="s">
        <v>78</v>
      </c>
      <c r="W95" s="20" t="s">
        <v>95</v>
      </c>
      <c r="X95" s="20" t="s">
        <v>95</v>
      </c>
      <c r="Y95" s="20" t="s">
        <v>95</v>
      </c>
      <c r="Z95" s="20" t="s">
        <v>60</v>
      </c>
      <c r="AA95" s="20" t="s">
        <v>61</v>
      </c>
      <c r="AB95" s="20" t="s">
        <v>96</v>
      </c>
      <c r="AC95" s="28">
        <v>369.83</v>
      </c>
      <c r="AD95" s="28">
        <f>SUM(BASE[[#This Row],[MONTO DE RENTA ]]*1.16)</f>
        <v>429.00279999999998</v>
      </c>
      <c r="AE95" s="28" t="s">
        <v>83</v>
      </c>
      <c r="AF95" s="28">
        <v>559.48275862068965</v>
      </c>
      <c r="AG95" s="28">
        <v>649</v>
      </c>
      <c r="AI95" s="63">
        <v>44937</v>
      </c>
      <c r="AJ95" s="73">
        <v>46043</v>
      </c>
      <c r="AK9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5" s="30"/>
      <c r="AN95" s="20" t="s">
        <v>99</v>
      </c>
      <c r="AP95" s="20" t="s">
        <v>66</v>
      </c>
      <c r="AQ95" s="20" t="s">
        <v>100</v>
      </c>
    </row>
    <row r="96" spans="1:43" ht="16">
      <c r="A96" s="20">
        <v>3318623270</v>
      </c>
      <c r="B96" s="21">
        <v>1001934</v>
      </c>
      <c r="C96" s="20" t="s">
        <v>673</v>
      </c>
      <c r="D96" s="20" t="s">
        <v>674</v>
      </c>
      <c r="E96" s="20" t="s">
        <v>143</v>
      </c>
      <c r="F96" s="20" t="s">
        <v>104</v>
      </c>
      <c r="G96" s="20" t="s">
        <v>47</v>
      </c>
      <c r="H96" s="20" t="s">
        <v>48</v>
      </c>
      <c r="I96" s="20" t="s">
        <v>104</v>
      </c>
      <c r="J96" s="54" t="s">
        <v>675</v>
      </c>
      <c r="K96" s="54" t="s">
        <v>675</v>
      </c>
      <c r="L96" s="23" t="s">
        <v>676</v>
      </c>
      <c r="M96" s="24" t="s">
        <v>7746</v>
      </c>
      <c r="N96" s="23">
        <v>11176000</v>
      </c>
      <c r="O96" s="25" t="s">
        <v>677</v>
      </c>
      <c r="P96" s="25" t="s">
        <v>53</v>
      </c>
      <c r="Q96" s="20" t="s">
        <v>678</v>
      </c>
      <c r="R96" s="20">
        <v>54903659</v>
      </c>
      <c r="S96" s="25" t="s">
        <v>679</v>
      </c>
      <c r="T96" s="65" t="s">
        <v>57</v>
      </c>
      <c r="U96" s="23">
        <v>860900062254925</v>
      </c>
      <c r="V96" s="27" t="s">
        <v>57</v>
      </c>
      <c r="W96" s="20" t="s">
        <v>58</v>
      </c>
      <c r="X96" s="20" t="s">
        <v>59</v>
      </c>
      <c r="Y96" s="20" t="s">
        <v>59</v>
      </c>
      <c r="Z96" s="20" t="s">
        <v>80</v>
      </c>
      <c r="AA96" s="20" t="s">
        <v>81</v>
      </c>
      <c r="AB96" s="20" t="s">
        <v>96</v>
      </c>
      <c r="AC96" s="28">
        <v>369.83</v>
      </c>
      <c r="AD96" s="28">
        <f>SUM(BASE[[#This Row],[MONTO DE RENTA ]]*1.16)</f>
        <v>429.00279999999998</v>
      </c>
      <c r="AE96" s="28" t="s">
        <v>63</v>
      </c>
      <c r="AF96" s="28">
        <v>369.82758620689657</v>
      </c>
      <c r="AG96" s="28">
        <v>429</v>
      </c>
      <c r="AH96" s="22" t="s">
        <v>448</v>
      </c>
      <c r="AI96" s="63">
        <v>45371</v>
      </c>
      <c r="AJ96" s="63">
        <v>46402</v>
      </c>
      <c r="AK9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96" s="30"/>
      <c r="AN96" s="20" t="s">
        <v>65</v>
      </c>
      <c r="AO96" s="20" t="s">
        <v>141</v>
      </c>
      <c r="AP96" s="20" t="s">
        <v>84</v>
      </c>
      <c r="AQ96" s="20" t="s">
        <v>100</v>
      </c>
    </row>
    <row r="97" spans="1:43" ht="16">
      <c r="A97" s="20">
        <v>3334553273</v>
      </c>
      <c r="B97" s="21">
        <v>270648</v>
      </c>
      <c r="C97" s="20" t="s">
        <v>680</v>
      </c>
      <c r="D97" s="20" t="s">
        <v>681</v>
      </c>
      <c r="E97" s="20" t="s">
        <v>682</v>
      </c>
      <c r="F97" s="20" t="s">
        <v>46</v>
      </c>
      <c r="G97" s="20" t="s">
        <v>248</v>
      </c>
      <c r="H97" s="20" t="s">
        <v>48</v>
      </c>
      <c r="I97" s="20" t="s">
        <v>46</v>
      </c>
      <c r="J97" s="22" t="s">
        <v>683</v>
      </c>
      <c r="K97" s="22" t="s">
        <v>683</v>
      </c>
      <c r="L97" s="23" t="s">
        <v>676</v>
      </c>
      <c r="M97" s="24" t="s">
        <v>7746</v>
      </c>
      <c r="N97" s="23">
        <v>11176000</v>
      </c>
      <c r="O97" s="25" t="s">
        <v>677</v>
      </c>
      <c r="P97" s="25" t="s">
        <v>53</v>
      </c>
      <c r="Q97" s="20" t="s">
        <v>684</v>
      </c>
      <c r="R97" s="20">
        <v>54818516</v>
      </c>
      <c r="S97" s="25" t="s">
        <v>685</v>
      </c>
      <c r="T97" s="26" t="s">
        <v>57</v>
      </c>
      <c r="U97" s="23">
        <v>860900062254990</v>
      </c>
      <c r="V97" s="27" t="s">
        <v>57</v>
      </c>
      <c r="W97" s="20" t="s">
        <v>58</v>
      </c>
      <c r="X97" s="20" t="s">
        <v>59</v>
      </c>
      <c r="Y97" s="20" t="s">
        <v>59</v>
      </c>
      <c r="Z97" s="20" t="s">
        <v>80</v>
      </c>
      <c r="AA97" s="20" t="s">
        <v>81</v>
      </c>
      <c r="AB97" s="20" t="s">
        <v>96</v>
      </c>
      <c r="AC97" s="28">
        <v>369.83</v>
      </c>
      <c r="AD97" s="28">
        <f>SUM(BASE[[#This Row],[MONTO DE RENTA ]]*1.16)</f>
        <v>429.00279999999998</v>
      </c>
      <c r="AE97" s="28" t="s">
        <v>63</v>
      </c>
      <c r="AF97" s="28">
        <v>369.82758620689657</v>
      </c>
      <c r="AG97" s="28">
        <v>429</v>
      </c>
      <c r="AH97" s="22" t="s">
        <v>64</v>
      </c>
      <c r="AI97" s="29">
        <v>45703</v>
      </c>
      <c r="AJ97" s="29">
        <v>46433</v>
      </c>
      <c r="AK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" s="30"/>
      <c r="AN97" s="20" t="s">
        <v>65</v>
      </c>
      <c r="AO97" s="20" t="s">
        <v>141</v>
      </c>
      <c r="AP97" s="20" t="s">
        <v>84</v>
      </c>
      <c r="AQ97" s="20" t="s">
        <v>100</v>
      </c>
    </row>
    <row r="98" spans="1:43" ht="16">
      <c r="A98" s="20">
        <v>3311694385</v>
      </c>
      <c r="B98" s="21">
        <v>270021</v>
      </c>
      <c r="C98" s="20" t="s">
        <v>487</v>
      </c>
      <c r="D98" s="20" t="s">
        <v>686</v>
      </c>
      <c r="E98" s="20" t="s">
        <v>371</v>
      </c>
      <c r="F98" s="20" t="s">
        <v>257</v>
      </c>
      <c r="G98" s="20" t="s">
        <v>257</v>
      </c>
      <c r="H98" s="20" t="s">
        <v>48</v>
      </c>
      <c r="I98" s="20" t="s">
        <v>257</v>
      </c>
      <c r="J98" s="22" t="s">
        <v>687</v>
      </c>
      <c r="K98" s="22" t="s">
        <v>687</v>
      </c>
      <c r="L98" s="23" t="s">
        <v>676</v>
      </c>
      <c r="M98" s="24" t="s">
        <v>7746</v>
      </c>
      <c r="N98" s="23">
        <v>11176000</v>
      </c>
      <c r="O98" s="25" t="s">
        <v>677</v>
      </c>
      <c r="P98" s="25" t="s">
        <v>53</v>
      </c>
      <c r="Q98" s="20" t="s">
        <v>688</v>
      </c>
      <c r="R98" s="20">
        <v>53335822</v>
      </c>
      <c r="S98" s="25" t="s">
        <v>689</v>
      </c>
      <c r="T98" s="26" t="s">
        <v>57</v>
      </c>
      <c r="U98" s="23">
        <v>860478063776741</v>
      </c>
      <c r="V98" s="45" t="s">
        <v>110</v>
      </c>
      <c r="W98" s="20" t="s">
        <v>302</v>
      </c>
      <c r="X98" s="20" t="s">
        <v>303</v>
      </c>
      <c r="Y98" s="20" t="s">
        <v>303</v>
      </c>
      <c r="Z98" s="20" t="s">
        <v>80</v>
      </c>
      <c r="AA98" s="20" t="s">
        <v>81</v>
      </c>
      <c r="AB98" s="20" t="s">
        <v>82</v>
      </c>
      <c r="AC98" s="28">
        <v>559.48</v>
      </c>
      <c r="AD98" s="28">
        <f>SUM(BASE[[#This Row],[MONTO DE RENTA ]]*1.16)</f>
        <v>648.99680000000001</v>
      </c>
      <c r="AE98" s="28" t="s">
        <v>83</v>
      </c>
      <c r="AF98" s="28">
        <v>559.48275862068965</v>
      </c>
      <c r="AG98" s="28">
        <v>649</v>
      </c>
      <c r="AH98" s="22" t="s">
        <v>64</v>
      </c>
      <c r="AI98" s="63">
        <v>45703</v>
      </c>
      <c r="AJ98" s="63">
        <v>46433</v>
      </c>
      <c r="AK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" s="30"/>
      <c r="AN98" s="20" t="s">
        <v>65</v>
      </c>
      <c r="AO98" s="82" t="s">
        <v>355</v>
      </c>
      <c r="AP98" s="20" t="s">
        <v>84</v>
      </c>
      <c r="AQ98" s="20" t="s">
        <v>100</v>
      </c>
    </row>
    <row r="99" spans="1:43" ht="16">
      <c r="A99" s="20">
        <v>3315290095</v>
      </c>
      <c r="B99" s="21">
        <v>1031482</v>
      </c>
      <c r="C99" s="20" t="s">
        <v>690</v>
      </c>
      <c r="D99" s="20" t="s">
        <v>135</v>
      </c>
      <c r="E99" s="20" t="s">
        <v>657</v>
      </c>
      <c r="F99" s="20" t="s">
        <v>104</v>
      </c>
      <c r="G99" s="20" t="s">
        <v>104</v>
      </c>
      <c r="H99" s="20" t="s">
        <v>48</v>
      </c>
      <c r="I99" s="20" t="s">
        <v>104</v>
      </c>
      <c r="J99" s="32" t="s">
        <v>691</v>
      </c>
      <c r="K99" s="32" t="s">
        <v>691</v>
      </c>
      <c r="L99" s="23" t="s">
        <v>676</v>
      </c>
      <c r="M99" s="24" t="s">
        <v>7746</v>
      </c>
      <c r="N99" s="23">
        <v>11176000</v>
      </c>
      <c r="O99" s="25" t="s">
        <v>677</v>
      </c>
      <c r="P99" s="25" t="s">
        <v>53</v>
      </c>
      <c r="Q99" s="20" t="s">
        <v>692</v>
      </c>
      <c r="R99" s="20">
        <v>54818515</v>
      </c>
      <c r="S99" s="25" t="s">
        <v>693</v>
      </c>
      <c r="T99" s="26" t="s">
        <v>57</v>
      </c>
      <c r="U99" s="23">
        <v>860478063793027</v>
      </c>
      <c r="V99" s="45" t="s">
        <v>110</v>
      </c>
      <c r="W99" s="20" t="s">
        <v>302</v>
      </c>
      <c r="X99" s="20" t="s">
        <v>303</v>
      </c>
      <c r="Y99" s="20" t="s">
        <v>303</v>
      </c>
      <c r="Z99" s="20" t="s">
        <v>80</v>
      </c>
      <c r="AA99" s="20" t="s">
        <v>81</v>
      </c>
      <c r="AB99" s="20" t="s">
        <v>96</v>
      </c>
      <c r="AC99" s="28">
        <v>369.83</v>
      </c>
      <c r="AD99" s="28">
        <f>SUM(BASE[[#This Row],[MONTO DE RENTA ]]*1.16)</f>
        <v>429.00279999999998</v>
      </c>
      <c r="AE99" s="28" t="s">
        <v>97</v>
      </c>
      <c r="AF99" s="28">
        <v>473.27586206896552</v>
      </c>
      <c r="AG99" s="28">
        <v>549</v>
      </c>
      <c r="AH99" s="22" t="s">
        <v>64</v>
      </c>
      <c r="AI99" s="63">
        <v>45703</v>
      </c>
      <c r="AJ99" s="63">
        <v>46433</v>
      </c>
      <c r="AK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" s="30"/>
      <c r="AN99" s="20" t="s">
        <v>65</v>
      </c>
      <c r="AO99" s="82" t="s">
        <v>355</v>
      </c>
      <c r="AP99" s="20" t="s">
        <v>66</v>
      </c>
      <c r="AQ99" s="20" t="s">
        <v>100</v>
      </c>
    </row>
    <row r="100" spans="1:43" ht="16">
      <c r="A100" s="20">
        <v>3316013850</v>
      </c>
      <c r="B100" s="21">
        <v>1031482</v>
      </c>
      <c r="C100" s="20" t="s">
        <v>690</v>
      </c>
      <c r="D100" s="20" t="s">
        <v>135</v>
      </c>
      <c r="E100" s="20" t="s">
        <v>657</v>
      </c>
      <c r="F100" s="20" t="s">
        <v>104</v>
      </c>
      <c r="G100" s="20" t="s">
        <v>104</v>
      </c>
      <c r="H100" s="20" t="s">
        <v>48</v>
      </c>
      <c r="I100" s="20" t="s">
        <v>104</v>
      </c>
      <c r="J100" s="32" t="s">
        <v>694</v>
      </c>
      <c r="K100" s="32" t="s">
        <v>694</v>
      </c>
      <c r="L100" s="23" t="s">
        <v>676</v>
      </c>
      <c r="M100" s="24" t="s">
        <v>7746</v>
      </c>
      <c r="N100" s="23">
        <v>11176000</v>
      </c>
      <c r="O100" s="25" t="s">
        <v>677</v>
      </c>
      <c r="P100" s="25" t="s">
        <v>53</v>
      </c>
      <c r="Q100" s="20" t="s">
        <v>695</v>
      </c>
      <c r="R100" s="20">
        <v>55040071</v>
      </c>
      <c r="S100" s="25" t="s">
        <v>696</v>
      </c>
      <c r="T100" s="26" t="s">
        <v>57</v>
      </c>
      <c r="U100" s="23">
        <v>860478062099194</v>
      </c>
      <c r="V100" s="45" t="s">
        <v>110</v>
      </c>
      <c r="W100" s="20" t="s">
        <v>302</v>
      </c>
      <c r="X100" s="20" t="s">
        <v>303</v>
      </c>
      <c r="Y100" s="20" t="s">
        <v>303</v>
      </c>
      <c r="Z100" s="20" t="s">
        <v>80</v>
      </c>
      <c r="AA100" s="20" t="s">
        <v>81</v>
      </c>
      <c r="AB100" s="20" t="s">
        <v>82</v>
      </c>
      <c r="AC100" s="28">
        <v>559.48</v>
      </c>
      <c r="AD100" s="28">
        <f>SUM(BASE[[#This Row],[MONTO DE RENTA ]]*1.16)</f>
        <v>648.99680000000001</v>
      </c>
      <c r="AE100" s="28" t="s">
        <v>83</v>
      </c>
      <c r="AF100" s="28">
        <v>559.48275862068965</v>
      </c>
      <c r="AG100" s="28">
        <v>649</v>
      </c>
      <c r="AH100" s="22" t="s">
        <v>64</v>
      </c>
      <c r="AI100" s="63">
        <v>45703</v>
      </c>
      <c r="AJ100" s="63">
        <v>46433</v>
      </c>
      <c r="AK1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" s="30"/>
      <c r="AN100" s="20" t="s">
        <v>65</v>
      </c>
      <c r="AO100" s="82" t="s">
        <v>355</v>
      </c>
      <c r="AP100" s="20" t="s">
        <v>84</v>
      </c>
      <c r="AQ100" s="20" t="s">
        <v>100</v>
      </c>
    </row>
    <row r="101" spans="1:43" ht="16">
      <c r="A101" s="20">
        <v>3319186468</v>
      </c>
      <c r="B101" s="21">
        <v>420298</v>
      </c>
      <c r="C101" s="20" t="s">
        <v>697</v>
      </c>
      <c r="D101" s="20" t="s">
        <v>376</v>
      </c>
      <c r="E101" s="20" t="s">
        <v>143</v>
      </c>
      <c r="F101" s="20" t="s">
        <v>70</v>
      </c>
      <c r="G101" s="20" t="s">
        <v>70</v>
      </c>
      <c r="H101" s="20" t="s">
        <v>48</v>
      </c>
      <c r="I101" s="20" t="s">
        <v>70</v>
      </c>
      <c r="J101" s="22" t="s">
        <v>698</v>
      </c>
      <c r="K101" s="32" t="s">
        <v>698</v>
      </c>
      <c r="L101" s="23" t="s">
        <v>676</v>
      </c>
      <c r="M101" s="24" t="s">
        <v>7746</v>
      </c>
      <c r="N101" s="23">
        <v>11176000</v>
      </c>
      <c r="O101" s="25" t="s">
        <v>677</v>
      </c>
      <c r="P101" s="25" t="s">
        <v>53</v>
      </c>
      <c r="Q101" s="20" t="s">
        <v>699</v>
      </c>
      <c r="R101" s="20">
        <v>53354232</v>
      </c>
      <c r="S101" s="25" t="s">
        <v>700</v>
      </c>
      <c r="T101" s="26" t="s">
        <v>77</v>
      </c>
      <c r="U101" s="23">
        <v>358366320587390</v>
      </c>
      <c r="V101" s="27" t="s">
        <v>78</v>
      </c>
      <c r="W101" s="20" t="s">
        <v>79</v>
      </c>
      <c r="X101" s="20" t="s">
        <v>79</v>
      </c>
      <c r="Y101" s="20" t="s">
        <v>79</v>
      </c>
      <c r="Z101" s="20" t="s">
        <v>80</v>
      </c>
      <c r="AA101" s="20" t="s">
        <v>81</v>
      </c>
      <c r="AB101" s="20" t="s">
        <v>82</v>
      </c>
      <c r="AC101" s="28">
        <v>559.48</v>
      </c>
      <c r="AD101" s="28">
        <f>SUM(BASE[[#This Row],[MONTO DE RENTA ]]*1.16)</f>
        <v>648.99680000000001</v>
      </c>
      <c r="AE101" s="28" t="s">
        <v>83</v>
      </c>
      <c r="AF101" s="28">
        <v>559.48275862068965</v>
      </c>
      <c r="AG101" s="28">
        <v>649</v>
      </c>
      <c r="AH101" s="22" t="s">
        <v>64</v>
      </c>
      <c r="AI101" s="63">
        <v>45703</v>
      </c>
      <c r="AJ101" s="63">
        <v>46433</v>
      </c>
      <c r="AK1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" s="30"/>
      <c r="AN101" s="20" t="s">
        <v>65</v>
      </c>
      <c r="AP101" s="20" t="s">
        <v>84</v>
      </c>
    </row>
    <row r="102" spans="1:43" ht="16">
      <c r="A102" s="20">
        <v>7713602709</v>
      </c>
      <c r="B102" s="49">
        <v>1011370</v>
      </c>
      <c r="C102" s="20" t="s">
        <v>701</v>
      </c>
      <c r="D102" s="20" t="s">
        <v>702</v>
      </c>
      <c r="E102" s="20" t="s">
        <v>703</v>
      </c>
      <c r="F102" s="20" t="s">
        <v>704</v>
      </c>
      <c r="G102" s="20" t="s">
        <v>47</v>
      </c>
      <c r="H102" s="20" t="s">
        <v>48</v>
      </c>
      <c r="I102" s="20" t="s">
        <v>704</v>
      </c>
      <c r="J102" s="32" t="s">
        <v>705</v>
      </c>
      <c r="K102" s="32" t="s">
        <v>706</v>
      </c>
      <c r="L102" s="23" t="s">
        <v>707</v>
      </c>
      <c r="M102" s="24" t="s">
        <v>7747</v>
      </c>
      <c r="N102" s="23">
        <v>11177000</v>
      </c>
      <c r="O102" s="25" t="s">
        <v>52</v>
      </c>
      <c r="P102" s="25" t="s">
        <v>53</v>
      </c>
      <c r="Q102" s="20" t="s">
        <v>708</v>
      </c>
      <c r="R102" s="20">
        <v>95247718</v>
      </c>
      <c r="S102" s="25" t="s">
        <v>55</v>
      </c>
      <c r="T102" s="26" t="s">
        <v>56</v>
      </c>
      <c r="U102" s="23">
        <v>860900062337191</v>
      </c>
      <c r="V102" s="27" t="s">
        <v>183</v>
      </c>
      <c r="W102" s="20" t="s">
        <v>58</v>
      </c>
      <c r="X102" s="20" t="s">
        <v>59</v>
      </c>
      <c r="Y102" s="20" t="s">
        <v>59</v>
      </c>
      <c r="Z102" s="20" t="s">
        <v>60</v>
      </c>
      <c r="AA102" s="20" t="s">
        <v>61</v>
      </c>
      <c r="AB102" s="20" t="s">
        <v>96</v>
      </c>
      <c r="AC102" s="28">
        <v>369.83</v>
      </c>
      <c r="AD102" s="28">
        <f>SUM(BASE[[#This Row],[MONTO DE RENTA ]]*1.16)</f>
        <v>429.00279999999998</v>
      </c>
      <c r="AE102" s="28" t="s">
        <v>63</v>
      </c>
      <c r="AF102" s="28">
        <v>369.82758620689657</v>
      </c>
      <c r="AG102" s="28">
        <v>429</v>
      </c>
      <c r="AI102" s="63">
        <v>44937</v>
      </c>
      <c r="AJ102" s="63">
        <v>46064</v>
      </c>
      <c r="AK102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02" s="30"/>
      <c r="AN102" s="20" t="s">
        <v>99</v>
      </c>
      <c r="AP102" s="20" t="s">
        <v>84</v>
      </c>
      <c r="AQ102" s="20" t="s">
        <v>100</v>
      </c>
    </row>
    <row r="103" spans="1:43" ht="16">
      <c r="A103" s="20">
        <v>7713602708</v>
      </c>
      <c r="B103" s="21">
        <v>1014438</v>
      </c>
      <c r="C103" s="20" t="s">
        <v>709</v>
      </c>
      <c r="D103" s="20" t="s">
        <v>710</v>
      </c>
      <c r="E103" s="20" t="s">
        <v>711</v>
      </c>
      <c r="F103" s="20" t="s">
        <v>704</v>
      </c>
      <c r="G103" s="20" t="s">
        <v>704</v>
      </c>
      <c r="H103" s="20" t="s">
        <v>48</v>
      </c>
      <c r="I103" s="20" t="s">
        <v>704</v>
      </c>
      <c r="J103" s="22" t="s">
        <v>712</v>
      </c>
      <c r="K103" s="22" t="s">
        <v>712</v>
      </c>
      <c r="L103" s="23" t="s">
        <v>707</v>
      </c>
      <c r="M103" s="24" t="s">
        <v>7747</v>
      </c>
      <c r="N103" s="23">
        <v>11177000</v>
      </c>
      <c r="O103" s="25" t="s">
        <v>52</v>
      </c>
      <c r="P103" s="25" t="s">
        <v>53</v>
      </c>
      <c r="Q103" s="20" t="s">
        <v>713</v>
      </c>
      <c r="R103" s="20">
        <v>95247716</v>
      </c>
      <c r="S103" s="25" t="s">
        <v>714</v>
      </c>
      <c r="T103" s="26" t="s">
        <v>57</v>
      </c>
      <c r="U103" s="23">
        <v>866223056002349</v>
      </c>
      <c r="V103" s="27" t="s">
        <v>183</v>
      </c>
      <c r="W103" s="20" t="s">
        <v>649</v>
      </c>
      <c r="X103" s="20" t="s">
        <v>650</v>
      </c>
      <c r="Y103" s="20" t="s">
        <v>650</v>
      </c>
      <c r="Z103" s="20" t="s">
        <v>60</v>
      </c>
      <c r="AA103" s="20" t="s">
        <v>61</v>
      </c>
      <c r="AB103" s="20" t="s">
        <v>96</v>
      </c>
      <c r="AC103" s="28">
        <v>369.83</v>
      </c>
      <c r="AD103" s="28">
        <f>SUM(BASE[[#This Row],[MONTO DE RENTA ]]*1.16)</f>
        <v>429.00279999999998</v>
      </c>
      <c r="AE103" s="28" t="s">
        <v>63</v>
      </c>
      <c r="AF103" s="28">
        <v>369.82758620689657</v>
      </c>
      <c r="AG103" s="28">
        <v>429</v>
      </c>
      <c r="AI103" s="63">
        <v>44937</v>
      </c>
      <c r="AJ103" s="84">
        <v>46054</v>
      </c>
      <c r="AK1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3" s="30"/>
      <c r="AN103" s="20" t="s">
        <v>99</v>
      </c>
      <c r="AP103" s="20" t="s">
        <v>84</v>
      </c>
      <c r="AQ103" s="20" t="s">
        <v>100</v>
      </c>
    </row>
    <row r="104" spans="1:43" ht="16">
      <c r="A104" s="20">
        <v>6631270415</v>
      </c>
      <c r="B104" s="21">
        <v>1050982</v>
      </c>
      <c r="C104" s="20" t="s">
        <v>715</v>
      </c>
      <c r="D104" s="20" t="s">
        <v>716</v>
      </c>
      <c r="E104" s="20" t="s">
        <v>383</v>
      </c>
      <c r="F104" s="20" t="s">
        <v>717</v>
      </c>
      <c r="G104" s="20" t="s">
        <v>717</v>
      </c>
      <c r="H104" s="20" t="s">
        <v>48</v>
      </c>
      <c r="I104" s="20" t="s">
        <v>717</v>
      </c>
      <c r="J104" s="22" t="s">
        <v>718</v>
      </c>
      <c r="K104" s="32" t="s">
        <v>719</v>
      </c>
      <c r="L104" s="23" t="s">
        <v>92</v>
      </c>
      <c r="M104" s="24" t="s">
        <v>7738</v>
      </c>
      <c r="N104" s="23">
        <v>11337000</v>
      </c>
      <c r="O104" s="25" t="s">
        <v>126</v>
      </c>
      <c r="P104" s="25" t="s">
        <v>53</v>
      </c>
      <c r="Q104" s="20" t="s">
        <v>720</v>
      </c>
      <c r="R104" s="20">
        <v>12163746</v>
      </c>
      <c r="S104" s="25" t="s">
        <v>721</v>
      </c>
      <c r="T104" s="26" t="s">
        <v>57</v>
      </c>
      <c r="U104" s="23">
        <v>860900062322060</v>
      </c>
      <c r="V104" s="27" t="s">
        <v>57</v>
      </c>
      <c r="W104" s="20" t="s">
        <v>58</v>
      </c>
      <c r="X104" s="20" t="s">
        <v>59</v>
      </c>
      <c r="Y104" s="20" t="s">
        <v>59</v>
      </c>
      <c r="Z104" s="20" t="s">
        <v>60</v>
      </c>
      <c r="AA104" s="20" t="s">
        <v>61</v>
      </c>
      <c r="AB104" s="20" t="s">
        <v>96</v>
      </c>
      <c r="AC104" s="28">
        <v>369.83</v>
      </c>
      <c r="AD104" s="28">
        <f>SUM(BASE[[#This Row],[MONTO DE RENTA ]]*1.16)</f>
        <v>429.00279999999998</v>
      </c>
      <c r="AE104" s="28" t="s">
        <v>63</v>
      </c>
      <c r="AF104" s="28">
        <v>369.82758620689657</v>
      </c>
      <c r="AG104" s="28">
        <v>429</v>
      </c>
      <c r="AH104" s="22" t="s">
        <v>64</v>
      </c>
      <c r="AI104" s="63">
        <v>45703</v>
      </c>
      <c r="AJ104" s="63">
        <v>46433</v>
      </c>
      <c r="AK1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" s="30"/>
      <c r="AN104" s="20" t="s">
        <v>65</v>
      </c>
      <c r="AP104" s="20" t="s">
        <v>84</v>
      </c>
    </row>
    <row r="105" spans="1:43" ht="16">
      <c r="A105" s="20">
        <v>6631270365</v>
      </c>
      <c r="B105" s="21">
        <v>1044033</v>
      </c>
      <c r="C105" s="20" t="s">
        <v>43</v>
      </c>
      <c r="D105" s="20" t="s">
        <v>722</v>
      </c>
      <c r="E105" s="20" t="s">
        <v>437</v>
      </c>
      <c r="F105" s="20" t="s">
        <v>723</v>
      </c>
      <c r="G105" s="20" t="s">
        <v>723</v>
      </c>
      <c r="H105" s="20" t="s">
        <v>48</v>
      </c>
      <c r="I105" s="20" t="s">
        <v>723</v>
      </c>
      <c r="J105" s="32" t="s">
        <v>724</v>
      </c>
      <c r="K105" s="32" t="s">
        <v>724</v>
      </c>
      <c r="L105" s="23" t="s">
        <v>92</v>
      </c>
      <c r="M105" s="24" t="s">
        <v>7738</v>
      </c>
      <c r="N105" s="23">
        <v>11337000</v>
      </c>
      <c r="O105" s="25" t="s">
        <v>126</v>
      </c>
      <c r="P105" s="25" t="s">
        <v>53</v>
      </c>
      <c r="Q105" s="20" t="s">
        <v>725</v>
      </c>
      <c r="R105" s="20">
        <v>12163745</v>
      </c>
      <c r="S105" s="25" t="s">
        <v>726</v>
      </c>
      <c r="T105" s="26" t="s">
        <v>57</v>
      </c>
      <c r="U105" s="23">
        <v>860900062321575</v>
      </c>
      <c r="V105" s="27" t="s">
        <v>57</v>
      </c>
      <c r="W105" s="20" t="s">
        <v>58</v>
      </c>
      <c r="X105" s="20" t="s">
        <v>59</v>
      </c>
      <c r="Y105" s="20" t="s">
        <v>59</v>
      </c>
      <c r="Z105" s="20" t="s">
        <v>60</v>
      </c>
      <c r="AA105" s="20" t="s">
        <v>61</v>
      </c>
      <c r="AB105" s="20" t="s">
        <v>96</v>
      </c>
      <c r="AC105" s="28">
        <v>369.83</v>
      </c>
      <c r="AD105" s="28">
        <f>SUM(BASE[[#This Row],[MONTO DE RENTA ]]*1.16)</f>
        <v>429.00279999999998</v>
      </c>
      <c r="AE105" s="28" t="s">
        <v>63</v>
      </c>
      <c r="AF105" s="28">
        <v>369.82758620689657</v>
      </c>
      <c r="AG105" s="28">
        <v>429</v>
      </c>
      <c r="AH105" s="22" t="s">
        <v>64</v>
      </c>
      <c r="AI105" s="63">
        <v>45703</v>
      </c>
      <c r="AJ105" s="63">
        <v>46433</v>
      </c>
      <c r="AK10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5" s="30"/>
      <c r="AN105" s="20" t="s">
        <v>65</v>
      </c>
      <c r="AP105" s="20" t="s">
        <v>84</v>
      </c>
    </row>
    <row r="106" spans="1:43" ht="16">
      <c r="A106" s="20">
        <v>6631270355</v>
      </c>
      <c r="B106" s="105">
        <v>1027259</v>
      </c>
      <c r="C106" s="20" t="s">
        <v>727</v>
      </c>
      <c r="D106" s="20" t="s">
        <v>477</v>
      </c>
      <c r="E106" s="20" t="s">
        <v>376</v>
      </c>
      <c r="F106" s="20" t="s">
        <v>723</v>
      </c>
      <c r="G106" s="20" t="s">
        <v>723</v>
      </c>
      <c r="H106" s="20" t="s">
        <v>48</v>
      </c>
      <c r="I106" s="20" t="s">
        <v>723</v>
      </c>
      <c r="J106" s="54" t="s">
        <v>728</v>
      </c>
      <c r="K106" s="32" t="s">
        <v>724</v>
      </c>
      <c r="L106" s="23" t="s">
        <v>729</v>
      </c>
      <c r="M106" s="24" t="s">
        <v>7748</v>
      </c>
      <c r="N106" s="23">
        <v>11337000</v>
      </c>
      <c r="O106" s="25" t="s">
        <v>126</v>
      </c>
      <c r="P106" s="25" t="s">
        <v>53</v>
      </c>
      <c r="Q106" s="20" t="s">
        <v>730</v>
      </c>
      <c r="R106" s="20">
        <v>12163740</v>
      </c>
      <c r="S106" s="25" t="s">
        <v>731</v>
      </c>
      <c r="T106" s="44" t="s">
        <v>57</v>
      </c>
      <c r="U106" s="23">
        <v>860900062321575</v>
      </c>
      <c r="V106" s="27" t="s">
        <v>57</v>
      </c>
      <c r="W106" s="20" t="s">
        <v>58</v>
      </c>
      <c r="X106" s="20" t="s">
        <v>59</v>
      </c>
      <c r="Y106" s="20" t="s">
        <v>59</v>
      </c>
      <c r="Z106" s="20" t="s">
        <v>60</v>
      </c>
      <c r="AA106" s="20" t="s">
        <v>61</v>
      </c>
      <c r="AB106" s="20" t="s">
        <v>96</v>
      </c>
      <c r="AC106" s="28">
        <v>369.83</v>
      </c>
      <c r="AD106" s="28">
        <f>SUM(BASE[[#This Row],[MONTO DE RENTA ]]*1.16)</f>
        <v>429.00279999999998</v>
      </c>
      <c r="AE106" s="28" t="s">
        <v>63</v>
      </c>
      <c r="AF106" s="28">
        <v>369.82758620689657</v>
      </c>
      <c r="AG106" s="28">
        <v>429</v>
      </c>
      <c r="AI106" s="63">
        <v>44937</v>
      </c>
      <c r="AJ106" s="63">
        <v>46681</v>
      </c>
      <c r="AK10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06" s="30" t="s">
        <v>732</v>
      </c>
      <c r="AN106" s="20" t="s">
        <v>65</v>
      </c>
      <c r="AP106" s="20" t="s">
        <v>84</v>
      </c>
    </row>
    <row r="107" spans="1:43" s="87" customFormat="1" ht="16">
      <c r="A107" s="20">
        <v>6631269250</v>
      </c>
      <c r="B107" s="21">
        <v>1048426</v>
      </c>
      <c r="C107" s="20" t="s">
        <v>733</v>
      </c>
      <c r="D107" s="20" t="s">
        <v>734</v>
      </c>
      <c r="E107" s="20" t="s">
        <v>735</v>
      </c>
      <c r="F107" s="20" t="s">
        <v>736</v>
      </c>
      <c r="G107" s="20" t="s">
        <v>736</v>
      </c>
      <c r="H107" s="20" t="s">
        <v>48</v>
      </c>
      <c r="I107" s="20" t="s">
        <v>736</v>
      </c>
      <c r="J107" s="22" t="s">
        <v>737</v>
      </c>
      <c r="K107" s="22" t="s">
        <v>737</v>
      </c>
      <c r="L107" s="23" t="s">
        <v>92</v>
      </c>
      <c r="M107" s="24" t="s">
        <v>7738</v>
      </c>
      <c r="N107" s="23">
        <v>11337000</v>
      </c>
      <c r="O107" s="25" t="s">
        <v>126</v>
      </c>
      <c r="P107" s="25" t="s">
        <v>53</v>
      </c>
      <c r="Q107" s="20" t="s">
        <v>738</v>
      </c>
      <c r="R107" s="20">
        <v>12150470</v>
      </c>
      <c r="S107" s="25" t="s">
        <v>739</v>
      </c>
      <c r="T107" s="26" t="s">
        <v>57</v>
      </c>
      <c r="U107" s="23">
        <v>860900062334321</v>
      </c>
      <c r="V107" s="27" t="s">
        <v>183</v>
      </c>
      <c r="W107" s="20" t="s">
        <v>58</v>
      </c>
      <c r="X107" s="20" t="s">
        <v>59</v>
      </c>
      <c r="Y107" s="20" t="s">
        <v>59</v>
      </c>
      <c r="Z107" s="20" t="s">
        <v>60</v>
      </c>
      <c r="AA107" s="20" t="s">
        <v>61</v>
      </c>
      <c r="AB107" s="20" t="s">
        <v>96</v>
      </c>
      <c r="AC107" s="28">
        <v>369.83</v>
      </c>
      <c r="AD107" s="28">
        <f>SUM(BASE[[#This Row],[MONTO DE RENTA ]]*1.16)</f>
        <v>429.00279999999998</v>
      </c>
      <c r="AE107" s="28" t="s">
        <v>63</v>
      </c>
      <c r="AF107" s="28">
        <v>369.82758620689657</v>
      </c>
      <c r="AG107" s="28">
        <v>429</v>
      </c>
      <c r="AH107" s="22" t="s">
        <v>64</v>
      </c>
      <c r="AI107" s="63">
        <v>45703</v>
      </c>
      <c r="AJ107" s="63">
        <v>46433</v>
      </c>
      <c r="AK1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7" s="20"/>
      <c r="AM107" s="30"/>
      <c r="AN107" s="20" t="s">
        <v>65</v>
      </c>
      <c r="AO107" s="20" t="s">
        <v>169</v>
      </c>
      <c r="AP107" s="20" t="s">
        <v>84</v>
      </c>
      <c r="AQ107" s="20" t="s">
        <v>100</v>
      </c>
    </row>
    <row r="108" spans="1:43" ht="16">
      <c r="A108" s="20">
        <v>8134034174</v>
      </c>
      <c r="B108" s="21">
        <v>1007315</v>
      </c>
      <c r="C108" s="20" t="s">
        <v>740</v>
      </c>
      <c r="D108" s="20" t="s">
        <v>741</v>
      </c>
      <c r="E108" s="20" t="s">
        <v>742</v>
      </c>
      <c r="F108" s="20" t="s">
        <v>704</v>
      </c>
      <c r="G108" s="20" t="s">
        <v>704</v>
      </c>
      <c r="H108" s="20" t="s">
        <v>48</v>
      </c>
      <c r="I108" s="20" t="s">
        <v>704</v>
      </c>
      <c r="J108" s="37" t="s">
        <v>743</v>
      </c>
      <c r="K108" s="37" t="s">
        <v>744</v>
      </c>
      <c r="L108" s="23" t="s">
        <v>745</v>
      </c>
      <c r="M108" s="24" t="s">
        <v>7747</v>
      </c>
      <c r="N108" s="23">
        <v>11180000</v>
      </c>
      <c r="O108" s="25" t="s">
        <v>74</v>
      </c>
      <c r="P108" s="25" t="s">
        <v>53</v>
      </c>
      <c r="Q108" s="20" t="s">
        <v>746</v>
      </c>
      <c r="R108" s="20">
        <v>43141287</v>
      </c>
      <c r="S108" s="25" t="s">
        <v>747</v>
      </c>
      <c r="T108" s="26" t="s">
        <v>57</v>
      </c>
      <c r="U108" s="23">
        <v>860900062319579</v>
      </c>
      <c r="V108" s="27" t="s">
        <v>57</v>
      </c>
      <c r="W108" s="20" t="s">
        <v>58</v>
      </c>
      <c r="X108" s="20" t="s">
        <v>59</v>
      </c>
      <c r="Y108" s="20" t="s">
        <v>59</v>
      </c>
      <c r="Z108" s="20" t="s">
        <v>60</v>
      </c>
      <c r="AA108" s="20" t="s">
        <v>61</v>
      </c>
      <c r="AB108" s="20" t="s">
        <v>96</v>
      </c>
      <c r="AC108" s="28">
        <v>369.83</v>
      </c>
      <c r="AD108" s="28">
        <f>SUM(BASE[[#This Row],[MONTO DE RENTA ]]*1.16)</f>
        <v>429.00279999999998</v>
      </c>
      <c r="AE108" s="28" t="s">
        <v>63</v>
      </c>
      <c r="AF108" s="28">
        <v>369.82758620689657</v>
      </c>
      <c r="AG108" s="28">
        <v>429</v>
      </c>
      <c r="AH108" s="22" t="s">
        <v>64</v>
      </c>
      <c r="AI108" s="63">
        <v>45703</v>
      </c>
      <c r="AJ108" s="63">
        <v>46433</v>
      </c>
      <c r="AK1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" s="30"/>
      <c r="AN108" s="20" t="s">
        <v>65</v>
      </c>
      <c r="AP108" s="20" t="s">
        <v>84</v>
      </c>
    </row>
    <row r="109" spans="1:43" ht="16">
      <c r="A109" s="20">
        <v>8128652169</v>
      </c>
      <c r="B109" s="49">
        <v>1055487</v>
      </c>
      <c r="C109" s="20" t="s">
        <v>748</v>
      </c>
      <c r="D109" s="20" t="s">
        <v>749</v>
      </c>
      <c r="E109" s="20" t="s">
        <v>657</v>
      </c>
      <c r="F109" s="20" t="s">
        <v>750</v>
      </c>
      <c r="G109" s="20" t="s">
        <v>47</v>
      </c>
      <c r="H109" s="20" t="s">
        <v>48</v>
      </c>
      <c r="I109" s="20" t="s">
        <v>750</v>
      </c>
      <c r="J109" s="54" t="s">
        <v>751</v>
      </c>
      <c r="K109" s="54" t="s">
        <v>751</v>
      </c>
      <c r="L109" s="23" t="s">
        <v>752</v>
      </c>
      <c r="M109" s="24" t="s">
        <v>7749</v>
      </c>
      <c r="N109" s="23">
        <v>11306000</v>
      </c>
      <c r="O109" s="25" t="s">
        <v>74</v>
      </c>
      <c r="P109" s="25" t="s">
        <v>53</v>
      </c>
      <c r="Q109" s="20" t="s">
        <v>753</v>
      </c>
      <c r="R109" s="20">
        <v>43514486</v>
      </c>
      <c r="S109" s="25" t="s">
        <v>754</v>
      </c>
      <c r="T109" s="44" t="s">
        <v>57</v>
      </c>
      <c r="U109" s="23">
        <v>860900062334917</v>
      </c>
      <c r="V109" s="27" t="s">
        <v>57</v>
      </c>
      <c r="W109" s="20" t="s">
        <v>58</v>
      </c>
      <c r="X109" s="20" t="s">
        <v>59</v>
      </c>
      <c r="Y109" s="20" t="s">
        <v>59</v>
      </c>
      <c r="Z109" s="20" t="s">
        <v>167</v>
      </c>
      <c r="AA109" s="20" t="s">
        <v>168</v>
      </c>
      <c r="AB109" s="20" t="s">
        <v>96</v>
      </c>
      <c r="AC109" s="28">
        <v>369.83</v>
      </c>
      <c r="AD109" s="28">
        <f>SUM(BASE[[#This Row],[MONTO DE RENTA ]]*1.16)</f>
        <v>429.00279999999998</v>
      </c>
      <c r="AE109" s="28" t="s">
        <v>63</v>
      </c>
      <c r="AF109" s="28">
        <v>369.82758620689657</v>
      </c>
      <c r="AG109" s="28">
        <v>429</v>
      </c>
      <c r="AH109" s="22" t="s">
        <v>116</v>
      </c>
      <c r="AI109" s="63">
        <v>45875</v>
      </c>
      <c r="AJ109" s="63">
        <v>46605</v>
      </c>
      <c r="AK109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09" s="24" t="e">
        <v>#REF!</v>
      </c>
      <c r="AM109" s="30"/>
      <c r="AN109" s="20" t="s">
        <v>65</v>
      </c>
      <c r="AO109" s="20" t="s">
        <v>141</v>
      </c>
      <c r="AP109" s="20" t="s">
        <v>84</v>
      </c>
      <c r="AQ109" s="20" t="s">
        <v>100</v>
      </c>
    </row>
    <row r="110" spans="1:43" ht="16">
      <c r="A110" s="20">
        <v>8180216762</v>
      </c>
      <c r="B110" s="106">
        <v>1079792</v>
      </c>
      <c r="C110" s="20" t="s">
        <v>755</v>
      </c>
      <c r="D110" s="20" t="s">
        <v>756</v>
      </c>
      <c r="E110" s="20" t="s">
        <v>358</v>
      </c>
      <c r="F110" s="20" t="s">
        <v>757</v>
      </c>
      <c r="G110" s="20" t="s">
        <v>757</v>
      </c>
      <c r="H110" s="20" t="s">
        <v>48</v>
      </c>
      <c r="I110" s="20" t="s">
        <v>757</v>
      </c>
      <c r="J110" s="20" t="s">
        <v>758</v>
      </c>
      <c r="K110" s="20" t="s">
        <v>758</v>
      </c>
      <c r="L110" s="23" t="s">
        <v>752</v>
      </c>
      <c r="M110" s="24" t="s">
        <v>7749</v>
      </c>
      <c r="N110" s="23">
        <v>11306000</v>
      </c>
      <c r="O110" s="25" t="s">
        <v>74</v>
      </c>
      <c r="P110" s="25" t="s">
        <v>53</v>
      </c>
      <c r="Q110" s="20" t="s">
        <v>759</v>
      </c>
      <c r="R110" s="20">
        <v>45522064</v>
      </c>
      <c r="S110" s="25" t="s">
        <v>55</v>
      </c>
      <c r="T110" s="44" t="s">
        <v>56</v>
      </c>
      <c r="U110" s="23">
        <v>860900062742416</v>
      </c>
      <c r="V110" s="27" t="s">
        <v>183</v>
      </c>
      <c r="W110" s="20" t="s">
        <v>58</v>
      </c>
      <c r="X110" s="20" t="s">
        <v>59</v>
      </c>
      <c r="Y110" s="20" t="s">
        <v>59</v>
      </c>
      <c r="Z110" s="20" t="s">
        <v>113</v>
      </c>
      <c r="AA110" s="20" t="s">
        <v>114</v>
      </c>
      <c r="AB110" s="20" t="s">
        <v>244</v>
      </c>
      <c r="AC110" s="28">
        <v>473.28</v>
      </c>
      <c r="AD110" s="28">
        <f>SUM(BASE[[#This Row],[MONTO DE RENTA ]]*1.16)</f>
        <v>549.00479999999993</v>
      </c>
      <c r="AE110" s="28" t="s">
        <v>63</v>
      </c>
      <c r="AF110" s="28">
        <v>369.82758620689657</v>
      </c>
      <c r="AG110" s="28">
        <v>429</v>
      </c>
      <c r="AH110" s="22" t="s">
        <v>116</v>
      </c>
      <c r="AI110" s="63">
        <v>45855</v>
      </c>
      <c r="AJ110" s="63">
        <v>46753</v>
      </c>
      <c r="AK110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10" s="20">
        <v>11306000</v>
      </c>
      <c r="AM110" s="30"/>
      <c r="AN110" s="20" t="s">
        <v>65</v>
      </c>
      <c r="AP110" s="20" t="s">
        <v>118</v>
      </c>
    </row>
    <row r="111" spans="1:43" ht="16">
      <c r="A111" s="20">
        <v>8118202696</v>
      </c>
      <c r="B111" s="49">
        <v>1004427</v>
      </c>
      <c r="C111" s="20" t="s">
        <v>760</v>
      </c>
      <c r="D111" s="20" t="s">
        <v>171</v>
      </c>
      <c r="E111" s="20" t="s">
        <v>347</v>
      </c>
      <c r="F111" s="20" t="s">
        <v>761</v>
      </c>
      <c r="G111" s="20" t="s">
        <v>761</v>
      </c>
      <c r="H111" s="20" t="s">
        <v>48</v>
      </c>
      <c r="I111" s="20" t="s">
        <v>761</v>
      </c>
      <c r="J111" s="22" t="s">
        <v>762</v>
      </c>
      <c r="K111" s="22" t="s">
        <v>762</v>
      </c>
      <c r="L111" s="23" t="s">
        <v>752</v>
      </c>
      <c r="M111" s="24" t="s">
        <v>7749</v>
      </c>
      <c r="N111" s="23">
        <v>11306000</v>
      </c>
      <c r="O111" s="25" t="s">
        <v>74</v>
      </c>
      <c r="P111" s="25" t="s">
        <v>53</v>
      </c>
      <c r="Q111" s="20" t="s">
        <v>763</v>
      </c>
      <c r="R111" s="20">
        <v>45522048</v>
      </c>
      <c r="S111" s="25" t="s">
        <v>55</v>
      </c>
      <c r="T111" s="44" t="s">
        <v>56</v>
      </c>
      <c r="U111" s="23">
        <v>860900062319470</v>
      </c>
      <c r="V111" s="27" t="s">
        <v>183</v>
      </c>
      <c r="W111" s="20" t="s">
        <v>58</v>
      </c>
      <c r="X111" s="20" t="s">
        <v>59</v>
      </c>
      <c r="Y111" s="20" t="s">
        <v>59</v>
      </c>
      <c r="Z111" s="20" t="s">
        <v>113</v>
      </c>
      <c r="AA111" s="20" t="s">
        <v>114</v>
      </c>
      <c r="AB111" s="20" t="s">
        <v>244</v>
      </c>
      <c r="AC111" s="28">
        <v>473.28</v>
      </c>
      <c r="AD111" s="28">
        <f>SUM(BASE[[#This Row],[MONTO DE RENTA ]]*1.16)</f>
        <v>549.00479999999993</v>
      </c>
      <c r="AE111" s="28" t="s">
        <v>63</v>
      </c>
      <c r="AF111" s="28">
        <v>369.82758620689657</v>
      </c>
      <c r="AG111" s="28">
        <v>429</v>
      </c>
      <c r="AH111" s="22" t="s">
        <v>116</v>
      </c>
      <c r="AI111" s="63">
        <v>45855</v>
      </c>
      <c r="AJ111" s="63">
        <v>46585</v>
      </c>
      <c r="AK111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11" s="20" t="s">
        <v>117</v>
      </c>
      <c r="AM111" s="30"/>
      <c r="AN111" s="20" t="s">
        <v>65</v>
      </c>
      <c r="AP111" s="20" t="s">
        <v>118</v>
      </c>
    </row>
    <row r="112" spans="1:43" ht="16">
      <c r="A112" s="20">
        <v>8118202021</v>
      </c>
      <c r="B112" s="49">
        <v>1051530</v>
      </c>
      <c r="C112" s="20" t="s">
        <v>764</v>
      </c>
      <c r="D112" s="20" t="s">
        <v>765</v>
      </c>
      <c r="E112" s="20" t="s">
        <v>171</v>
      </c>
      <c r="F112" s="20" t="s">
        <v>766</v>
      </c>
      <c r="G112" s="20" t="s">
        <v>766</v>
      </c>
      <c r="H112" s="20" t="s">
        <v>48</v>
      </c>
      <c r="I112" s="20" t="s">
        <v>766</v>
      </c>
      <c r="J112" s="22" t="s">
        <v>767</v>
      </c>
      <c r="K112" s="22" t="s">
        <v>767</v>
      </c>
      <c r="L112" s="23" t="s">
        <v>752</v>
      </c>
      <c r="M112" s="24" t="s">
        <v>7749</v>
      </c>
      <c r="N112" s="23">
        <v>11306000</v>
      </c>
      <c r="O112" s="25" t="s">
        <v>74</v>
      </c>
      <c r="P112" s="25" t="s">
        <v>53</v>
      </c>
      <c r="Q112" s="20" t="s">
        <v>768</v>
      </c>
      <c r="R112" s="20">
        <v>45522054</v>
      </c>
      <c r="S112" s="25" t="s">
        <v>55</v>
      </c>
      <c r="T112" s="44" t="s">
        <v>56</v>
      </c>
      <c r="U112" s="23">
        <v>860900062338231</v>
      </c>
      <c r="V112" s="27" t="s">
        <v>183</v>
      </c>
      <c r="W112" s="20" t="s">
        <v>58</v>
      </c>
      <c r="X112" s="20" t="s">
        <v>59</v>
      </c>
      <c r="Y112" s="20" t="s">
        <v>59</v>
      </c>
      <c r="Z112" s="20" t="s">
        <v>113</v>
      </c>
      <c r="AA112" s="20" t="s">
        <v>114</v>
      </c>
      <c r="AB112" s="20" t="s">
        <v>244</v>
      </c>
      <c r="AC112" s="28">
        <v>473.28</v>
      </c>
      <c r="AD112" s="28">
        <f>SUM(BASE[[#This Row],[MONTO DE RENTA ]]*1.16)</f>
        <v>549.00479999999993</v>
      </c>
      <c r="AE112" s="28" t="s">
        <v>63</v>
      </c>
      <c r="AF112" s="28">
        <v>369.82758620689657</v>
      </c>
      <c r="AG112" s="28">
        <v>429</v>
      </c>
      <c r="AH112" s="22" t="s">
        <v>116</v>
      </c>
      <c r="AI112" s="63">
        <v>45855</v>
      </c>
      <c r="AJ112" s="63">
        <v>46585</v>
      </c>
      <c r="AK112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12" s="20" t="s">
        <v>117</v>
      </c>
      <c r="AM112" s="30"/>
      <c r="AN112" s="20" t="s">
        <v>65</v>
      </c>
      <c r="AP112" s="20" t="s">
        <v>118</v>
      </c>
    </row>
    <row r="113" spans="1:43" ht="16">
      <c r="A113" s="20">
        <v>8118200116</v>
      </c>
      <c r="B113" s="49">
        <v>1079537</v>
      </c>
      <c r="C113" s="20" t="s">
        <v>769</v>
      </c>
      <c r="D113" s="20" t="s">
        <v>770</v>
      </c>
      <c r="E113" s="20" t="s">
        <v>771</v>
      </c>
      <c r="F113" s="20" t="s">
        <v>772</v>
      </c>
      <c r="G113" s="20" t="s">
        <v>772</v>
      </c>
      <c r="H113" s="20" t="s">
        <v>48</v>
      </c>
      <c r="I113" s="20" t="s">
        <v>772</v>
      </c>
      <c r="J113" s="107" t="s">
        <v>773</v>
      </c>
      <c r="K113" s="22" t="s">
        <v>773</v>
      </c>
      <c r="L113" s="23" t="s">
        <v>752</v>
      </c>
      <c r="M113" s="24" t="s">
        <v>7749</v>
      </c>
      <c r="N113" s="23">
        <v>11306000</v>
      </c>
      <c r="O113" s="25" t="s">
        <v>74</v>
      </c>
      <c r="P113" s="25" t="s">
        <v>53</v>
      </c>
      <c r="Q113" s="20" t="s">
        <v>774</v>
      </c>
      <c r="R113" s="20">
        <v>45522061</v>
      </c>
      <c r="S113" s="25" t="s">
        <v>55</v>
      </c>
      <c r="T113" s="44" t="s">
        <v>56</v>
      </c>
      <c r="U113" s="23">
        <v>860900062334867</v>
      </c>
      <c r="V113" s="27" t="s">
        <v>183</v>
      </c>
      <c r="W113" s="20" t="s">
        <v>58</v>
      </c>
      <c r="X113" s="20" t="s">
        <v>59</v>
      </c>
      <c r="Y113" s="20" t="s">
        <v>59</v>
      </c>
      <c r="Z113" s="20" t="s">
        <v>113</v>
      </c>
      <c r="AA113" s="20" t="s">
        <v>114</v>
      </c>
      <c r="AB113" s="20" t="s">
        <v>244</v>
      </c>
      <c r="AC113" s="28">
        <v>473.28</v>
      </c>
      <c r="AD113" s="28">
        <f>SUM(BASE[[#This Row],[MONTO DE RENTA ]]*1.16)</f>
        <v>549.00479999999993</v>
      </c>
      <c r="AE113" s="28" t="s">
        <v>63</v>
      </c>
      <c r="AF113" s="28">
        <v>369.82758620689657</v>
      </c>
      <c r="AG113" s="28">
        <v>429</v>
      </c>
      <c r="AH113" s="22" t="s">
        <v>116</v>
      </c>
      <c r="AI113" s="63">
        <v>45855</v>
      </c>
      <c r="AJ113" s="63">
        <v>46585</v>
      </c>
      <c r="AK113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13" s="20" t="s">
        <v>775</v>
      </c>
      <c r="AM113" s="30"/>
      <c r="AN113" s="20" t="s">
        <v>65</v>
      </c>
      <c r="AP113" s="20" t="s">
        <v>118</v>
      </c>
    </row>
    <row r="114" spans="1:43" ht="16">
      <c r="A114" s="20">
        <v>8118202275</v>
      </c>
      <c r="B114" s="49">
        <v>1041691</v>
      </c>
      <c r="C114" s="20" t="s">
        <v>776</v>
      </c>
      <c r="D114" s="20" t="s">
        <v>777</v>
      </c>
      <c r="E114" s="20" t="s">
        <v>778</v>
      </c>
      <c r="F114" s="20" t="s">
        <v>779</v>
      </c>
      <c r="G114" s="20" t="s">
        <v>779</v>
      </c>
      <c r="H114" s="20" t="s">
        <v>48</v>
      </c>
      <c r="I114" s="20" t="s">
        <v>779</v>
      </c>
      <c r="J114" s="22" t="s">
        <v>780</v>
      </c>
      <c r="K114" s="22" t="s">
        <v>780</v>
      </c>
      <c r="L114" s="23" t="s">
        <v>752</v>
      </c>
      <c r="M114" s="24" t="s">
        <v>7749</v>
      </c>
      <c r="N114" s="23">
        <v>11306000</v>
      </c>
      <c r="O114" s="25" t="s">
        <v>74</v>
      </c>
      <c r="P114" s="25" t="s">
        <v>53</v>
      </c>
      <c r="Q114" s="20" t="s">
        <v>781</v>
      </c>
      <c r="R114" s="20">
        <v>45522053</v>
      </c>
      <c r="S114" s="25" t="s">
        <v>55</v>
      </c>
      <c r="T114" s="44" t="s">
        <v>56</v>
      </c>
      <c r="U114" s="23">
        <v>860900062336839</v>
      </c>
      <c r="V114" s="27" t="s">
        <v>183</v>
      </c>
      <c r="W114" s="20" t="s">
        <v>58</v>
      </c>
      <c r="X114" s="20" t="s">
        <v>59</v>
      </c>
      <c r="Y114" s="20" t="s">
        <v>59</v>
      </c>
      <c r="Z114" s="20" t="s">
        <v>113</v>
      </c>
      <c r="AA114" s="20" t="s">
        <v>114</v>
      </c>
      <c r="AB114" s="20" t="s">
        <v>244</v>
      </c>
      <c r="AC114" s="28">
        <v>473.28</v>
      </c>
      <c r="AD114" s="28">
        <f>SUM(BASE[[#This Row],[MONTO DE RENTA ]]*1.16)</f>
        <v>549.00479999999993</v>
      </c>
      <c r="AE114" s="28" t="s">
        <v>63</v>
      </c>
      <c r="AF114" s="28">
        <v>369.82758620689657</v>
      </c>
      <c r="AG114" s="28">
        <v>429</v>
      </c>
      <c r="AH114" s="22" t="s">
        <v>116</v>
      </c>
      <c r="AI114" s="63">
        <v>45855</v>
      </c>
      <c r="AJ114" s="63">
        <v>46753</v>
      </c>
      <c r="AK114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14" s="20" t="s">
        <v>775</v>
      </c>
      <c r="AM114" s="30"/>
      <c r="AN114" s="20" t="s">
        <v>65</v>
      </c>
      <c r="AP114" s="20" t="s">
        <v>118</v>
      </c>
    </row>
    <row r="115" spans="1:43" ht="16">
      <c r="A115" s="34">
        <v>8118200042</v>
      </c>
      <c r="B115" s="108">
        <v>997570</v>
      </c>
      <c r="C115" s="34" t="s">
        <v>782</v>
      </c>
      <c r="D115" s="34" t="s">
        <v>255</v>
      </c>
      <c r="E115" s="34" t="s">
        <v>143</v>
      </c>
      <c r="F115" s="34" t="s">
        <v>750</v>
      </c>
      <c r="G115" s="20" t="s">
        <v>750</v>
      </c>
      <c r="H115" s="34" t="s">
        <v>48</v>
      </c>
      <c r="I115" s="34" t="s">
        <v>750</v>
      </c>
      <c r="J115" s="109" t="s">
        <v>780</v>
      </c>
      <c r="K115" s="109" t="s">
        <v>780</v>
      </c>
      <c r="L115" s="23" t="s">
        <v>752</v>
      </c>
      <c r="M115" s="77" t="s">
        <v>7749</v>
      </c>
      <c r="N115" s="38">
        <v>11306000</v>
      </c>
      <c r="O115" s="110" t="s">
        <v>74</v>
      </c>
      <c r="P115" s="25" t="s">
        <v>53</v>
      </c>
      <c r="Q115" s="34" t="s">
        <v>783</v>
      </c>
      <c r="R115" s="34">
        <v>45522062</v>
      </c>
      <c r="S115" s="110" t="s">
        <v>55</v>
      </c>
      <c r="T115" s="39" t="s">
        <v>56</v>
      </c>
      <c r="U115" s="38">
        <v>860900062336839</v>
      </c>
      <c r="V115" s="60" t="s">
        <v>183</v>
      </c>
      <c r="W115" s="34" t="s">
        <v>58</v>
      </c>
      <c r="X115" s="20" t="s">
        <v>59</v>
      </c>
      <c r="Y115" s="20" t="s">
        <v>59</v>
      </c>
      <c r="Z115" s="34" t="s">
        <v>113</v>
      </c>
      <c r="AA115" s="34" t="s">
        <v>114</v>
      </c>
      <c r="AB115" s="34" t="s">
        <v>244</v>
      </c>
      <c r="AC115" s="111">
        <v>473.28</v>
      </c>
      <c r="AD115" s="111">
        <f>SUM(BASE[[#This Row],[MONTO DE RENTA ]]*1.16)</f>
        <v>549.00479999999993</v>
      </c>
      <c r="AE115" s="28" t="s">
        <v>63</v>
      </c>
      <c r="AF115" s="28">
        <v>369.82758620689657</v>
      </c>
      <c r="AG115" s="111">
        <v>429</v>
      </c>
      <c r="AH115" s="36" t="s">
        <v>116</v>
      </c>
      <c r="AI115" s="84">
        <v>45911</v>
      </c>
      <c r="AJ115" s="112">
        <v>46773</v>
      </c>
      <c r="AK115" s="42">
        <f ca="1">IFERROR(IF(BASE[[#This Row],[FECHA DE RENOVACION ]]&gt;TODAY(), DATEDIF(TODAY(),BASE[[#This Row],[FECHA DE RENOVACION ]],"M"), -DATEDIF(BASE[[#This Row],[FECHA DE RENOVACION ]],TODAY(),"M")), "Sin fecha")</f>
        <v>22</v>
      </c>
      <c r="AL115" s="34"/>
      <c r="AM115" s="42" t="s">
        <v>784</v>
      </c>
      <c r="AN115" s="20" t="s">
        <v>65</v>
      </c>
      <c r="AP115" s="20" t="s">
        <v>118</v>
      </c>
    </row>
    <row r="116" spans="1:43" ht="16">
      <c r="A116" s="20">
        <v>3316057969</v>
      </c>
      <c r="B116" s="49">
        <v>1041222</v>
      </c>
      <c r="C116" s="20" t="s">
        <v>785</v>
      </c>
      <c r="D116" s="20" t="s">
        <v>786</v>
      </c>
      <c r="E116" s="20" t="s">
        <v>376</v>
      </c>
      <c r="F116" s="20" t="s">
        <v>723</v>
      </c>
      <c r="G116" s="20" t="s">
        <v>47</v>
      </c>
      <c r="H116" s="20" t="s">
        <v>48</v>
      </c>
      <c r="I116" s="20" t="s">
        <v>723</v>
      </c>
      <c r="J116" s="22" t="s">
        <v>787</v>
      </c>
      <c r="K116" s="22" t="s">
        <v>787</v>
      </c>
      <c r="L116" s="23" t="s">
        <v>788</v>
      </c>
      <c r="M116" s="24" t="s">
        <v>7748</v>
      </c>
      <c r="N116" s="23">
        <v>11312000</v>
      </c>
      <c r="O116" s="25" t="s">
        <v>677</v>
      </c>
      <c r="P116" s="25" t="s">
        <v>53</v>
      </c>
      <c r="Q116" s="20" t="s">
        <v>789</v>
      </c>
      <c r="R116" s="20">
        <v>55147919</v>
      </c>
      <c r="S116" s="25" t="s">
        <v>55</v>
      </c>
      <c r="T116" s="26" t="s">
        <v>56</v>
      </c>
      <c r="U116" s="23">
        <v>865356065729410</v>
      </c>
      <c r="V116" s="27" t="s">
        <v>183</v>
      </c>
      <c r="W116" s="20" t="s">
        <v>129</v>
      </c>
      <c r="X116" s="20" t="s">
        <v>130</v>
      </c>
      <c r="Y116" s="20" t="s">
        <v>130</v>
      </c>
      <c r="Z116" s="20" t="s">
        <v>60</v>
      </c>
      <c r="AA116" s="20" t="s">
        <v>61</v>
      </c>
      <c r="AB116" s="20" t="s">
        <v>96</v>
      </c>
      <c r="AC116" s="28">
        <v>369.83</v>
      </c>
      <c r="AD116" s="28">
        <f>SUM(BASE[[#This Row],[MONTO DE RENTA ]]*1.16)</f>
        <v>429.00279999999998</v>
      </c>
      <c r="AE116" s="28" t="s">
        <v>63</v>
      </c>
      <c r="AF116" s="28">
        <v>369.82758620689657</v>
      </c>
      <c r="AG116" s="28">
        <v>429</v>
      </c>
      <c r="AI116" s="63">
        <v>44937</v>
      </c>
      <c r="AJ116" s="73">
        <v>46043</v>
      </c>
      <c r="AK11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" s="30"/>
      <c r="AN116" s="20" t="s">
        <v>99</v>
      </c>
      <c r="AP116" s="20" t="s">
        <v>84</v>
      </c>
      <c r="AQ116" s="20" t="s">
        <v>100</v>
      </c>
    </row>
    <row r="117" spans="1:43" ht="16">
      <c r="A117" s="20">
        <v>3339030269</v>
      </c>
      <c r="B117" s="113">
        <v>1042029</v>
      </c>
      <c r="C117" s="20" t="s">
        <v>415</v>
      </c>
      <c r="D117" s="20" t="s">
        <v>477</v>
      </c>
      <c r="E117" s="20" t="s">
        <v>790</v>
      </c>
      <c r="F117" s="20" t="s">
        <v>791</v>
      </c>
      <c r="G117" s="20" t="s">
        <v>791</v>
      </c>
      <c r="H117" s="20" t="s">
        <v>48</v>
      </c>
      <c r="I117" s="20" t="s">
        <v>791</v>
      </c>
      <c r="J117" s="22" t="s">
        <v>792</v>
      </c>
      <c r="K117" s="22" t="s">
        <v>793</v>
      </c>
      <c r="L117" s="23" t="s">
        <v>788</v>
      </c>
      <c r="M117" s="24" t="s">
        <v>7748</v>
      </c>
      <c r="N117" s="23">
        <v>11312000</v>
      </c>
      <c r="O117" s="25" t="s">
        <v>677</v>
      </c>
      <c r="P117" s="25" t="s">
        <v>53</v>
      </c>
      <c r="Q117" s="20" t="s">
        <v>794</v>
      </c>
      <c r="R117" s="20">
        <v>55232513</v>
      </c>
      <c r="S117" s="25" t="s">
        <v>795</v>
      </c>
      <c r="T117" s="26" t="s">
        <v>57</v>
      </c>
      <c r="U117" s="23">
        <v>865356065730343</v>
      </c>
      <c r="V117" s="27" t="s">
        <v>183</v>
      </c>
      <c r="W117" s="20" t="s">
        <v>129</v>
      </c>
      <c r="X117" s="20" t="s">
        <v>130</v>
      </c>
      <c r="Y117" s="20" t="s">
        <v>130</v>
      </c>
      <c r="Z117" s="20" t="s">
        <v>60</v>
      </c>
      <c r="AA117" s="20" t="s">
        <v>61</v>
      </c>
      <c r="AB117" s="20" t="s">
        <v>96</v>
      </c>
      <c r="AC117" s="28">
        <v>369.83</v>
      </c>
      <c r="AD117" s="28">
        <f>SUM(BASE[[#This Row],[MONTO DE RENTA ]]*1.16)</f>
        <v>429.00279999999998</v>
      </c>
      <c r="AE117" s="28" t="s">
        <v>63</v>
      </c>
      <c r="AF117" s="28">
        <v>369.82758620689657</v>
      </c>
      <c r="AG117" s="28">
        <v>429</v>
      </c>
      <c r="AI117" s="63">
        <v>44937</v>
      </c>
      <c r="AJ117" s="84">
        <v>46054</v>
      </c>
      <c r="AK11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7" s="30"/>
      <c r="AN117" s="20" t="s">
        <v>99</v>
      </c>
      <c r="AP117" s="20" t="s">
        <v>84</v>
      </c>
      <c r="AQ117" s="20" t="s">
        <v>100</v>
      </c>
    </row>
    <row r="118" spans="1:43" ht="16">
      <c r="A118" s="20">
        <v>3318257321</v>
      </c>
      <c r="B118" s="49">
        <v>1040237</v>
      </c>
      <c r="C118" s="20" t="s">
        <v>796</v>
      </c>
      <c r="D118" s="20" t="s">
        <v>797</v>
      </c>
      <c r="E118" s="20" t="s">
        <v>476</v>
      </c>
      <c r="F118" s="20" t="s">
        <v>798</v>
      </c>
      <c r="G118" s="20" t="s">
        <v>798</v>
      </c>
      <c r="H118" s="20" t="s">
        <v>48</v>
      </c>
      <c r="I118" s="20" t="s">
        <v>798</v>
      </c>
      <c r="J118" s="22" t="s">
        <v>799</v>
      </c>
      <c r="K118" s="22" t="s">
        <v>799</v>
      </c>
      <c r="L118" s="23" t="s">
        <v>788</v>
      </c>
      <c r="M118" s="24" t="s">
        <v>7748</v>
      </c>
      <c r="N118" s="23">
        <v>11319000</v>
      </c>
      <c r="O118" s="25" t="s">
        <v>677</v>
      </c>
      <c r="P118" s="25" t="s">
        <v>53</v>
      </c>
      <c r="Q118" s="20" t="s">
        <v>800</v>
      </c>
      <c r="R118" s="20">
        <v>55135947</v>
      </c>
      <c r="S118" s="25" t="s">
        <v>55</v>
      </c>
      <c r="T118" s="26" t="s">
        <v>56</v>
      </c>
      <c r="U118" s="23">
        <v>865356065672867</v>
      </c>
      <c r="V118" s="27" t="s">
        <v>183</v>
      </c>
      <c r="W118" s="20" t="s">
        <v>129</v>
      </c>
      <c r="X118" s="20" t="s">
        <v>130</v>
      </c>
      <c r="Y118" s="20" t="s">
        <v>130</v>
      </c>
      <c r="Z118" s="20" t="s">
        <v>60</v>
      </c>
      <c r="AA118" s="20" t="s">
        <v>61</v>
      </c>
      <c r="AB118" s="20" t="s">
        <v>96</v>
      </c>
      <c r="AC118" s="28">
        <v>369.83</v>
      </c>
      <c r="AD118" s="28">
        <f>SUM(BASE[[#This Row],[MONTO DE RENTA ]]*1.16)</f>
        <v>429.00279999999998</v>
      </c>
      <c r="AE118" s="28" t="s">
        <v>63</v>
      </c>
      <c r="AF118" s="28">
        <v>369.82758620689657</v>
      </c>
      <c r="AG118" s="28">
        <v>429</v>
      </c>
      <c r="AI118" s="63">
        <v>44937</v>
      </c>
      <c r="AJ118" s="73">
        <v>46043</v>
      </c>
      <c r="AK1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8" s="30"/>
      <c r="AN118" s="20" t="s">
        <v>99</v>
      </c>
      <c r="AP118" s="20" t="s">
        <v>84</v>
      </c>
      <c r="AQ118" s="20" t="s">
        <v>100</v>
      </c>
    </row>
    <row r="119" spans="1:43" ht="16">
      <c r="A119" s="20">
        <v>3331564097</v>
      </c>
      <c r="B119" s="49">
        <v>420311</v>
      </c>
      <c r="C119" s="20" t="s">
        <v>740</v>
      </c>
      <c r="D119" s="20" t="s">
        <v>187</v>
      </c>
      <c r="E119" s="20" t="s">
        <v>801</v>
      </c>
      <c r="F119" s="20" t="s">
        <v>723</v>
      </c>
      <c r="G119" s="20" t="s">
        <v>723</v>
      </c>
      <c r="H119" s="20" t="s">
        <v>48</v>
      </c>
      <c r="I119" s="20" t="s">
        <v>723</v>
      </c>
      <c r="J119" s="22" t="s">
        <v>802</v>
      </c>
      <c r="K119" s="22" t="s">
        <v>802</v>
      </c>
      <c r="L119" s="23" t="s">
        <v>788</v>
      </c>
      <c r="M119" s="24" t="s">
        <v>7748</v>
      </c>
      <c r="N119" s="23">
        <v>11312000</v>
      </c>
      <c r="O119" s="25" t="s">
        <v>677</v>
      </c>
      <c r="P119" s="25" t="s">
        <v>53</v>
      </c>
      <c r="Q119" s="20" t="s">
        <v>803</v>
      </c>
      <c r="R119" s="20">
        <v>55141301</v>
      </c>
      <c r="S119" s="25" t="s">
        <v>55</v>
      </c>
      <c r="T119" s="26" t="s">
        <v>56</v>
      </c>
      <c r="U119" s="23">
        <v>860982060886379</v>
      </c>
      <c r="V119" s="27" t="s">
        <v>183</v>
      </c>
      <c r="W119" s="20" t="s">
        <v>129</v>
      </c>
      <c r="X119" s="20" t="s">
        <v>130</v>
      </c>
      <c r="Y119" s="20" t="s">
        <v>130</v>
      </c>
      <c r="Z119" s="20" t="s">
        <v>60</v>
      </c>
      <c r="AA119" s="20" t="s">
        <v>61</v>
      </c>
      <c r="AB119" s="20" t="s">
        <v>96</v>
      </c>
      <c r="AC119" s="28">
        <v>369.83</v>
      </c>
      <c r="AD119" s="28">
        <f>SUM(BASE[[#This Row],[MONTO DE RENTA ]]*1.16)</f>
        <v>429.00279999999998</v>
      </c>
      <c r="AE119" s="28" t="s">
        <v>63</v>
      </c>
      <c r="AF119" s="28">
        <v>369.82758620689657</v>
      </c>
      <c r="AG119" s="28">
        <v>429</v>
      </c>
      <c r="AI119" s="63">
        <v>44937</v>
      </c>
      <c r="AJ119" s="73">
        <v>46043</v>
      </c>
      <c r="AK1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9" s="30"/>
      <c r="AN119" s="20" t="s">
        <v>99</v>
      </c>
      <c r="AP119" s="20" t="s">
        <v>84</v>
      </c>
      <c r="AQ119" s="20" t="s">
        <v>100</v>
      </c>
    </row>
    <row r="120" spans="1:43" ht="16">
      <c r="A120" s="20">
        <v>3334404592</v>
      </c>
      <c r="B120" s="49">
        <v>1041222</v>
      </c>
      <c r="C120" s="20" t="s">
        <v>785</v>
      </c>
      <c r="D120" s="20" t="s">
        <v>786</v>
      </c>
      <c r="E120" s="20" t="s">
        <v>376</v>
      </c>
      <c r="F120" s="20" t="s">
        <v>723</v>
      </c>
      <c r="G120" s="20" t="s">
        <v>723</v>
      </c>
      <c r="H120" s="20" t="s">
        <v>48</v>
      </c>
      <c r="I120" s="20" t="s">
        <v>723</v>
      </c>
      <c r="J120" s="22" t="s">
        <v>804</v>
      </c>
      <c r="K120" s="22" t="s">
        <v>805</v>
      </c>
      <c r="L120" s="23" t="s">
        <v>788</v>
      </c>
      <c r="M120" s="24" t="s">
        <v>7748</v>
      </c>
      <c r="N120" s="23">
        <v>11312000</v>
      </c>
      <c r="O120" s="25" t="s">
        <v>677</v>
      </c>
      <c r="P120" s="25" t="s">
        <v>53</v>
      </c>
      <c r="Q120" s="20" t="s">
        <v>806</v>
      </c>
      <c r="R120" s="20">
        <v>55141307</v>
      </c>
      <c r="S120" s="25" t="s">
        <v>55</v>
      </c>
      <c r="T120" s="26" t="s">
        <v>56</v>
      </c>
      <c r="U120" s="23">
        <v>860982060888169</v>
      </c>
      <c r="V120" s="27" t="s">
        <v>183</v>
      </c>
      <c r="W120" s="20" t="s">
        <v>129</v>
      </c>
      <c r="X120" s="20" t="s">
        <v>130</v>
      </c>
      <c r="Y120" s="20" t="s">
        <v>130</v>
      </c>
      <c r="Z120" s="20" t="s">
        <v>60</v>
      </c>
      <c r="AA120" s="20" t="s">
        <v>61</v>
      </c>
      <c r="AB120" s="20" t="s">
        <v>96</v>
      </c>
      <c r="AC120" s="28">
        <v>369.83</v>
      </c>
      <c r="AD120" s="28">
        <f>SUM(BASE[[#This Row],[MONTO DE RENTA ]]*1.16)</f>
        <v>429.00279999999998</v>
      </c>
      <c r="AE120" s="28" t="s">
        <v>63</v>
      </c>
      <c r="AF120" s="28">
        <v>369.82758620689657</v>
      </c>
      <c r="AG120" s="28">
        <v>429</v>
      </c>
      <c r="AI120" s="63">
        <v>44937</v>
      </c>
      <c r="AJ120" s="73">
        <v>46043</v>
      </c>
      <c r="AK1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0" s="30"/>
      <c r="AN120" s="20" t="s">
        <v>99</v>
      </c>
      <c r="AP120" s="20" t="s">
        <v>84</v>
      </c>
      <c r="AQ120" s="20" t="s">
        <v>100</v>
      </c>
    </row>
    <row r="121" spans="1:43" ht="16">
      <c r="A121" s="20">
        <v>3318213457</v>
      </c>
      <c r="B121" s="49">
        <v>1055921</v>
      </c>
      <c r="C121" s="20" t="s">
        <v>733</v>
      </c>
      <c r="D121" s="20" t="s">
        <v>205</v>
      </c>
      <c r="E121" s="20" t="s">
        <v>807</v>
      </c>
      <c r="F121" s="20" t="s">
        <v>808</v>
      </c>
      <c r="G121" s="20" t="s">
        <v>808</v>
      </c>
      <c r="H121" s="20" t="s">
        <v>48</v>
      </c>
      <c r="I121" s="20" t="s">
        <v>808</v>
      </c>
      <c r="J121" s="22" t="s">
        <v>809</v>
      </c>
      <c r="K121" s="22" t="s">
        <v>809</v>
      </c>
      <c r="L121" s="23" t="s">
        <v>788</v>
      </c>
      <c r="M121" s="24" t="s">
        <v>7748</v>
      </c>
      <c r="N121" s="23">
        <v>11312000</v>
      </c>
      <c r="O121" s="25" t="s">
        <v>677</v>
      </c>
      <c r="P121" s="25" t="s">
        <v>53</v>
      </c>
      <c r="Q121" s="20" t="s">
        <v>810</v>
      </c>
      <c r="R121" s="20">
        <v>55135946</v>
      </c>
      <c r="S121" s="25" t="s">
        <v>55</v>
      </c>
      <c r="T121" s="26" t="s">
        <v>56</v>
      </c>
      <c r="U121" s="23">
        <v>865356065672057</v>
      </c>
      <c r="V121" s="27" t="s">
        <v>183</v>
      </c>
      <c r="W121" s="20" t="s">
        <v>129</v>
      </c>
      <c r="X121" s="20" t="s">
        <v>130</v>
      </c>
      <c r="Y121" s="20" t="s">
        <v>130</v>
      </c>
      <c r="Z121" s="20" t="s">
        <v>60</v>
      </c>
      <c r="AA121" s="20" t="s">
        <v>61</v>
      </c>
      <c r="AB121" s="20" t="s">
        <v>96</v>
      </c>
      <c r="AC121" s="28">
        <v>369.83</v>
      </c>
      <c r="AD121" s="28">
        <f>SUM(BASE[[#This Row],[MONTO DE RENTA ]]*1.16)</f>
        <v>429.00279999999998</v>
      </c>
      <c r="AE121" s="28" t="s">
        <v>63</v>
      </c>
      <c r="AF121" s="28">
        <v>369.82758620689657</v>
      </c>
      <c r="AG121" s="28">
        <v>429</v>
      </c>
      <c r="AI121" s="63">
        <v>44937</v>
      </c>
      <c r="AJ121" s="73">
        <v>46043</v>
      </c>
      <c r="AK12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1" s="30"/>
      <c r="AN121" s="20" t="s">
        <v>99</v>
      </c>
      <c r="AP121" s="20" t="s">
        <v>84</v>
      </c>
      <c r="AQ121" s="20" t="s">
        <v>100</v>
      </c>
    </row>
    <row r="122" spans="1:43" ht="16">
      <c r="A122" s="20">
        <v>3312559708</v>
      </c>
      <c r="B122" s="21">
        <v>1042171</v>
      </c>
      <c r="C122" s="20" t="s">
        <v>811</v>
      </c>
      <c r="D122" s="20" t="s">
        <v>593</v>
      </c>
      <c r="E122" s="20" t="s">
        <v>812</v>
      </c>
      <c r="F122" s="20" t="s">
        <v>736</v>
      </c>
      <c r="G122" s="20" t="s">
        <v>736</v>
      </c>
      <c r="H122" s="20" t="s">
        <v>48</v>
      </c>
      <c r="I122" s="20" t="s">
        <v>736</v>
      </c>
      <c r="J122" s="32" t="s">
        <v>813</v>
      </c>
      <c r="K122" s="32" t="s">
        <v>813</v>
      </c>
      <c r="L122" s="23" t="s">
        <v>788</v>
      </c>
      <c r="M122" s="24" t="s">
        <v>7748</v>
      </c>
      <c r="N122" s="23">
        <v>11312000</v>
      </c>
      <c r="O122" s="25" t="s">
        <v>677</v>
      </c>
      <c r="P122" s="25" t="s">
        <v>53</v>
      </c>
      <c r="Q122" s="20" t="s">
        <v>814</v>
      </c>
      <c r="R122" s="20">
        <v>55092667</v>
      </c>
      <c r="S122" s="25" t="s">
        <v>815</v>
      </c>
      <c r="T122" s="26" t="s">
        <v>57</v>
      </c>
      <c r="U122" s="23">
        <v>860900062322052</v>
      </c>
      <c r="V122" s="27" t="s">
        <v>57</v>
      </c>
      <c r="W122" s="20" t="s">
        <v>58</v>
      </c>
      <c r="X122" s="20" t="s">
        <v>59</v>
      </c>
      <c r="Y122" s="20" t="s">
        <v>59</v>
      </c>
      <c r="Z122" s="20" t="s">
        <v>60</v>
      </c>
      <c r="AA122" s="20" t="s">
        <v>61</v>
      </c>
      <c r="AB122" s="20" t="s">
        <v>96</v>
      </c>
      <c r="AC122" s="28">
        <v>369.83</v>
      </c>
      <c r="AD122" s="28">
        <f>SUM(BASE[[#This Row],[MONTO DE RENTA ]]*1.16)</f>
        <v>429.00279999999998</v>
      </c>
      <c r="AE122" s="28" t="s">
        <v>63</v>
      </c>
      <c r="AF122" s="28">
        <v>369.82758620689657</v>
      </c>
      <c r="AG122" s="28">
        <v>429</v>
      </c>
      <c r="AH122" s="22" t="s">
        <v>64</v>
      </c>
      <c r="AI122" s="63">
        <v>45703</v>
      </c>
      <c r="AJ122" s="63">
        <v>46433</v>
      </c>
      <c r="AK1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" s="30"/>
      <c r="AN122" s="20" t="s">
        <v>65</v>
      </c>
      <c r="AO122" s="20" t="s">
        <v>141</v>
      </c>
      <c r="AP122" s="20" t="s">
        <v>84</v>
      </c>
      <c r="AQ122" s="20" t="s">
        <v>100</v>
      </c>
    </row>
    <row r="123" spans="1:43" ht="16">
      <c r="A123" s="20">
        <v>3310048142</v>
      </c>
      <c r="B123" s="49">
        <v>1065272</v>
      </c>
      <c r="C123" s="20" t="s">
        <v>816</v>
      </c>
      <c r="D123" s="20" t="s">
        <v>817</v>
      </c>
      <c r="E123" s="20" t="s">
        <v>818</v>
      </c>
      <c r="F123" s="20" t="s">
        <v>819</v>
      </c>
      <c r="G123" s="20" t="s">
        <v>819</v>
      </c>
      <c r="H123" s="20" t="s">
        <v>48</v>
      </c>
      <c r="I123" s="20" t="s">
        <v>819</v>
      </c>
      <c r="J123" s="22" t="s">
        <v>820</v>
      </c>
      <c r="K123" s="22" t="s">
        <v>820</v>
      </c>
      <c r="L123" s="91" t="s">
        <v>788</v>
      </c>
      <c r="M123" s="24" t="s">
        <v>7748</v>
      </c>
      <c r="N123" s="23">
        <v>11312000</v>
      </c>
      <c r="O123" s="25" t="s">
        <v>677</v>
      </c>
      <c r="P123" s="25" t="s">
        <v>53</v>
      </c>
      <c r="Q123" s="20" t="s">
        <v>821</v>
      </c>
      <c r="R123" s="20">
        <v>55200547</v>
      </c>
      <c r="S123" s="25" t="s">
        <v>55</v>
      </c>
      <c r="T123" s="26" t="s">
        <v>56</v>
      </c>
      <c r="U123" s="23">
        <v>865356065671554</v>
      </c>
      <c r="V123" s="27" t="s">
        <v>183</v>
      </c>
      <c r="W123" s="20" t="s">
        <v>129</v>
      </c>
      <c r="X123" s="20" t="s">
        <v>130</v>
      </c>
      <c r="Y123" s="20" t="s">
        <v>130</v>
      </c>
      <c r="Z123" s="20" t="s">
        <v>60</v>
      </c>
      <c r="AA123" s="20" t="s">
        <v>61</v>
      </c>
      <c r="AB123" s="20" t="s">
        <v>96</v>
      </c>
      <c r="AC123" s="28">
        <v>369.83</v>
      </c>
      <c r="AD123" s="28">
        <f>SUM(BASE[[#This Row],[MONTO DE RENTA ]]*1.16)</f>
        <v>429.00279999999998</v>
      </c>
      <c r="AE123" s="28" t="s">
        <v>63</v>
      </c>
      <c r="AF123" s="28">
        <v>369.82758620689657</v>
      </c>
      <c r="AG123" s="28">
        <v>429</v>
      </c>
      <c r="AI123" s="63">
        <v>44937</v>
      </c>
      <c r="AJ123" s="73">
        <v>46043</v>
      </c>
      <c r="AK12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3" s="30"/>
      <c r="AN123" s="20" t="s">
        <v>99</v>
      </c>
      <c r="AP123" s="20" t="s">
        <v>84</v>
      </c>
      <c r="AQ123" s="20" t="s">
        <v>100</v>
      </c>
    </row>
    <row r="124" spans="1:43" ht="16">
      <c r="A124" s="20">
        <v>2221140211</v>
      </c>
      <c r="B124" s="21">
        <v>480121</v>
      </c>
      <c r="C124" s="20" t="s">
        <v>822</v>
      </c>
      <c r="D124" s="20" t="s">
        <v>357</v>
      </c>
      <c r="E124" s="20" t="s">
        <v>823</v>
      </c>
      <c r="F124" s="20" t="s">
        <v>824</v>
      </c>
      <c r="G124" s="20" t="s">
        <v>824</v>
      </c>
      <c r="H124" s="20" t="s">
        <v>48</v>
      </c>
      <c r="I124" s="20" t="s">
        <v>824</v>
      </c>
      <c r="J124" s="32" t="s">
        <v>825</v>
      </c>
      <c r="K124" s="32" t="s">
        <v>826</v>
      </c>
      <c r="L124" s="23" t="s">
        <v>827</v>
      </c>
      <c r="M124" s="24" t="s">
        <v>7748</v>
      </c>
      <c r="N124" s="23">
        <v>18799000</v>
      </c>
      <c r="O124" s="25" t="s">
        <v>828</v>
      </c>
      <c r="P124" s="25" t="s">
        <v>53</v>
      </c>
      <c r="Q124" s="20" t="s">
        <v>829</v>
      </c>
      <c r="R124" s="20">
        <v>75034563</v>
      </c>
      <c r="S124" s="25" t="s">
        <v>830</v>
      </c>
      <c r="T124" s="26" t="s">
        <v>57</v>
      </c>
      <c r="U124" s="23">
        <v>860900062337613</v>
      </c>
      <c r="V124" s="27" t="s">
        <v>57</v>
      </c>
      <c r="W124" s="20" t="s">
        <v>58</v>
      </c>
      <c r="X124" s="20" t="s">
        <v>59</v>
      </c>
      <c r="Y124" s="20" t="s">
        <v>59</v>
      </c>
      <c r="Z124" s="20" t="s">
        <v>60</v>
      </c>
      <c r="AA124" s="20" t="s">
        <v>61</v>
      </c>
      <c r="AB124" s="20" t="s">
        <v>96</v>
      </c>
      <c r="AC124" s="28">
        <v>369.83</v>
      </c>
      <c r="AD124" s="28">
        <f>SUM(BASE[[#This Row],[MONTO DE RENTA ]]*1.16)</f>
        <v>429.00279999999998</v>
      </c>
      <c r="AE124" s="28" t="s">
        <v>63</v>
      </c>
      <c r="AF124" s="28">
        <v>369.82758620689657</v>
      </c>
      <c r="AG124" s="28">
        <v>429</v>
      </c>
      <c r="AH124" s="22" t="s">
        <v>64</v>
      </c>
      <c r="AI124" s="63">
        <v>45703</v>
      </c>
      <c r="AJ124" s="63">
        <v>46433</v>
      </c>
      <c r="AK1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4" s="30"/>
      <c r="AN124" s="20" t="s">
        <v>65</v>
      </c>
      <c r="AO124" s="20" t="s">
        <v>141</v>
      </c>
      <c r="AP124" s="20" t="s">
        <v>84</v>
      </c>
      <c r="AQ124" s="20" t="s">
        <v>100</v>
      </c>
    </row>
    <row r="125" spans="1:43" ht="16">
      <c r="A125" s="20">
        <v>2211025513</v>
      </c>
      <c r="B125" s="21">
        <v>1042145</v>
      </c>
      <c r="C125" s="20" t="s">
        <v>831</v>
      </c>
      <c r="D125" s="20" t="s">
        <v>376</v>
      </c>
      <c r="E125" s="20" t="s">
        <v>187</v>
      </c>
      <c r="F125" s="20" t="s">
        <v>791</v>
      </c>
      <c r="G125" s="20" t="s">
        <v>47</v>
      </c>
      <c r="H125" s="20" t="s">
        <v>48</v>
      </c>
      <c r="I125" s="20" t="s">
        <v>791</v>
      </c>
      <c r="J125" s="32" t="s">
        <v>832</v>
      </c>
      <c r="K125" s="32" t="s">
        <v>832</v>
      </c>
      <c r="L125" s="23" t="s">
        <v>827</v>
      </c>
      <c r="M125" s="24" t="s">
        <v>7748</v>
      </c>
      <c r="N125" s="23">
        <v>11314000</v>
      </c>
      <c r="O125" s="25" t="s">
        <v>828</v>
      </c>
      <c r="P125" s="25" t="s">
        <v>53</v>
      </c>
      <c r="Q125" s="20" t="s">
        <v>833</v>
      </c>
      <c r="R125" s="20">
        <v>75344933</v>
      </c>
      <c r="S125" s="25" t="s">
        <v>754</v>
      </c>
      <c r="T125" s="26" t="s">
        <v>57</v>
      </c>
      <c r="U125" s="23">
        <v>860900062334644</v>
      </c>
      <c r="V125" s="27" t="s">
        <v>183</v>
      </c>
      <c r="W125" s="20" t="s">
        <v>58</v>
      </c>
      <c r="X125" s="20" t="s">
        <v>59</v>
      </c>
      <c r="Y125" s="20" t="s">
        <v>59</v>
      </c>
      <c r="Z125" s="20" t="s">
        <v>60</v>
      </c>
      <c r="AA125" s="20" t="s">
        <v>61</v>
      </c>
      <c r="AB125" s="20" t="s">
        <v>62</v>
      </c>
      <c r="AC125" s="28">
        <v>197.41</v>
      </c>
      <c r="AD125" s="28">
        <f>SUM(BASE[[#This Row],[MONTO DE RENTA ]]*1.16)</f>
        <v>228.99559999999997</v>
      </c>
      <c r="AE125" s="28" t="s">
        <v>63</v>
      </c>
      <c r="AF125" s="28">
        <v>369.82758620689657</v>
      </c>
      <c r="AG125" s="28">
        <v>429</v>
      </c>
      <c r="AH125" s="22" t="s">
        <v>64</v>
      </c>
      <c r="AI125" s="63">
        <v>45703</v>
      </c>
      <c r="AJ125" s="63">
        <v>46436</v>
      </c>
      <c r="AK1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5" s="30"/>
      <c r="AN125" s="20" t="s">
        <v>65</v>
      </c>
      <c r="AO125" s="20" t="s">
        <v>141</v>
      </c>
      <c r="AP125" s="20" t="s">
        <v>66</v>
      </c>
      <c r="AQ125" s="20" t="s">
        <v>100</v>
      </c>
    </row>
    <row r="126" spans="1:43" ht="16">
      <c r="A126" s="20">
        <v>5579193360</v>
      </c>
      <c r="B126" s="21">
        <v>480121</v>
      </c>
      <c r="C126" s="20" t="s">
        <v>822</v>
      </c>
      <c r="D126" s="20" t="s">
        <v>357</v>
      </c>
      <c r="E126" s="20" t="s">
        <v>823</v>
      </c>
      <c r="F126" s="20" t="s">
        <v>824</v>
      </c>
      <c r="G126" s="20" t="s">
        <v>824</v>
      </c>
      <c r="H126" s="20" t="s">
        <v>48</v>
      </c>
      <c r="I126" s="20" t="s">
        <v>824</v>
      </c>
      <c r="J126" s="32" t="s">
        <v>826</v>
      </c>
      <c r="K126" s="32" t="s">
        <v>826</v>
      </c>
      <c r="L126" s="23" t="s">
        <v>827</v>
      </c>
      <c r="M126" s="24" t="s">
        <v>7748</v>
      </c>
      <c r="N126" s="23">
        <v>18799000</v>
      </c>
      <c r="O126" s="25" t="s">
        <v>52</v>
      </c>
      <c r="P126" s="25" t="s">
        <v>53</v>
      </c>
      <c r="Q126" s="20" t="s">
        <v>834</v>
      </c>
      <c r="R126" s="20">
        <v>96572246</v>
      </c>
      <c r="S126" s="25" t="s">
        <v>835</v>
      </c>
      <c r="T126" s="26" t="s">
        <v>57</v>
      </c>
      <c r="U126" s="23">
        <v>860900062337613</v>
      </c>
      <c r="V126" s="27" t="s">
        <v>57</v>
      </c>
      <c r="W126" s="20" t="s">
        <v>58</v>
      </c>
      <c r="X126" s="20" t="s">
        <v>59</v>
      </c>
      <c r="Y126" s="20" t="s">
        <v>59</v>
      </c>
      <c r="Z126" s="20" t="s">
        <v>60</v>
      </c>
      <c r="AA126" s="20" t="s">
        <v>61</v>
      </c>
      <c r="AB126" s="20" t="s">
        <v>96</v>
      </c>
      <c r="AC126" s="28">
        <v>369.83</v>
      </c>
      <c r="AD126" s="28">
        <f>SUM(BASE[[#This Row],[MONTO DE RENTA ]]*1.16)</f>
        <v>429.00279999999998</v>
      </c>
      <c r="AE126" s="28" t="s">
        <v>63</v>
      </c>
      <c r="AF126" s="28">
        <v>369.82758620689657</v>
      </c>
      <c r="AG126" s="28">
        <v>429</v>
      </c>
      <c r="AH126" s="22" t="s">
        <v>64</v>
      </c>
      <c r="AI126" s="63">
        <v>45703</v>
      </c>
      <c r="AJ126" s="63">
        <v>46433</v>
      </c>
      <c r="AK1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6" s="30"/>
      <c r="AN126" s="20" t="s">
        <v>65</v>
      </c>
      <c r="AO126" s="20" t="s">
        <v>141</v>
      </c>
      <c r="AP126" s="20" t="s">
        <v>84</v>
      </c>
      <c r="AQ126" s="20" t="s">
        <v>100</v>
      </c>
    </row>
    <row r="127" spans="1:43" ht="16">
      <c r="A127" s="20">
        <v>2227074171</v>
      </c>
      <c r="B127" s="49">
        <v>1073517</v>
      </c>
      <c r="C127" s="20" t="s">
        <v>836</v>
      </c>
      <c r="D127" s="20" t="s">
        <v>837</v>
      </c>
      <c r="E127" s="20" t="s">
        <v>357</v>
      </c>
      <c r="F127" s="20" t="s">
        <v>838</v>
      </c>
      <c r="G127" s="20" t="s">
        <v>838</v>
      </c>
      <c r="H127" s="20" t="s">
        <v>48</v>
      </c>
      <c r="I127" s="20" t="s">
        <v>838</v>
      </c>
      <c r="J127" s="22" t="s">
        <v>839</v>
      </c>
      <c r="K127" s="22" t="s">
        <v>840</v>
      </c>
      <c r="L127" s="25" t="s">
        <v>827</v>
      </c>
      <c r="M127" s="24" t="s">
        <v>7748</v>
      </c>
      <c r="N127" s="23">
        <v>11314000</v>
      </c>
      <c r="O127" s="25" t="s">
        <v>828</v>
      </c>
      <c r="P127" s="25" t="s">
        <v>53</v>
      </c>
      <c r="Q127" s="20" t="s">
        <v>841</v>
      </c>
      <c r="R127" s="20">
        <v>75034566</v>
      </c>
      <c r="S127" s="25" t="s">
        <v>55</v>
      </c>
      <c r="T127" s="26" t="s">
        <v>56</v>
      </c>
      <c r="U127" s="23">
        <v>865356065671570</v>
      </c>
      <c r="V127" s="27" t="s">
        <v>183</v>
      </c>
      <c r="W127" s="20" t="s">
        <v>129</v>
      </c>
      <c r="X127" s="20" t="s">
        <v>130</v>
      </c>
      <c r="Y127" s="20" t="s">
        <v>130</v>
      </c>
      <c r="Z127" s="20" t="s">
        <v>60</v>
      </c>
      <c r="AA127" s="20" t="s">
        <v>61</v>
      </c>
      <c r="AB127" s="20" t="s">
        <v>96</v>
      </c>
      <c r="AC127" s="28">
        <v>369.83</v>
      </c>
      <c r="AD127" s="28">
        <f>SUM(BASE[[#This Row],[MONTO DE RENTA ]]*1.16)</f>
        <v>429.00279999999998</v>
      </c>
      <c r="AE127" s="28" t="s">
        <v>63</v>
      </c>
      <c r="AF127" s="28">
        <v>369.82758620689657</v>
      </c>
      <c r="AG127" s="28">
        <v>429</v>
      </c>
      <c r="AI127" s="63">
        <v>44937</v>
      </c>
      <c r="AJ127" s="63">
        <v>46043</v>
      </c>
      <c r="AK12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" s="30"/>
      <c r="AN127" s="20" t="s">
        <v>99</v>
      </c>
      <c r="AP127" s="20" t="s">
        <v>84</v>
      </c>
      <c r="AQ127" s="20" t="s">
        <v>100</v>
      </c>
    </row>
    <row r="128" spans="1:43" ht="16">
      <c r="A128" s="20">
        <v>2221857820</v>
      </c>
      <c r="B128" s="49">
        <v>1073517</v>
      </c>
      <c r="C128" s="20" t="s">
        <v>836</v>
      </c>
      <c r="D128" s="20" t="s">
        <v>837</v>
      </c>
      <c r="E128" s="20" t="s">
        <v>357</v>
      </c>
      <c r="F128" s="20" t="s">
        <v>838</v>
      </c>
      <c r="G128" s="20" t="s">
        <v>838</v>
      </c>
      <c r="H128" s="20" t="s">
        <v>48</v>
      </c>
      <c r="I128" s="20" t="s">
        <v>838</v>
      </c>
      <c r="J128" s="22" t="s">
        <v>842</v>
      </c>
      <c r="K128" s="32" t="s">
        <v>839</v>
      </c>
      <c r="L128" s="25" t="s">
        <v>827</v>
      </c>
      <c r="M128" s="24" t="s">
        <v>7748</v>
      </c>
      <c r="N128" s="23">
        <v>11314000</v>
      </c>
      <c r="O128" s="25" t="s">
        <v>828</v>
      </c>
      <c r="P128" s="25" t="s">
        <v>53</v>
      </c>
      <c r="Q128" s="20" t="s">
        <v>843</v>
      </c>
      <c r="R128" s="20">
        <v>75034572</v>
      </c>
      <c r="S128" s="25" t="s">
        <v>55</v>
      </c>
      <c r="T128" s="26" t="s">
        <v>56</v>
      </c>
      <c r="U128" s="23" t="s">
        <v>193</v>
      </c>
      <c r="V128" s="27" t="s">
        <v>183</v>
      </c>
      <c r="W128" s="20" t="s">
        <v>194</v>
      </c>
      <c r="X128" s="20" t="s">
        <v>194</v>
      </c>
      <c r="Y128" s="20" t="s">
        <v>194</v>
      </c>
      <c r="Z128" s="20" t="s">
        <v>60</v>
      </c>
      <c r="AA128" s="20" t="s">
        <v>61</v>
      </c>
      <c r="AB128" s="20" t="s">
        <v>96</v>
      </c>
      <c r="AC128" s="28">
        <v>369.83</v>
      </c>
      <c r="AD128" s="28">
        <f>SUM(BASE[[#This Row],[MONTO DE RENTA ]]*1.16)</f>
        <v>429.00279999999998</v>
      </c>
      <c r="AE128" s="28" t="s">
        <v>63</v>
      </c>
      <c r="AF128" s="28">
        <v>369.82758620689657</v>
      </c>
      <c r="AG128" s="28">
        <v>429</v>
      </c>
      <c r="AI128" s="63">
        <v>44937</v>
      </c>
      <c r="AJ128" s="63">
        <v>46043</v>
      </c>
      <c r="AK1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8" s="30"/>
      <c r="AN128" s="20" t="s">
        <v>99</v>
      </c>
      <c r="AP128" s="20" t="s">
        <v>84</v>
      </c>
      <c r="AQ128" s="20" t="s">
        <v>100</v>
      </c>
    </row>
    <row r="129" spans="1:43" ht="16">
      <c r="A129" s="20">
        <v>2211817941</v>
      </c>
      <c r="B129" s="48">
        <v>1042461</v>
      </c>
      <c r="C129" s="20" t="s">
        <v>844</v>
      </c>
      <c r="D129" s="20" t="s">
        <v>456</v>
      </c>
      <c r="E129" s="20" t="s">
        <v>845</v>
      </c>
      <c r="F129" s="20" t="s">
        <v>846</v>
      </c>
      <c r="G129" s="20" t="s">
        <v>846</v>
      </c>
      <c r="H129" s="20" t="s">
        <v>48</v>
      </c>
      <c r="I129" s="20" t="s">
        <v>846</v>
      </c>
      <c r="J129" s="54" t="s">
        <v>847</v>
      </c>
      <c r="K129" s="54" t="s">
        <v>847</v>
      </c>
      <c r="L129" s="23" t="s">
        <v>827</v>
      </c>
      <c r="M129" s="24" t="s">
        <v>7748</v>
      </c>
      <c r="N129" s="23">
        <v>11314000</v>
      </c>
      <c r="O129" s="25" t="s">
        <v>828</v>
      </c>
      <c r="P129" s="25" t="s">
        <v>53</v>
      </c>
      <c r="Q129" s="20" t="s">
        <v>848</v>
      </c>
      <c r="R129" s="20">
        <v>73005997</v>
      </c>
      <c r="S129" s="25" t="s">
        <v>55</v>
      </c>
      <c r="T129" s="65" t="s">
        <v>56</v>
      </c>
      <c r="U129" s="23">
        <v>865356065729089</v>
      </c>
      <c r="V129" s="27" t="s">
        <v>183</v>
      </c>
      <c r="W129" s="20" t="s">
        <v>129</v>
      </c>
      <c r="X129" s="20" t="s">
        <v>130</v>
      </c>
      <c r="Y129" s="20" t="s">
        <v>130</v>
      </c>
      <c r="Z129" s="20" t="s">
        <v>60</v>
      </c>
      <c r="AA129" s="20" t="s">
        <v>61</v>
      </c>
      <c r="AB129" s="20" t="s">
        <v>82</v>
      </c>
      <c r="AC129" s="28">
        <v>559.48</v>
      </c>
      <c r="AD129" s="28">
        <f>SUM(BASE[[#This Row],[MONTO DE RENTA ]]*1.16)</f>
        <v>648.99680000000001</v>
      </c>
      <c r="AE129" s="28" t="s">
        <v>83</v>
      </c>
      <c r="AF129" s="28">
        <v>559.48275862068965</v>
      </c>
      <c r="AG129" s="28">
        <v>649</v>
      </c>
      <c r="AH129" s="22" t="s">
        <v>116</v>
      </c>
      <c r="AI129" s="63">
        <v>45510</v>
      </c>
      <c r="AJ129" s="63">
        <v>46040</v>
      </c>
      <c r="AK12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29" s="20">
        <v>18848002</v>
      </c>
      <c r="AM129" s="30"/>
      <c r="AN129" s="20" t="s">
        <v>99</v>
      </c>
      <c r="AP129" s="20" t="s">
        <v>84</v>
      </c>
      <c r="AQ129" s="20" t="s">
        <v>100</v>
      </c>
    </row>
    <row r="130" spans="1:43" ht="16">
      <c r="A130" s="20">
        <v>2225545181</v>
      </c>
      <c r="B130" s="49">
        <v>1040849</v>
      </c>
      <c r="C130" s="20" t="s">
        <v>849</v>
      </c>
      <c r="D130" s="20" t="s">
        <v>341</v>
      </c>
      <c r="E130" s="20" t="s">
        <v>461</v>
      </c>
      <c r="F130" s="20" t="s">
        <v>723</v>
      </c>
      <c r="G130" s="20" t="s">
        <v>723</v>
      </c>
      <c r="H130" s="20" t="s">
        <v>48</v>
      </c>
      <c r="I130" s="20" t="s">
        <v>723</v>
      </c>
      <c r="J130" s="22" t="s">
        <v>850</v>
      </c>
      <c r="K130" s="22" t="s">
        <v>850</v>
      </c>
      <c r="L130" s="91" t="s">
        <v>827</v>
      </c>
      <c r="M130" s="24" t="s">
        <v>7748</v>
      </c>
      <c r="N130" s="23">
        <v>11314000</v>
      </c>
      <c r="O130" s="25" t="s">
        <v>828</v>
      </c>
      <c r="P130" s="25" t="s">
        <v>53</v>
      </c>
      <c r="Q130" s="20" t="s">
        <v>851</v>
      </c>
      <c r="R130" s="20">
        <v>75034024</v>
      </c>
      <c r="S130" s="25" t="s">
        <v>55</v>
      </c>
      <c r="T130" s="26" t="s">
        <v>56</v>
      </c>
      <c r="U130" s="23">
        <v>865356065728289</v>
      </c>
      <c r="V130" s="27" t="s">
        <v>183</v>
      </c>
      <c r="W130" s="20" t="s">
        <v>129</v>
      </c>
      <c r="X130" s="20" t="s">
        <v>130</v>
      </c>
      <c r="Y130" s="20" t="s">
        <v>130</v>
      </c>
      <c r="Z130" s="20" t="s">
        <v>60</v>
      </c>
      <c r="AA130" s="20" t="s">
        <v>61</v>
      </c>
      <c r="AB130" s="20" t="s">
        <v>96</v>
      </c>
      <c r="AC130" s="28">
        <v>369.83</v>
      </c>
      <c r="AD130" s="28">
        <f>SUM(BASE[[#This Row],[MONTO DE RENTA ]]*1.16)</f>
        <v>429.00279999999998</v>
      </c>
      <c r="AE130" s="28" t="s">
        <v>63</v>
      </c>
      <c r="AF130" s="28">
        <v>369.82758620689657</v>
      </c>
      <c r="AG130" s="28">
        <v>429</v>
      </c>
      <c r="AI130" s="63">
        <v>44937</v>
      </c>
      <c r="AJ130" s="63">
        <v>46043</v>
      </c>
      <c r="AK13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0" s="30"/>
      <c r="AN130" s="20" t="s">
        <v>99</v>
      </c>
      <c r="AP130" s="20" t="s">
        <v>84</v>
      </c>
      <c r="AQ130" s="20" t="s">
        <v>100</v>
      </c>
    </row>
    <row r="131" spans="1:43" ht="16">
      <c r="A131" s="20">
        <v>2225772943</v>
      </c>
      <c r="B131" s="49">
        <v>1005653</v>
      </c>
      <c r="C131" s="20" t="s">
        <v>852</v>
      </c>
      <c r="D131" s="20" t="s">
        <v>172</v>
      </c>
      <c r="E131" s="20" t="s">
        <v>853</v>
      </c>
      <c r="F131" s="20" t="s">
        <v>854</v>
      </c>
      <c r="G131" s="20" t="s">
        <v>854</v>
      </c>
      <c r="H131" s="20" t="s">
        <v>48</v>
      </c>
      <c r="I131" s="20" t="s">
        <v>854</v>
      </c>
      <c r="J131" s="22" t="s">
        <v>855</v>
      </c>
      <c r="K131" s="22" t="s">
        <v>855</v>
      </c>
      <c r="L131" s="23" t="s">
        <v>827</v>
      </c>
      <c r="M131" s="24" t="s">
        <v>7748</v>
      </c>
      <c r="N131" s="23">
        <v>18716000</v>
      </c>
      <c r="O131" s="25" t="s">
        <v>828</v>
      </c>
      <c r="P131" s="25" t="s">
        <v>53</v>
      </c>
      <c r="Q131" s="20" t="s">
        <v>856</v>
      </c>
      <c r="R131" s="20">
        <v>75006943</v>
      </c>
      <c r="S131" s="25" t="s">
        <v>55</v>
      </c>
      <c r="T131" s="26" t="s">
        <v>56</v>
      </c>
      <c r="U131" s="23">
        <v>865356065670895</v>
      </c>
      <c r="V131" s="27" t="s">
        <v>183</v>
      </c>
      <c r="W131" s="20" t="s">
        <v>129</v>
      </c>
      <c r="X131" s="20" t="s">
        <v>130</v>
      </c>
      <c r="Y131" s="20" t="s">
        <v>130</v>
      </c>
      <c r="Z131" s="20" t="s">
        <v>60</v>
      </c>
      <c r="AA131" s="20" t="s">
        <v>61</v>
      </c>
      <c r="AB131" s="20" t="s">
        <v>96</v>
      </c>
      <c r="AC131" s="28">
        <v>369.83</v>
      </c>
      <c r="AD131" s="28">
        <f>SUM(BASE[[#This Row],[MONTO DE RENTA ]]*1.16)</f>
        <v>429.00279999999998</v>
      </c>
      <c r="AE131" s="28" t="s">
        <v>63</v>
      </c>
      <c r="AF131" s="28">
        <v>369.82758620689657</v>
      </c>
      <c r="AG131" s="28">
        <v>429</v>
      </c>
      <c r="AI131" s="63">
        <v>44937</v>
      </c>
      <c r="AJ131" s="63">
        <v>46043</v>
      </c>
      <c r="AK13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1" s="30"/>
      <c r="AN131" s="20" t="s">
        <v>99</v>
      </c>
      <c r="AP131" s="20" t="s">
        <v>84</v>
      </c>
      <c r="AQ131" s="20" t="s">
        <v>100</v>
      </c>
    </row>
    <row r="132" spans="1:43" ht="16">
      <c r="A132" s="20">
        <v>2214318987</v>
      </c>
      <c r="B132" s="48">
        <v>1042739</v>
      </c>
      <c r="C132" s="20" t="s">
        <v>857</v>
      </c>
      <c r="D132" s="20" t="s">
        <v>858</v>
      </c>
      <c r="E132" s="20" t="s">
        <v>437</v>
      </c>
      <c r="F132" s="20" t="s">
        <v>819</v>
      </c>
      <c r="G132" s="20" t="s">
        <v>819</v>
      </c>
      <c r="H132" s="20" t="s">
        <v>48</v>
      </c>
      <c r="I132" s="20" t="s">
        <v>819</v>
      </c>
      <c r="J132" s="54" t="s">
        <v>859</v>
      </c>
      <c r="K132" s="54" t="s">
        <v>859</v>
      </c>
      <c r="L132" s="23" t="s">
        <v>827</v>
      </c>
      <c r="M132" s="24" t="s">
        <v>7748</v>
      </c>
      <c r="N132" s="23">
        <v>11314000</v>
      </c>
      <c r="O132" s="25" t="s">
        <v>828</v>
      </c>
      <c r="P132" s="25" t="s">
        <v>53</v>
      </c>
      <c r="Q132" s="20" t="s">
        <v>860</v>
      </c>
      <c r="R132" s="20">
        <v>75615637</v>
      </c>
      <c r="S132" s="25" t="s">
        <v>55</v>
      </c>
      <c r="T132" s="44" t="s">
        <v>56</v>
      </c>
      <c r="U132" s="23">
        <v>860900062255377</v>
      </c>
      <c r="V132" s="27" t="s">
        <v>183</v>
      </c>
      <c r="W132" s="20" t="s">
        <v>58</v>
      </c>
      <c r="X132" s="20" t="s">
        <v>59</v>
      </c>
      <c r="Y132" s="20" t="s">
        <v>59</v>
      </c>
      <c r="Z132" s="20" t="s">
        <v>242</v>
      </c>
      <c r="AA132" s="20" t="s">
        <v>243</v>
      </c>
      <c r="AB132" s="20" t="s">
        <v>244</v>
      </c>
      <c r="AC132" s="28">
        <v>473.28</v>
      </c>
      <c r="AD132" s="28">
        <f>SUM(BASE[[#This Row],[MONTO DE RENTA ]]*1.16)</f>
        <v>549.00479999999993</v>
      </c>
      <c r="AE132" s="28" t="s">
        <v>63</v>
      </c>
      <c r="AF132" s="28">
        <v>369.82758620689657</v>
      </c>
      <c r="AG132" s="28">
        <v>429</v>
      </c>
      <c r="AH132" s="22" t="s">
        <v>116</v>
      </c>
      <c r="AI132" s="63">
        <v>45895</v>
      </c>
      <c r="AJ132" s="63">
        <v>46625</v>
      </c>
      <c r="AK132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32" s="20">
        <v>11314000</v>
      </c>
      <c r="AM132" s="30"/>
      <c r="AN132" s="20" t="s">
        <v>65</v>
      </c>
      <c r="AP132" s="20" t="s">
        <v>118</v>
      </c>
    </row>
    <row r="133" spans="1:43" ht="16">
      <c r="A133" s="20">
        <v>6674936759</v>
      </c>
      <c r="B133" s="21">
        <v>1045349</v>
      </c>
      <c r="C133" s="20" t="s">
        <v>861</v>
      </c>
      <c r="D133" s="20" t="s">
        <v>862</v>
      </c>
      <c r="E133" s="20" t="s">
        <v>863</v>
      </c>
      <c r="F133" s="20" t="s">
        <v>791</v>
      </c>
      <c r="G133" s="20" t="s">
        <v>47</v>
      </c>
      <c r="H133" s="20" t="s">
        <v>48</v>
      </c>
      <c r="I133" s="20" t="s">
        <v>791</v>
      </c>
      <c r="J133" s="22" t="s">
        <v>864</v>
      </c>
      <c r="K133" s="22" t="s">
        <v>864</v>
      </c>
      <c r="L133" s="23" t="s">
        <v>865</v>
      </c>
      <c r="M133" s="24" t="s">
        <v>7748</v>
      </c>
      <c r="N133" s="23">
        <v>11315000</v>
      </c>
      <c r="O133" s="25" t="s">
        <v>866</v>
      </c>
      <c r="P133" s="25" t="s">
        <v>53</v>
      </c>
      <c r="Q133" s="20" t="s">
        <v>867</v>
      </c>
      <c r="R133" s="20">
        <v>23151460</v>
      </c>
      <c r="S133" s="25" t="s">
        <v>868</v>
      </c>
      <c r="T133" s="26" t="s">
        <v>57</v>
      </c>
      <c r="U133" s="23">
        <v>860900062322078</v>
      </c>
      <c r="V133" s="27" t="s">
        <v>57</v>
      </c>
      <c r="W133" s="20" t="s">
        <v>58</v>
      </c>
      <c r="X133" s="20" t="s">
        <v>59</v>
      </c>
      <c r="Y133" s="20" t="s">
        <v>59</v>
      </c>
      <c r="Z133" s="20" t="s">
        <v>60</v>
      </c>
      <c r="AA133" s="20" t="s">
        <v>61</v>
      </c>
      <c r="AB133" s="20" t="s">
        <v>96</v>
      </c>
      <c r="AC133" s="28">
        <v>369.83</v>
      </c>
      <c r="AD133" s="28">
        <f>SUM(BASE[[#This Row],[MONTO DE RENTA ]]*1.16)</f>
        <v>429.00279999999998</v>
      </c>
      <c r="AE133" s="28" t="s">
        <v>63</v>
      </c>
      <c r="AF133" s="28">
        <v>369.82758620689657</v>
      </c>
      <c r="AG133" s="28">
        <v>429</v>
      </c>
      <c r="AH133" s="22" t="s">
        <v>64</v>
      </c>
      <c r="AI133" s="63">
        <v>45703</v>
      </c>
      <c r="AJ133" s="63">
        <v>46433</v>
      </c>
      <c r="AK1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" s="30"/>
      <c r="AN133" s="20" t="s">
        <v>65</v>
      </c>
      <c r="AO133" s="20" t="s">
        <v>141</v>
      </c>
      <c r="AP133" s="20" t="s">
        <v>84</v>
      </c>
      <c r="AQ133" s="20" t="s">
        <v>100</v>
      </c>
    </row>
    <row r="134" spans="1:43" ht="16">
      <c r="A134" s="20">
        <v>6675868892</v>
      </c>
      <c r="B134" s="21">
        <v>1027627</v>
      </c>
      <c r="C134" s="20" t="s">
        <v>869</v>
      </c>
      <c r="D134" s="20" t="s">
        <v>870</v>
      </c>
      <c r="E134" s="20" t="s">
        <v>871</v>
      </c>
      <c r="F134" s="20" t="s">
        <v>717</v>
      </c>
      <c r="G134" s="20" t="s">
        <v>717</v>
      </c>
      <c r="H134" s="20" t="s">
        <v>48</v>
      </c>
      <c r="I134" s="20" t="s">
        <v>717</v>
      </c>
      <c r="J134" s="22" t="s">
        <v>872</v>
      </c>
      <c r="K134" s="22" t="s">
        <v>872</v>
      </c>
      <c r="L134" s="23" t="s">
        <v>865</v>
      </c>
      <c r="M134" s="24" t="s">
        <v>7748</v>
      </c>
      <c r="N134" s="23">
        <v>11315000</v>
      </c>
      <c r="O134" s="25" t="s">
        <v>866</v>
      </c>
      <c r="P134" s="25" t="s">
        <v>53</v>
      </c>
      <c r="Q134" s="20" t="s">
        <v>873</v>
      </c>
      <c r="R134" s="20">
        <v>23133424</v>
      </c>
      <c r="S134" s="25" t="s">
        <v>874</v>
      </c>
      <c r="T134" s="26" t="s">
        <v>57</v>
      </c>
      <c r="U134" s="23">
        <v>860900062321963</v>
      </c>
      <c r="V134" s="27" t="s">
        <v>57</v>
      </c>
      <c r="W134" s="20" t="s">
        <v>58</v>
      </c>
      <c r="X134" s="20" t="s">
        <v>59</v>
      </c>
      <c r="Y134" s="20" t="s">
        <v>59</v>
      </c>
      <c r="Z134" s="20" t="s">
        <v>60</v>
      </c>
      <c r="AA134" s="20" t="s">
        <v>61</v>
      </c>
      <c r="AB134" s="20" t="s">
        <v>96</v>
      </c>
      <c r="AC134" s="28">
        <v>369.83</v>
      </c>
      <c r="AD134" s="28">
        <f>SUM(BASE[[#This Row],[MONTO DE RENTA ]]*1.16)</f>
        <v>429.00279999999998</v>
      </c>
      <c r="AE134" s="28" t="s">
        <v>63</v>
      </c>
      <c r="AF134" s="28">
        <v>369.82758620689657</v>
      </c>
      <c r="AG134" s="28">
        <v>429</v>
      </c>
      <c r="AH134" s="22" t="s">
        <v>64</v>
      </c>
      <c r="AI134" s="63">
        <v>45703</v>
      </c>
      <c r="AJ134" s="63">
        <v>46433</v>
      </c>
      <c r="AK1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" s="30"/>
      <c r="AN134" s="20" t="s">
        <v>65</v>
      </c>
      <c r="AO134" s="20" t="s">
        <v>141</v>
      </c>
      <c r="AP134" s="20" t="s">
        <v>84</v>
      </c>
      <c r="AQ134" s="20" t="s">
        <v>100</v>
      </c>
    </row>
    <row r="135" spans="1:43" ht="16">
      <c r="A135" s="20">
        <v>6675868889</v>
      </c>
      <c r="B135" s="21">
        <v>1070176</v>
      </c>
      <c r="C135" s="20" t="s">
        <v>639</v>
      </c>
      <c r="D135" s="20" t="s">
        <v>507</v>
      </c>
      <c r="E135" s="20" t="s">
        <v>875</v>
      </c>
      <c r="F135" s="20" t="s">
        <v>723</v>
      </c>
      <c r="G135" s="20" t="s">
        <v>723</v>
      </c>
      <c r="H135" s="20" t="s">
        <v>48</v>
      </c>
      <c r="I135" s="20" t="s">
        <v>723</v>
      </c>
      <c r="J135" s="22" t="s">
        <v>876</v>
      </c>
      <c r="K135" s="32" t="s">
        <v>877</v>
      </c>
      <c r="L135" s="23" t="s">
        <v>865</v>
      </c>
      <c r="M135" s="24" t="s">
        <v>7748</v>
      </c>
      <c r="N135" s="23">
        <v>11315000</v>
      </c>
      <c r="O135" s="25" t="s">
        <v>866</v>
      </c>
      <c r="P135" s="25" t="s">
        <v>53</v>
      </c>
      <c r="Q135" s="20" t="s">
        <v>878</v>
      </c>
      <c r="R135" s="20">
        <v>23133415</v>
      </c>
      <c r="S135" s="25" t="s">
        <v>879</v>
      </c>
      <c r="T135" s="26" t="s">
        <v>57</v>
      </c>
      <c r="U135" s="23">
        <v>860900062338439</v>
      </c>
      <c r="V135" s="27" t="s">
        <v>57</v>
      </c>
      <c r="W135" s="20" t="s">
        <v>58</v>
      </c>
      <c r="X135" s="20" t="s">
        <v>59</v>
      </c>
      <c r="Y135" s="20" t="s">
        <v>59</v>
      </c>
      <c r="Z135" s="20" t="s">
        <v>60</v>
      </c>
      <c r="AA135" s="20" t="s">
        <v>61</v>
      </c>
      <c r="AB135" s="20" t="s">
        <v>96</v>
      </c>
      <c r="AC135" s="28">
        <v>369.83</v>
      </c>
      <c r="AD135" s="28">
        <f>SUM(BASE[[#This Row],[MONTO DE RENTA ]]*1.16)</f>
        <v>429.00279999999998</v>
      </c>
      <c r="AE135" s="28" t="s">
        <v>63</v>
      </c>
      <c r="AF135" s="28">
        <v>369.82758620689657</v>
      </c>
      <c r="AG135" s="28">
        <v>429</v>
      </c>
      <c r="AH135" s="22" t="s">
        <v>64</v>
      </c>
      <c r="AI135" s="63">
        <v>45703</v>
      </c>
      <c r="AJ135" s="63">
        <v>46433</v>
      </c>
      <c r="AK1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5" s="30"/>
      <c r="AN135" s="20" t="s">
        <v>65</v>
      </c>
      <c r="AO135" s="20" t="s">
        <v>141</v>
      </c>
      <c r="AP135" s="20" t="s">
        <v>84</v>
      </c>
      <c r="AQ135" s="20" t="s">
        <v>100</v>
      </c>
    </row>
    <row r="136" spans="1:43" ht="16">
      <c r="A136" s="20">
        <v>6675868890</v>
      </c>
      <c r="B136" s="49">
        <v>1044698</v>
      </c>
      <c r="C136" s="20" t="s">
        <v>880</v>
      </c>
      <c r="D136" s="20" t="s">
        <v>102</v>
      </c>
      <c r="E136" s="20" t="s">
        <v>143</v>
      </c>
      <c r="F136" s="20" t="s">
        <v>819</v>
      </c>
      <c r="G136" s="20" t="s">
        <v>819</v>
      </c>
      <c r="H136" s="20" t="s">
        <v>48</v>
      </c>
      <c r="I136" s="20" t="s">
        <v>819</v>
      </c>
      <c r="J136" s="22" t="s">
        <v>881</v>
      </c>
      <c r="K136" s="22" t="s">
        <v>882</v>
      </c>
      <c r="L136" s="23" t="s">
        <v>865</v>
      </c>
      <c r="M136" s="24" t="s">
        <v>7748</v>
      </c>
      <c r="N136" s="23">
        <v>11315000</v>
      </c>
      <c r="O136" s="25" t="s">
        <v>866</v>
      </c>
      <c r="P136" s="25" t="s">
        <v>53</v>
      </c>
      <c r="Q136" s="20" t="s">
        <v>883</v>
      </c>
      <c r="R136" s="20">
        <v>23133419</v>
      </c>
      <c r="S136" s="25" t="s">
        <v>55</v>
      </c>
      <c r="T136" s="26" t="s">
        <v>56</v>
      </c>
      <c r="U136" s="23">
        <v>865356065672024</v>
      </c>
      <c r="V136" s="27" t="s">
        <v>183</v>
      </c>
      <c r="W136" s="20" t="s">
        <v>129</v>
      </c>
      <c r="X136" s="20" t="s">
        <v>130</v>
      </c>
      <c r="Y136" s="20" t="s">
        <v>130</v>
      </c>
      <c r="Z136" s="20" t="s">
        <v>60</v>
      </c>
      <c r="AA136" s="20" t="s">
        <v>61</v>
      </c>
      <c r="AB136" s="20" t="s">
        <v>96</v>
      </c>
      <c r="AC136" s="28">
        <v>369.83</v>
      </c>
      <c r="AD136" s="28">
        <f>SUM(BASE[[#This Row],[MONTO DE RENTA ]]*1.16)</f>
        <v>429.00279999999998</v>
      </c>
      <c r="AE136" s="28" t="s">
        <v>63</v>
      </c>
      <c r="AF136" s="28">
        <v>369.82758620689657</v>
      </c>
      <c r="AG136" s="28">
        <v>429</v>
      </c>
      <c r="AI136" s="29">
        <v>44937</v>
      </c>
      <c r="AJ136" s="50">
        <v>46043</v>
      </c>
      <c r="AK1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6" s="30"/>
      <c r="AN136" s="20" t="s">
        <v>99</v>
      </c>
      <c r="AP136" s="20" t="s">
        <v>84</v>
      </c>
      <c r="AQ136" s="20" t="s">
        <v>100</v>
      </c>
    </row>
    <row r="137" spans="1:43" ht="16">
      <c r="A137" s="20">
        <v>6675868888</v>
      </c>
      <c r="B137" s="21">
        <v>1046163</v>
      </c>
      <c r="C137" s="20" t="s">
        <v>884</v>
      </c>
      <c r="D137" s="20" t="s">
        <v>229</v>
      </c>
      <c r="E137" s="20" t="s">
        <v>885</v>
      </c>
      <c r="F137" s="20" t="s">
        <v>808</v>
      </c>
      <c r="G137" s="20" t="s">
        <v>808</v>
      </c>
      <c r="H137" s="20" t="s">
        <v>48</v>
      </c>
      <c r="I137" s="20" t="s">
        <v>808</v>
      </c>
      <c r="J137" s="22" t="s">
        <v>886</v>
      </c>
      <c r="K137" s="22" t="s">
        <v>886</v>
      </c>
      <c r="L137" s="23" t="s">
        <v>865</v>
      </c>
      <c r="M137" s="24" t="s">
        <v>7748</v>
      </c>
      <c r="N137" s="23">
        <v>11315000</v>
      </c>
      <c r="O137" s="25" t="s">
        <v>866</v>
      </c>
      <c r="P137" s="25" t="s">
        <v>53</v>
      </c>
      <c r="Q137" s="20" t="s">
        <v>887</v>
      </c>
      <c r="R137" s="20">
        <v>23133414</v>
      </c>
      <c r="S137" s="25" t="s">
        <v>888</v>
      </c>
      <c r="T137" s="26" t="s">
        <v>57</v>
      </c>
      <c r="U137" s="23">
        <v>860900062334446</v>
      </c>
      <c r="V137" s="27" t="s">
        <v>57</v>
      </c>
      <c r="W137" s="20" t="s">
        <v>58</v>
      </c>
      <c r="X137" s="20" t="s">
        <v>59</v>
      </c>
      <c r="Y137" s="20" t="s">
        <v>59</v>
      </c>
      <c r="Z137" s="20" t="s">
        <v>60</v>
      </c>
      <c r="AA137" s="20" t="s">
        <v>61</v>
      </c>
      <c r="AB137" s="20" t="s">
        <v>96</v>
      </c>
      <c r="AC137" s="28">
        <v>369.83</v>
      </c>
      <c r="AD137" s="28">
        <f>SUM(BASE[[#This Row],[MONTO DE RENTA ]]*1.16)</f>
        <v>429.00279999999998</v>
      </c>
      <c r="AE137" s="28" t="s">
        <v>63</v>
      </c>
      <c r="AF137" s="28">
        <v>369.82758620689657</v>
      </c>
      <c r="AG137" s="28">
        <v>429</v>
      </c>
      <c r="AH137" s="22" t="s">
        <v>64</v>
      </c>
      <c r="AI137" s="63">
        <v>45703</v>
      </c>
      <c r="AJ137" s="63">
        <v>46433</v>
      </c>
      <c r="AK1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7" s="30"/>
      <c r="AN137" s="20" t="s">
        <v>65</v>
      </c>
      <c r="AO137" s="20" t="s">
        <v>141</v>
      </c>
      <c r="AP137" s="20" t="s">
        <v>84</v>
      </c>
      <c r="AQ137" s="20" t="s">
        <v>100</v>
      </c>
    </row>
    <row r="138" spans="1:43" ht="16">
      <c r="A138" s="20">
        <v>6675868891</v>
      </c>
      <c r="B138" s="49">
        <v>1077108</v>
      </c>
      <c r="C138" s="20" t="s">
        <v>889</v>
      </c>
      <c r="D138" s="20" t="s">
        <v>143</v>
      </c>
      <c r="E138" s="20" t="s">
        <v>69</v>
      </c>
      <c r="F138" s="20" t="s">
        <v>736</v>
      </c>
      <c r="G138" s="20" t="s">
        <v>736</v>
      </c>
      <c r="H138" s="20" t="s">
        <v>48</v>
      </c>
      <c r="I138" s="20" t="s">
        <v>736</v>
      </c>
      <c r="J138" s="22" t="s">
        <v>890</v>
      </c>
      <c r="K138" s="22" t="s">
        <v>890</v>
      </c>
      <c r="L138" s="23" t="s">
        <v>865</v>
      </c>
      <c r="M138" s="24" t="s">
        <v>7748</v>
      </c>
      <c r="N138" s="23">
        <v>11315000</v>
      </c>
      <c r="O138" s="25" t="s">
        <v>866</v>
      </c>
      <c r="P138" s="25" t="s">
        <v>53</v>
      </c>
      <c r="Q138" s="20" t="s">
        <v>891</v>
      </c>
      <c r="R138" s="20">
        <v>23133420</v>
      </c>
      <c r="S138" s="25" t="s">
        <v>55</v>
      </c>
      <c r="T138" s="26" t="s">
        <v>56</v>
      </c>
      <c r="U138" s="23">
        <v>865356065672826</v>
      </c>
      <c r="V138" s="27" t="s">
        <v>183</v>
      </c>
      <c r="W138" s="20" t="s">
        <v>129</v>
      </c>
      <c r="X138" s="20" t="s">
        <v>130</v>
      </c>
      <c r="Y138" s="20" t="s">
        <v>130</v>
      </c>
      <c r="Z138" s="20" t="s">
        <v>60</v>
      </c>
      <c r="AA138" s="20" t="s">
        <v>61</v>
      </c>
      <c r="AB138" s="20" t="s">
        <v>96</v>
      </c>
      <c r="AC138" s="28">
        <v>369.83</v>
      </c>
      <c r="AD138" s="28">
        <f>SUM(BASE[[#This Row],[MONTO DE RENTA ]]*1.16)</f>
        <v>429.00279999999998</v>
      </c>
      <c r="AE138" s="28" t="s">
        <v>63</v>
      </c>
      <c r="AF138" s="28">
        <v>369.82758620689657</v>
      </c>
      <c r="AG138" s="28">
        <v>429</v>
      </c>
      <c r="AI138" s="63">
        <v>44937</v>
      </c>
      <c r="AJ138" s="73">
        <v>46043</v>
      </c>
      <c r="AK13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8" s="30"/>
      <c r="AN138" s="20" t="s">
        <v>99</v>
      </c>
      <c r="AP138" s="20" t="s">
        <v>84</v>
      </c>
      <c r="AQ138" s="20" t="s">
        <v>100</v>
      </c>
    </row>
    <row r="139" spans="1:43" ht="16">
      <c r="A139" s="20">
        <v>6675022117</v>
      </c>
      <c r="B139" s="49">
        <v>1044698</v>
      </c>
      <c r="C139" s="20" t="s">
        <v>880</v>
      </c>
      <c r="D139" s="20" t="s">
        <v>102</v>
      </c>
      <c r="E139" s="20" t="s">
        <v>143</v>
      </c>
      <c r="F139" s="20" t="s">
        <v>819</v>
      </c>
      <c r="G139" s="20" t="s">
        <v>819</v>
      </c>
      <c r="H139" s="20" t="s">
        <v>48</v>
      </c>
      <c r="I139" s="20" t="s">
        <v>819</v>
      </c>
      <c r="J139" s="54" t="s">
        <v>892</v>
      </c>
      <c r="K139" s="54" t="s">
        <v>892</v>
      </c>
      <c r="L139" s="23" t="s">
        <v>865</v>
      </c>
      <c r="M139" s="24" t="s">
        <v>7748</v>
      </c>
      <c r="N139" s="23">
        <v>11315000</v>
      </c>
      <c r="O139" s="25" t="s">
        <v>866</v>
      </c>
      <c r="P139" s="25" t="s">
        <v>53</v>
      </c>
      <c r="Q139" s="20" t="s">
        <v>893</v>
      </c>
      <c r="R139" s="20">
        <v>21879846</v>
      </c>
      <c r="S139" s="25" t="s">
        <v>55</v>
      </c>
      <c r="T139" s="44" t="s">
        <v>56</v>
      </c>
      <c r="U139" s="23">
        <v>860900062323092</v>
      </c>
      <c r="V139" s="27" t="s">
        <v>183</v>
      </c>
      <c r="W139" s="20" t="s">
        <v>58</v>
      </c>
      <c r="X139" s="20" t="s">
        <v>59</v>
      </c>
      <c r="Y139" s="20" t="s">
        <v>59</v>
      </c>
      <c r="Z139" s="20" t="s">
        <v>60</v>
      </c>
      <c r="AA139" s="20" t="s">
        <v>61</v>
      </c>
      <c r="AB139" s="20" t="s">
        <v>82</v>
      </c>
      <c r="AC139" s="28">
        <v>559.48</v>
      </c>
      <c r="AD139" s="28">
        <f>SUM(BASE[[#This Row],[MONTO DE RENTA ]]*1.16)</f>
        <v>648.99680000000001</v>
      </c>
      <c r="AE139" s="28" t="s">
        <v>83</v>
      </c>
      <c r="AF139" s="28">
        <v>559.48275862068965</v>
      </c>
      <c r="AG139" s="28">
        <v>649</v>
      </c>
      <c r="AH139" s="22" t="s">
        <v>116</v>
      </c>
      <c r="AI139" s="63">
        <v>45882</v>
      </c>
      <c r="AJ139" s="63">
        <v>46612</v>
      </c>
      <c r="AK139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39" s="20">
        <v>11315000</v>
      </c>
      <c r="AM139" s="30"/>
      <c r="AN139" s="20" t="s">
        <v>65</v>
      </c>
      <c r="AO139" s="20" t="s">
        <v>141</v>
      </c>
      <c r="AP139" s="20" t="s">
        <v>84</v>
      </c>
      <c r="AQ139" s="20" t="s">
        <v>100</v>
      </c>
    </row>
    <row r="140" spans="1:43" ht="16">
      <c r="A140" s="20">
        <v>5543380572</v>
      </c>
      <c r="B140" s="113">
        <v>1076995</v>
      </c>
      <c r="C140" s="20" t="s">
        <v>894</v>
      </c>
      <c r="D140" s="20" t="s">
        <v>895</v>
      </c>
      <c r="E140" s="20" t="s">
        <v>896</v>
      </c>
      <c r="F140" s="20" t="s">
        <v>897</v>
      </c>
      <c r="G140" s="20" t="s">
        <v>897</v>
      </c>
      <c r="H140" s="20" t="s">
        <v>48</v>
      </c>
      <c r="I140" s="20" t="s">
        <v>897</v>
      </c>
      <c r="J140" s="22" t="s">
        <v>898</v>
      </c>
      <c r="K140" s="22" t="s">
        <v>898</v>
      </c>
      <c r="L140" s="23" t="s">
        <v>899</v>
      </c>
      <c r="M140" s="24" t="s">
        <v>7750</v>
      </c>
      <c r="N140" s="23">
        <v>11316000</v>
      </c>
      <c r="O140" s="25" t="s">
        <v>52</v>
      </c>
      <c r="P140" s="25" t="s">
        <v>53</v>
      </c>
      <c r="Q140" s="20" t="s">
        <v>900</v>
      </c>
      <c r="R140" s="20">
        <v>97364871</v>
      </c>
      <c r="S140" s="25" t="s">
        <v>901</v>
      </c>
      <c r="T140" s="26" t="s">
        <v>57</v>
      </c>
      <c r="U140" s="23">
        <v>860900062320635</v>
      </c>
      <c r="V140" s="27" t="s">
        <v>57</v>
      </c>
      <c r="W140" s="20" t="s">
        <v>58</v>
      </c>
      <c r="X140" s="20" t="s">
        <v>59</v>
      </c>
      <c r="Y140" s="20" t="s">
        <v>59</v>
      </c>
      <c r="Z140" s="20" t="s">
        <v>60</v>
      </c>
      <c r="AA140" s="20" t="s">
        <v>61</v>
      </c>
      <c r="AB140" s="20" t="s">
        <v>96</v>
      </c>
      <c r="AC140" s="28">
        <v>369.83</v>
      </c>
      <c r="AD140" s="28">
        <f>SUM(BASE[[#This Row],[MONTO DE RENTA ]]*1.16)</f>
        <v>429.00279999999998</v>
      </c>
      <c r="AE140" s="28" t="s">
        <v>63</v>
      </c>
      <c r="AF140" s="28">
        <v>369.82758620689657</v>
      </c>
      <c r="AG140" s="28">
        <v>429</v>
      </c>
      <c r="AH140" s="22" t="s">
        <v>64</v>
      </c>
      <c r="AI140" s="63">
        <v>45703</v>
      </c>
      <c r="AJ140" s="63">
        <v>46433</v>
      </c>
      <c r="AK1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0" s="30"/>
      <c r="AN140" s="20" t="s">
        <v>65</v>
      </c>
      <c r="AO140" s="20" t="s">
        <v>141</v>
      </c>
      <c r="AP140" s="20" t="s">
        <v>84</v>
      </c>
      <c r="AQ140" s="20" t="s">
        <v>100</v>
      </c>
    </row>
    <row r="141" spans="1:43" ht="16">
      <c r="A141" s="20">
        <v>5625531579</v>
      </c>
      <c r="B141" s="21">
        <v>990081</v>
      </c>
      <c r="C141" s="20" t="s">
        <v>902</v>
      </c>
      <c r="D141" s="20" t="s">
        <v>45</v>
      </c>
      <c r="E141" s="20" t="s">
        <v>45</v>
      </c>
      <c r="F141" s="20" t="s">
        <v>903</v>
      </c>
      <c r="G141" s="20" t="s">
        <v>903</v>
      </c>
      <c r="H141" s="20" t="s">
        <v>48</v>
      </c>
      <c r="I141" s="20" t="s">
        <v>903</v>
      </c>
      <c r="J141" s="32" t="s">
        <v>904</v>
      </c>
      <c r="K141" s="32" t="s">
        <v>905</v>
      </c>
      <c r="L141" s="23" t="s">
        <v>899</v>
      </c>
      <c r="M141" s="24" t="s">
        <v>7750</v>
      </c>
      <c r="N141" s="23">
        <v>11316000</v>
      </c>
      <c r="O141" s="25" t="s">
        <v>52</v>
      </c>
      <c r="P141" s="25" t="s">
        <v>53</v>
      </c>
      <c r="Q141" s="20" t="s">
        <v>906</v>
      </c>
      <c r="R141" s="20">
        <v>96984408</v>
      </c>
      <c r="S141" s="25" t="s">
        <v>907</v>
      </c>
      <c r="T141" s="26" t="s">
        <v>57</v>
      </c>
      <c r="U141" s="23">
        <v>860900062318936</v>
      </c>
      <c r="V141" s="27" t="s">
        <v>57</v>
      </c>
      <c r="W141" s="20" t="s">
        <v>58</v>
      </c>
      <c r="X141" s="20" t="s">
        <v>59</v>
      </c>
      <c r="Y141" s="20" t="s">
        <v>59</v>
      </c>
      <c r="Z141" s="20" t="s">
        <v>60</v>
      </c>
      <c r="AA141" s="20" t="s">
        <v>61</v>
      </c>
      <c r="AB141" s="20" t="s">
        <v>96</v>
      </c>
      <c r="AC141" s="28">
        <v>369.83</v>
      </c>
      <c r="AD141" s="28">
        <f>SUM(BASE[[#This Row],[MONTO DE RENTA ]]*1.16)</f>
        <v>429.00279999999998</v>
      </c>
      <c r="AE141" s="28" t="s">
        <v>63</v>
      </c>
      <c r="AF141" s="28">
        <v>369.82758620689657</v>
      </c>
      <c r="AG141" s="28">
        <v>429</v>
      </c>
      <c r="AH141" s="22" t="s">
        <v>64</v>
      </c>
      <c r="AI141" s="63">
        <v>45703</v>
      </c>
      <c r="AJ141" s="63">
        <v>46433</v>
      </c>
      <c r="AK1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1" s="30"/>
      <c r="AN141" s="20" t="s">
        <v>65</v>
      </c>
      <c r="AO141" s="20" t="s">
        <v>141</v>
      </c>
      <c r="AP141" s="20" t="s">
        <v>84</v>
      </c>
      <c r="AQ141" s="20" t="s">
        <v>100</v>
      </c>
    </row>
    <row r="142" spans="1:43" ht="16">
      <c r="A142" s="20">
        <v>5625531581</v>
      </c>
      <c r="B142" s="21">
        <v>375065</v>
      </c>
      <c r="C142" s="20" t="s">
        <v>908</v>
      </c>
      <c r="D142" s="20" t="s">
        <v>347</v>
      </c>
      <c r="E142" s="20" t="s">
        <v>280</v>
      </c>
      <c r="F142" s="20" t="s">
        <v>903</v>
      </c>
      <c r="G142" s="20" t="s">
        <v>903</v>
      </c>
      <c r="H142" s="20" t="s">
        <v>48</v>
      </c>
      <c r="I142" s="20" t="s">
        <v>903</v>
      </c>
      <c r="J142" s="32" t="s">
        <v>909</v>
      </c>
      <c r="K142" s="32" t="s">
        <v>909</v>
      </c>
      <c r="L142" s="23" t="s">
        <v>899</v>
      </c>
      <c r="M142" s="24" t="s">
        <v>7750</v>
      </c>
      <c r="N142" s="23">
        <v>11316000</v>
      </c>
      <c r="O142" s="25" t="s">
        <v>52</v>
      </c>
      <c r="P142" s="25" t="s">
        <v>53</v>
      </c>
      <c r="Q142" s="20" t="s">
        <v>910</v>
      </c>
      <c r="R142" s="20">
        <v>96984410</v>
      </c>
      <c r="S142" s="25" t="s">
        <v>911</v>
      </c>
      <c r="T142" s="26" t="s">
        <v>57</v>
      </c>
      <c r="U142" s="23">
        <v>860900062319025</v>
      </c>
      <c r="V142" s="27" t="s">
        <v>57</v>
      </c>
      <c r="W142" s="20" t="s">
        <v>58</v>
      </c>
      <c r="X142" s="20" t="s">
        <v>59</v>
      </c>
      <c r="Y142" s="20" t="s">
        <v>59</v>
      </c>
      <c r="Z142" s="20" t="s">
        <v>60</v>
      </c>
      <c r="AA142" s="20" t="s">
        <v>61</v>
      </c>
      <c r="AB142" s="20" t="s">
        <v>96</v>
      </c>
      <c r="AC142" s="28">
        <v>369.83</v>
      </c>
      <c r="AD142" s="28">
        <f>SUM(BASE[[#This Row],[MONTO DE RENTA ]]*1.16)</f>
        <v>429.00279999999998</v>
      </c>
      <c r="AE142" s="28" t="s">
        <v>63</v>
      </c>
      <c r="AF142" s="28">
        <v>369.82758620689657</v>
      </c>
      <c r="AG142" s="28">
        <v>429</v>
      </c>
      <c r="AH142" s="22" t="s">
        <v>64</v>
      </c>
      <c r="AI142" s="63">
        <v>45703</v>
      </c>
      <c r="AJ142" s="63">
        <v>46433</v>
      </c>
      <c r="AK1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2" s="30"/>
      <c r="AN142" s="20" t="s">
        <v>65</v>
      </c>
      <c r="AO142" s="20" t="s">
        <v>141</v>
      </c>
      <c r="AP142" s="20" t="s">
        <v>84</v>
      </c>
      <c r="AQ142" s="20" t="s">
        <v>100</v>
      </c>
    </row>
    <row r="143" spans="1:43" ht="16">
      <c r="A143" s="20">
        <v>5625531582</v>
      </c>
      <c r="B143" s="59">
        <v>6196</v>
      </c>
      <c r="C143" s="20" t="s">
        <v>506</v>
      </c>
      <c r="D143" s="20" t="s">
        <v>912</v>
      </c>
      <c r="E143" s="20" t="s">
        <v>247</v>
      </c>
      <c r="F143" s="20" t="s">
        <v>913</v>
      </c>
      <c r="G143" s="20" t="s">
        <v>913</v>
      </c>
      <c r="H143" s="20" t="s">
        <v>48</v>
      </c>
      <c r="I143" s="20" t="s">
        <v>913</v>
      </c>
      <c r="J143" s="54" t="s">
        <v>914</v>
      </c>
      <c r="K143" s="54" t="s">
        <v>914</v>
      </c>
      <c r="L143" s="23" t="s">
        <v>899</v>
      </c>
      <c r="M143" s="24" t="s">
        <v>7750</v>
      </c>
      <c r="N143" s="23">
        <v>11316000</v>
      </c>
      <c r="O143" s="25" t="s">
        <v>52</v>
      </c>
      <c r="P143" s="25" t="s">
        <v>53</v>
      </c>
      <c r="Q143" s="20" t="s">
        <v>915</v>
      </c>
      <c r="R143" s="20">
        <v>96984427</v>
      </c>
      <c r="S143" s="25" t="s">
        <v>916</v>
      </c>
      <c r="T143" s="81" t="s">
        <v>57</v>
      </c>
      <c r="U143" s="23">
        <v>351835921286963</v>
      </c>
      <c r="V143" s="27" t="s">
        <v>78</v>
      </c>
      <c r="W143" s="20" t="s">
        <v>95</v>
      </c>
      <c r="X143" s="20" t="s">
        <v>95</v>
      </c>
      <c r="Y143" s="20" t="s">
        <v>95</v>
      </c>
      <c r="Z143" s="20" t="s">
        <v>60</v>
      </c>
      <c r="AA143" s="20" t="s">
        <v>61</v>
      </c>
      <c r="AB143" s="20" t="s">
        <v>96</v>
      </c>
      <c r="AC143" s="28">
        <v>369.83</v>
      </c>
      <c r="AD143" s="28">
        <f>SUM(BASE[[#This Row],[MONTO DE RENTA ]]*1.16)</f>
        <v>429.00279999999998</v>
      </c>
      <c r="AE143" s="28" t="s">
        <v>83</v>
      </c>
      <c r="AF143" s="28">
        <v>559.48275862068965</v>
      </c>
      <c r="AG143" s="28">
        <v>649</v>
      </c>
      <c r="AH143" s="22" t="s">
        <v>140</v>
      </c>
      <c r="AI143" s="29">
        <v>45470</v>
      </c>
      <c r="AJ143" s="29">
        <v>46200</v>
      </c>
      <c r="AK143" s="30">
        <f ca="1">IFERROR(IF(BASE[[#This Row],[FECHA DE RENOVACION ]]&gt;TODAY(), DATEDIF(TODAY(),BASE[[#This Row],[FECHA DE RENOVACION ]],"M"), -DATEDIF(BASE[[#This Row],[FECHA DE RENOVACION ]],TODAY(),"M")), "Sin fecha")</f>
        <v>3</v>
      </c>
      <c r="AM143" s="30" t="s">
        <v>917</v>
      </c>
      <c r="AN143" s="20" t="s">
        <v>65</v>
      </c>
      <c r="AO143" s="20" t="s">
        <v>169</v>
      </c>
      <c r="AP143" s="20" t="s">
        <v>66</v>
      </c>
      <c r="AQ143" s="20" t="s">
        <v>100</v>
      </c>
    </row>
    <row r="144" spans="1:43" ht="16">
      <c r="A144" s="20">
        <v>4422007011</v>
      </c>
      <c r="B144" s="49">
        <v>1054172</v>
      </c>
      <c r="C144" s="20" t="s">
        <v>918</v>
      </c>
      <c r="D144" s="20" t="s">
        <v>598</v>
      </c>
      <c r="E144" s="20" t="s">
        <v>919</v>
      </c>
      <c r="F144" s="20" t="s">
        <v>791</v>
      </c>
      <c r="G144" s="20" t="s">
        <v>47</v>
      </c>
      <c r="H144" s="20" t="s">
        <v>48</v>
      </c>
      <c r="I144" s="20" t="s">
        <v>791</v>
      </c>
      <c r="J144" s="22" t="s">
        <v>920</v>
      </c>
      <c r="K144" s="22" t="s">
        <v>920</v>
      </c>
      <c r="L144" s="23" t="s">
        <v>921</v>
      </c>
      <c r="M144" s="24" t="s">
        <v>7748</v>
      </c>
      <c r="N144" s="23">
        <v>11317000</v>
      </c>
      <c r="O144" s="25" t="s">
        <v>93</v>
      </c>
      <c r="P144" s="25" t="s">
        <v>53</v>
      </c>
      <c r="Q144" s="20" t="s">
        <v>922</v>
      </c>
      <c r="R144" s="20">
        <v>63633779</v>
      </c>
      <c r="S144" s="25" t="s">
        <v>923</v>
      </c>
      <c r="T144" s="26" t="s">
        <v>57</v>
      </c>
      <c r="U144" s="23">
        <v>866223052348621</v>
      </c>
      <c r="V144" s="27" t="s">
        <v>183</v>
      </c>
      <c r="W144" s="20" t="s">
        <v>649</v>
      </c>
      <c r="X144" s="20" t="s">
        <v>650</v>
      </c>
      <c r="Y144" s="20" t="s">
        <v>650</v>
      </c>
      <c r="Z144" s="20" t="s">
        <v>60</v>
      </c>
      <c r="AA144" s="20" t="s">
        <v>61</v>
      </c>
      <c r="AB144" s="20" t="s">
        <v>96</v>
      </c>
      <c r="AC144" s="28">
        <v>369.83</v>
      </c>
      <c r="AD144" s="28">
        <f>SUM(BASE[[#This Row],[MONTO DE RENTA ]]*1.16)</f>
        <v>429.00279999999998</v>
      </c>
      <c r="AE144" s="28" t="s">
        <v>63</v>
      </c>
      <c r="AF144" s="28">
        <v>369.82758620689657</v>
      </c>
      <c r="AG144" s="28">
        <v>429</v>
      </c>
      <c r="AI144" s="63">
        <v>45213</v>
      </c>
      <c r="AJ144" s="63">
        <v>45944</v>
      </c>
      <c r="AK144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144" s="30"/>
      <c r="AN144" s="20" t="s">
        <v>99</v>
      </c>
      <c r="AP144" s="20" t="s">
        <v>84</v>
      </c>
      <c r="AQ144" s="20" t="s">
        <v>100</v>
      </c>
    </row>
    <row r="145" spans="1:43" ht="16">
      <c r="A145" s="20">
        <v>4423972790</v>
      </c>
      <c r="B145" s="49">
        <v>1010654</v>
      </c>
      <c r="C145" s="20" t="s">
        <v>639</v>
      </c>
      <c r="D145" s="20" t="s">
        <v>358</v>
      </c>
      <c r="E145" s="20" t="s">
        <v>924</v>
      </c>
      <c r="F145" s="20" t="s">
        <v>824</v>
      </c>
      <c r="G145" s="20" t="s">
        <v>824</v>
      </c>
      <c r="H145" s="20" t="s">
        <v>48</v>
      </c>
      <c r="I145" s="20" t="s">
        <v>824</v>
      </c>
      <c r="J145" s="22" t="s">
        <v>925</v>
      </c>
      <c r="K145" s="22" t="s">
        <v>925</v>
      </c>
      <c r="L145" s="91" t="s">
        <v>921</v>
      </c>
      <c r="M145" s="24" t="s">
        <v>7748</v>
      </c>
      <c r="N145" s="23">
        <v>18799000</v>
      </c>
      <c r="O145" s="25" t="s">
        <v>93</v>
      </c>
      <c r="P145" s="25" t="s">
        <v>53</v>
      </c>
      <c r="Q145" s="20" t="s">
        <v>926</v>
      </c>
      <c r="R145" s="20">
        <v>63566367</v>
      </c>
      <c r="S145" s="25" t="s">
        <v>55</v>
      </c>
      <c r="T145" s="26" t="s">
        <v>56</v>
      </c>
      <c r="U145" s="23">
        <v>865356065672131</v>
      </c>
      <c r="V145" s="27" t="s">
        <v>183</v>
      </c>
      <c r="W145" s="20" t="s">
        <v>129</v>
      </c>
      <c r="X145" s="20" t="s">
        <v>130</v>
      </c>
      <c r="Y145" s="20" t="s">
        <v>130</v>
      </c>
      <c r="Z145" s="20" t="s">
        <v>60</v>
      </c>
      <c r="AA145" s="20" t="s">
        <v>61</v>
      </c>
      <c r="AB145" s="20" t="s">
        <v>96</v>
      </c>
      <c r="AC145" s="28">
        <v>369.83</v>
      </c>
      <c r="AD145" s="28">
        <f>SUM(BASE[[#This Row],[MONTO DE RENTA ]]*1.16)</f>
        <v>429.00279999999998</v>
      </c>
      <c r="AE145" s="28" t="s">
        <v>63</v>
      </c>
      <c r="AF145" s="28">
        <v>369.82758620689657</v>
      </c>
      <c r="AG145" s="28">
        <v>429</v>
      </c>
      <c r="AI145" s="63">
        <v>44937</v>
      </c>
      <c r="AJ145" s="73">
        <v>46043</v>
      </c>
      <c r="AK14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5" s="30"/>
      <c r="AN145" s="20" t="s">
        <v>99</v>
      </c>
      <c r="AP145" s="20" t="s">
        <v>84</v>
      </c>
      <c r="AQ145" s="20" t="s">
        <v>100</v>
      </c>
    </row>
    <row r="146" spans="1:43" ht="16">
      <c r="A146" s="20">
        <v>4424233250</v>
      </c>
      <c r="B146" s="49">
        <v>1013013</v>
      </c>
      <c r="C146" s="20" t="s">
        <v>927</v>
      </c>
      <c r="D146" s="20" t="s">
        <v>186</v>
      </c>
      <c r="E146" s="20" t="s">
        <v>442</v>
      </c>
      <c r="F146" s="20" t="s">
        <v>723</v>
      </c>
      <c r="G146" s="20" t="s">
        <v>723</v>
      </c>
      <c r="H146" s="20" t="s">
        <v>48</v>
      </c>
      <c r="I146" s="20" t="s">
        <v>723</v>
      </c>
      <c r="J146" s="22" t="s">
        <v>928</v>
      </c>
      <c r="K146" s="22" t="s">
        <v>929</v>
      </c>
      <c r="L146" s="23" t="s">
        <v>921</v>
      </c>
      <c r="M146" s="24" t="s">
        <v>7748</v>
      </c>
      <c r="N146" s="23">
        <v>11317000</v>
      </c>
      <c r="O146" s="25" t="s">
        <v>93</v>
      </c>
      <c r="P146" s="25" t="s">
        <v>53</v>
      </c>
      <c r="Q146" s="20" t="s">
        <v>930</v>
      </c>
      <c r="R146" s="20">
        <v>63566376</v>
      </c>
      <c r="S146" s="25" t="s">
        <v>55</v>
      </c>
      <c r="T146" s="26" t="s">
        <v>56</v>
      </c>
      <c r="U146" s="23">
        <v>860982060886403</v>
      </c>
      <c r="V146" s="27" t="s">
        <v>183</v>
      </c>
      <c r="W146" s="20" t="s">
        <v>129</v>
      </c>
      <c r="X146" s="20" t="s">
        <v>130</v>
      </c>
      <c r="Y146" s="20" t="s">
        <v>130</v>
      </c>
      <c r="Z146" s="20" t="s">
        <v>60</v>
      </c>
      <c r="AA146" s="20" t="s">
        <v>61</v>
      </c>
      <c r="AB146" s="20" t="s">
        <v>96</v>
      </c>
      <c r="AC146" s="28">
        <v>369.83</v>
      </c>
      <c r="AD146" s="28">
        <f>SUM(BASE[[#This Row],[MONTO DE RENTA ]]*1.16)</f>
        <v>429.00279999999998</v>
      </c>
      <c r="AE146" s="28" t="s">
        <v>63</v>
      </c>
      <c r="AF146" s="28">
        <v>369.82758620689657</v>
      </c>
      <c r="AG146" s="28">
        <v>429</v>
      </c>
      <c r="AI146" s="63">
        <v>44937</v>
      </c>
      <c r="AJ146" s="73">
        <v>46043</v>
      </c>
      <c r="AK14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" s="30"/>
      <c r="AN146" s="20" t="s">
        <v>99</v>
      </c>
      <c r="AP146" s="20" t="s">
        <v>84</v>
      </c>
      <c r="AQ146" s="20" t="s">
        <v>100</v>
      </c>
    </row>
    <row r="147" spans="1:43" ht="16">
      <c r="A147" s="20">
        <v>4424236529</v>
      </c>
      <c r="B147" s="59">
        <v>1053590</v>
      </c>
      <c r="C147" s="20" t="s">
        <v>931</v>
      </c>
      <c r="D147" s="20" t="s">
        <v>932</v>
      </c>
      <c r="E147" s="20" t="s">
        <v>933</v>
      </c>
      <c r="F147" s="20" t="s">
        <v>723</v>
      </c>
      <c r="G147" s="20" t="s">
        <v>723</v>
      </c>
      <c r="H147" s="20" t="s">
        <v>48</v>
      </c>
      <c r="I147" s="20" t="s">
        <v>723</v>
      </c>
      <c r="J147" s="22" t="s">
        <v>934</v>
      </c>
      <c r="K147" s="22" t="s">
        <v>934</v>
      </c>
      <c r="L147" s="114" t="s">
        <v>921</v>
      </c>
      <c r="M147" s="24" t="s">
        <v>7748</v>
      </c>
      <c r="N147" s="23">
        <v>11317000</v>
      </c>
      <c r="O147" s="25" t="s">
        <v>93</v>
      </c>
      <c r="P147" s="25" t="s">
        <v>53</v>
      </c>
      <c r="Q147" s="20" t="s">
        <v>935</v>
      </c>
      <c r="R147" s="20">
        <v>63566379</v>
      </c>
      <c r="S147" s="25" t="s">
        <v>55</v>
      </c>
      <c r="T147" s="26" t="s">
        <v>56</v>
      </c>
      <c r="U147" s="23">
        <v>860982061234793</v>
      </c>
      <c r="V147" s="27" t="s">
        <v>183</v>
      </c>
      <c r="W147" s="20" t="s">
        <v>129</v>
      </c>
      <c r="X147" s="20" t="s">
        <v>130</v>
      </c>
      <c r="Y147" s="20" t="s">
        <v>130</v>
      </c>
      <c r="Z147" s="20" t="s">
        <v>60</v>
      </c>
      <c r="AA147" s="20" t="s">
        <v>61</v>
      </c>
      <c r="AB147" s="20" t="s">
        <v>96</v>
      </c>
      <c r="AC147" s="28">
        <v>369.83</v>
      </c>
      <c r="AD147" s="28">
        <f>SUM(BASE[[#This Row],[MONTO DE RENTA ]]*1.16)</f>
        <v>429.00279999999998</v>
      </c>
      <c r="AE147" s="28" t="s">
        <v>63</v>
      </c>
      <c r="AF147" s="28">
        <v>369.82758620689657</v>
      </c>
      <c r="AG147" s="28">
        <v>429</v>
      </c>
      <c r="AI147" s="63">
        <v>44937</v>
      </c>
      <c r="AJ147" s="73">
        <v>46043</v>
      </c>
      <c r="AK1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7" s="30"/>
      <c r="AN147" s="20" t="s">
        <v>99</v>
      </c>
      <c r="AP147" s="20" t="s">
        <v>84</v>
      </c>
      <c r="AQ147" s="20" t="s">
        <v>100</v>
      </c>
    </row>
    <row r="148" spans="1:43" ht="16">
      <c r="A148" s="20">
        <v>4423975102</v>
      </c>
      <c r="B148" s="49">
        <v>1067989</v>
      </c>
      <c r="C148" s="20" t="s">
        <v>936</v>
      </c>
      <c r="D148" s="20" t="s">
        <v>317</v>
      </c>
      <c r="E148" s="20" t="s">
        <v>937</v>
      </c>
      <c r="F148" s="20" t="s">
        <v>808</v>
      </c>
      <c r="G148" s="20" t="s">
        <v>808</v>
      </c>
      <c r="H148" s="20" t="s">
        <v>48</v>
      </c>
      <c r="I148" s="20" t="s">
        <v>808</v>
      </c>
      <c r="J148" s="22" t="s">
        <v>938</v>
      </c>
      <c r="K148" s="22" t="s">
        <v>938</v>
      </c>
      <c r="L148" s="23" t="s">
        <v>921</v>
      </c>
      <c r="M148" s="24" t="s">
        <v>7748</v>
      </c>
      <c r="N148" s="23">
        <v>11317000</v>
      </c>
      <c r="O148" s="25" t="s">
        <v>93</v>
      </c>
      <c r="P148" s="25" t="s">
        <v>53</v>
      </c>
      <c r="Q148" s="20" t="s">
        <v>939</v>
      </c>
      <c r="R148" s="20">
        <v>63566369</v>
      </c>
      <c r="S148" s="25" t="s">
        <v>55</v>
      </c>
      <c r="T148" s="26" t="s">
        <v>56</v>
      </c>
      <c r="U148" s="23">
        <v>865356065673048</v>
      </c>
      <c r="V148" s="27" t="s">
        <v>183</v>
      </c>
      <c r="W148" s="20" t="s">
        <v>129</v>
      </c>
      <c r="X148" s="20" t="s">
        <v>130</v>
      </c>
      <c r="Y148" s="20" t="s">
        <v>130</v>
      </c>
      <c r="Z148" s="20" t="s">
        <v>60</v>
      </c>
      <c r="AA148" s="20" t="s">
        <v>61</v>
      </c>
      <c r="AB148" s="20" t="s">
        <v>96</v>
      </c>
      <c r="AC148" s="28">
        <v>369.83</v>
      </c>
      <c r="AD148" s="28">
        <f>SUM(BASE[[#This Row],[MONTO DE RENTA ]]*1.16)</f>
        <v>429.00279999999998</v>
      </c>
      <c r="AE148" s="28" t="s">
        <v>63</v>
      </c>
      <c r="AF148" s="28">
        <v>369.82758620689657</v>
      </c>
      <c r="AG148" s="28">
        <v>429</v>
      </c>
      <c r="AI148" s="63">
        <v>44937</v>
      </c>
      <c r="AJ148" s="73">
        <v>46043</v>
      </c>
      <c r="AK1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8" s="30"/>
      <c r="AN148" s="20" t="s">
        <v>99</v>
      </c>
      <c r="AP148" s="20" t="s">
        <v>84</v>
      </c>
      <c r="AQ148" s="20" t="s">
        <v>100</v>
      </c>
    </row>
    <row r="149" spans="1:43" ht="16">
      <c r="A149" s="20">
        <v>4422810207</v>
      </c>
      <c r="B149" s="49">
        <v>240355</v>
      </c>
      <c r="C149" s="20" t="s">
        <v>940</v>
      </c>
      <c r="D149" s="20" t="s">
        <v>941</v>
      </c>
      <c r="E149" s="20" t="s">
        <v>942</v>
      </c>
      <c r="F149" s="20" t="s">
        <v>736</v>
      </c>
      <c r="G149" s="20" t="s">
        <v>736</v>
      </c>
      <c r="H149" s="20" t="s">
        <v>48</v>
      </c>
      <c r="I149" s="20" t="s">
        <v>736</v>
      </c>
      <c r="J149" s="22" t="s">
        <v>943</v>
      </c>
      <c r="K149" s="22" t="s">
        <v>943</v>
      </c>
      <c r="L149" s="23" t="s">
        <v>921</v>
      </c>
      <c r="M149" s="24" t="s">
        <v>7748</v>
      </c>
      <c r="N149" s="23">
        <v>11317000</v>
      </c>
      <c r="O149" s="25" t="s">
        <v>93</v>
      </c>
      <c r="P149" s="25" t="s">
        <v>53</v>
      </c>
      <c r="Q149" s="20" t="s">
        <v>944</v>
      </c>
      <c r="R149" s="20">
        <v>63551440</v>
      </c>
      <c r="S149" s="25" t="s">
        <v>55</v>
      </c>
      <c r="T149" s="26" t="s">
        <v>56</v>
      </c>
      <c r="U149" s="23">
        <v>865356065672008</v>
      </c>
      <c r="V149" s="27" t="s">
        <v>183</v>
      </c>
      <c r="W149" s="20" t="s">
        <v>129</v>
      </c>
      <c r="X149" s="20" t="s">
        <v>130</v>
      </c>
      <c r="Y149" s="20" t="s">
        <v>130</v>
      </c>
      <c r="Z149" s="20" t="s">
        <v>60</v>
      </c>
      <c r="AA149" s="20" t="s">
        <v>61</v>
      </c>
      <c r="AB149" s="20" t="s">
        <v>82</v>
      </c>
      <c r="AC149" s="28">
        <v>559.48</v>
      </c>
      <c r="AD149" s="28">
        <f>SUM(BASE[[#This Row],[MONTO DE RENTA ]]*1.16)</f>
        <v>648.99680000000001</v>
      </c>
      <c r="AE149" s="28" t="s">
        <v>83</v>
      </c>
      <c r="AF149" s="28">
        <v>559.48275862068965</v>
      </c>
      <c r="AG149" s="28">
        <v>649</v>
      </c>
      <c r="AI149" s="63">
        <v>44937</v>
      </c>
      <c r="AJ149" s="73">
        <v>46043</v>
      </c>
      <c r="AK1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9" s="30"/>
      <c r="AN149" s="20" t="s">
        <v>99</v>
      </c>
      <c r="AP149" s="20" t="s">
        <v>84</v>
      </c>
      <c r="AQ149" s="20" t="s">
        <v>100</v>
      </c>
    </row>
    <row r="150" spans="1:43" ht="16">
      <c r="A150" s="115">
        <v>4461337565</v>
      </c>
      <c r="B150" s="49">
        <v>1051186</v>
      </c>
      <c r="C150" s="20" t="s">
        <v>945</v>
      </c>
      <c r="D150" s="20" t="s">
        <v>946</v>
      </c>
      <c r="E150" s="20" t="s">
        <v>947</v>
      </c>
      <c r="F150" s="20" t="s">
        <v>819</v>
      </c>
      <c r="G150" s="20" t="s">
        <v>819</v>
      </c>
      <c r="H150" s="20" t="s">
        <v>48</v>
      </c>
      <c r="I150" s="20" t="s">
        <v>819</v>
      </c>
      <c r="J150" s="116" t="s">
        <v>948</v>
      </c>
      <c r="K150" s="116" t="s">
        <v>948</v>
      </c>
      <c r="L150" s="23" t="s">
        <v>921</v>
      </c>
      <c r="M150" s="24" t="s">
        <v>7748</v>
      </c>
      <c r="N150" s="23">
        <v>11317000</v>
      </c>
      <c r="O150" s="25" t="s">
        <v>93</v>
      </c>
      <c r="P150" s="25" t="s">
        <v>53</v>
      </c>
      <c r="Q150" s="20" t="s">
        <v>949</v>
      </c>
      <c r="R150" s="20">
        <v>63895428</v>
      </c>
      <c r="S150" s="25" t="s">
        <v>55</v>
      </c>
      <c r="T150" s="44" t="s">
        <v>56</v>
      </c>
      <c r="U150" s="23">
        <v>866223054940037</v>
      </c>
      <c r="V150" s="27" t="s">
        <v>183</v>
      </c>
      <c r="W150" s="20" t="s">
        <v>649</v>
      </c>
      <c r="X150" s="20" t="s">
        <v>650</v>
      </c>
      <c r="Y150" s="20" t="s">
        <v>650</v>
      </c>
      <c r="Z150" s="20" t="s">
        <v>60</v>
      </c>
      <c r="AA150" s="20" t="s">
        <v>61</v>
      </c>
      <c r="AB150" s="20" t="s">
        <v>96</v>
      </c>
      <c r="AC150" s="28">
        <v>369.83</v>
      </c>
      <c r="AD150" s="28">
        <f>SUM(BASE[[#This Row],[MONTO DE RENTA ]]*1.16)</f>
        <v>429.00279999999998</v>
      </c>
      <c r="AE150" s="28" t="s">
        <v>63</v>
      </c>
      <c r="AF150" s="28">
        <v>369.82758620689657</v>
      </c>
      <c r="AG150" s="28">
        <v>429</v>
      </c>
      <c r="AH150" s="22" t="s">
        <v>253</v>
      </c>
      <c r="AI150" s="63">
        <v>44937</v>
      </c>
      <c r="AJ150" s="73">
        <v>46043</v>
      </c>
      <c r="AK1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" s="30" t="s">
        <v>950</v>
      </c>
      <c r="AN150" s="20" t="s">
        <v>99</v>
      </c>
      <c r="AP150" s="20" t="s">
        <v>84</v>
      </c>
      <c r="AQ150" s="20" t="s">
        <v>100</v>
      </c>
    </row>
    <row r="151" spans="1:43" ht="16">
      <c r="A151" s="20">
        <v>8120303944</v>
      </c>
      <c r="B151" s="49">
        <v>640006</v>
      </c>
      <c r="C151" s="20" t="s">
        <v>951</v>
      </c>
      <c r="D151" s="20" t="s">
        <v>952</v>
      </c>
      <c r="E151" s="20" t="s">
        <v>143</v>
      </c>
      <c r="F151" s="20" t="s">
        <v>723</v>
      </c>
      <c r="G151" s="20" t="s">
        <v>723</v>
      </c>
      <c r="H151" s="20" t="s">
        <v>48</v>
      </c>
      <c r="I151" s="20" t="s">
        <v>723</v>
      </c>
      <c r="J151" s="22" t="s">
        <v>953</v>
      </c>
      <c r="K151" s="32" t="s">
        <v>954</v>
      </c>
      <c r="L151" s="23" t="s">
        <v>955</v>
      </c>
      <c r="M151" s="24" t="s">
        <v>7748</v>
      </c>
      <c r="N151" s="23">
        <v>11318000</v>
      </c>
      <c r="O151" s="25" t="s">
        <v>74</v>
      </c>
      <c r="P151" s="25" t="s">
        <v>53</v>
      </c>
      <c r="Q151" s="20" t="s">
        <v>956</v>
      </c>
      <c r="R151" s="20">
        <v>43519031</v>
      </c>
      <c r="S151" s="25" t="s">
        <v>957</v>
      </c>
      <c r="T151" s="26" t="s">
        <v>77</v>
      </c>
      <c r="U151" s="23">
        <v>860900062337134</v>
      </c>
      <c r="V151" s="27" t="s">
        <v>958</v>
      </c>
      <c r="W151" s="20" t="s">
        <v>58</v>
      </c>
      <c r="X151" s="20" t="s">
        <v>59</v>
      </c>
      <c r="Y151" s="20" t="s">
        <v>59</v>
      </c>
      <c r="Z151" s="20" t="s">
        <v>60</v>
      </c>
      <c r="AA151" s="20" t="s">
        <v>61</v>
      </c>
      <c r="AB151" s="20" t="s">
        <v>82</v>
      </c>
      <c r="AC151" s="28">
        <v>559.48</v>
      </c>
      <c r="AD151" s="28">
        <f>SUM(BASE[[#This Row],[MONTO DE RENTA ]]*1.16)</f>
        <v>648.99680000000001</v>
      </c>
      <c r="AE151" s="28" t="s">
        <v>83</v>
      </c>
      <c r="AF151" s="28">
        <v>559.48275862068965</v>
      </c>
      <c r="AG151" s="28">
        <v>649</v>
      </c>
      <c r="AH151" s="22" t="s">
        <v>64</v>
      </c>
      <c r="AI151" s="63">
        <v>45703</v>
      </c>
      <c r="AJ151" s="63">
        <v>46433</v>
      </c>
      <c r="AK1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1" s="30"/>
      <c r="AN151" s="20" t="s">
        <v>65</v>
      </c>
      <c r="AO151" s="20" t="s">
        <v>141</v>
      </c>
      <c r="AP151" s="20" t="s">
        <v>84</v>
      </c>
      <c r="AQ151" s="20" t="s">
        <v>100</v>
      </c>
    </row>
    <row r="152" spans="1:43" s="87" customFormat="1" ht="16">
      <c r="A152" s="20">
        <v>8135515314</v>
      </c>
      <c r="B152" s="21">
        <v>1061102</v>
      </c>
      <c r="C152" s="20" t="s">
        <v>959</v>
      </c>
      <c r="D152" s="20" t="s">
        <v>229</v>
      </c>
      <c r="E152" s="20" t="s">
        <v>461</v>
      </c>
      <c r="F152" s="20" t="s">
        <v>717</v>
      </c>
      <c r="G152" s="20" t="s">
        <v>717</v>
      </c>
      <c r="H152" s="20" t="s">
        <v>48</v>
      </c>
      <c r="I152" s="20" t="s">
        <v>717</v>
      </c>
      <c r="J152" s="32" t="s">
        <v>960</v>
      </c>
      <c r="K152" s="22" t="s">
        <v>960</v>
      </c>
      <c r="L152" s="23" t="s">
        <v>955</v>
      </c>
      <c r="M152" s="24" t="s">
        <v>7748</v>
      </c>
      <c r="N152" s="23">
        <v>11318000</v>
      </c>
      <c r="O152" s="25" t="s">
        <v>74</v>
      </c>
      <c r="P152" s="25" t="s">
        <v>53</v>
      </c>
      <c r="Q152" s="20" t="s">
        <v>961</v>
      </c>
      <c r="R152" s="20">
        <v>44918948</v>
      </c>
      <c r="S152" s="25" t="s">
        <v>55</v>
      </c>
      <c r="T152" s="26" t="s">
        <v>56</v>
      </c>
      <c r="U152" s="23">
        <v>865356065671778</v>
      </c>
      <c r="V152" s="27" t="s">
        <v>183</v>
      </c>
      <c r="W152" s="20" t="s">
        <v>129</v>
      </c>
      <c r="X152" s="20" t="s">
        <v>130</v>
      </c>
      <c r="Y152" s="20" t="s">
        <v>130</v>
      </c>
      <c r="Z152" s="20" t="s">
        <v>60</v>
      </c>
      <c r="AA152" s="20" t="s">
        <v>61</v>
      </c>
      <c r="AB152" s="20" t="s">
        <v>96</v>
      </c>
      <c r="AC152" s="28">
        <v>369.83</v>
      </c>
      <c r="AD152" s="28">
        <f>SUM(BASE[[#This Row],[MONTO DE RENTA ]]*1.16)</f>
        <v>429.00279999999998</v>
      </c>
      <c r="AE152" s="28" t="s">
        <v>63</v>
      </c>
      <c r="AF152" s="28">
        <v>369.82758620689657</v>
      </c>
      <c r="AG152" s="28">
        <v>429</v>
      </c>
      <c r="AH152" s="22"/>
      <c r="AI152" s="63">
        <v>44937</v>
      </c>
      <c r="AJ152" s="73">
        <v>46043</v>
      </c>
      <c r="AK1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2" s="20"/>
      <c r="AM152" s="30"/>
      <c r="AN152" s="20" t="s">
        <v>99</v>
      </c>
      <c r="AO152" s="20"/>
      <c r="AP152" s="20" t="s">
        <v>84</v>
      </c>
      <c r="AQ152" s="20" t="s">
        <v>100</v>
      </c>
    </row>
    <row r="153" spans="1:43" ht="16">
      <c r="A153" s="20">
        <v>8135515303</v>
      </c>
      <c r="B153" s="49">
        <v>640006</v>
      </c>
      <c r="C153" s="20" t="s">
        <v>951</v>
      </c>
      <c r="D153" s="20" t="s">
        <v>952</v>
      </c>
      <c r="E153" s="20" t="s">
        <v>143</v>
      </c>
      <c r="F153" s="20" t="s">
        <v>723</v>
      </c>
      <c r="G153" s="20" t="s">
        <v>723</v>
      </c>
      <c r="H153" s="20" t="s">
        <v>48</v>
      </c>
      <c r="I153" s="20" t="s">
        <v>723</v>
      </c>
      <c r="J153" s="22" t="s">
        <v>962</v>
      </c>
      <c r="K153" s="22" t="s">
        <v>962</v>
      </c>
      <c r="L153" s="23" t="s">
        <v>955</v>
      </c>
      <c r="M153" s="24" t="s">
        <v>7748</v>
      </c>
      <c r="N153" s="23">
        <v>11318000</v>
      </c>
      <c r="O153" s="25" t="s">
        <v>74</v>
      </c>
      <c r="P153" s="25" t="s">
        <v>53</v>
      </c>
      <c r="Q153" s="20" t="s">
        <v>963</v>
      </c>
      <c r="R153" s="20">
        <v>44918924</v>
      </c>
      <c r="S153" s="25" t="s">
        <v>55</v>
      </c>
      <c r="T153" s="26" t="s">
        <v>56</v>
      </c>
      <c r="U153" s="23">
        <v>860982060888094</v>
      </c>
      <c r="V153" s="27" t="s">
        <v>183</v>
      </c>
      <c r="W153" s="20" t="s">
        <v>129</v>
      </c>
      <c r="X153" s="20" t="s">
        <v>130</v>
      </c>
      <c r="Y153" s="20" t="s">
        <v>130</v>
      </c>
      <c r="Z153" s="20" t="s">
        <v>60</v>
      </c>
      <c r="AA153" s="20" t="s">
        <v>61</v>
      </c>
      <c r="AB153" s="20" t="s">
        <v>96</v>
      </c>
      <c r="AC153" s="28">
        <v>369.83</v>
      </c>
      <c r="AD153" s="28">
        <f>SUM(BASE[[#This Row],[MONTO DE RENTA ]]*1.16)</f>
        <v>429.00279999999998</v>
      </c>
      <c r="AE153" s="28" t="s">
        <v>63</v>
      </c>
      <c r="AF153" s="28">
        <v>369.82758620689657</v>
      </c>
      <c r="AG153" s="28">
        <v>429</v>
      </c>
      <c r="AI153" s="63">
        <v>44937</v>
      </c>
      <c r="AJ153" s="73">
        <v>46043</v>
      </c>
      <c r="AK15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3" s="30"/>
      <c r="AN153" s="20" t="s">
        <v>99</v>
      </c>
      <c r="AP153" s="20" t="s">
        <v>84</v>
      </c>
      <c r="AQ153" s="20" t="s">
        <v>100</v>
      </c>
    </row>
    <row r="154" spans="1:43" ht="16">
      <c r="A154" s="20">
        <v>8135515302</v>
      </c>
      <c r="B154" s="86">
        <v>1013702</v>
      </c>
      <c r="C154" s="20" t="s">
        <v>964</v>
      </c>
      <c r="D154" s="20" t="s">
        <v>965</v>
      </c>
      <c r="E154" s="20" t="s">
        <v>657</v>
      </c>
      <c r="F154" s="20" t="s">
        <v>761</v>
      </c>
      <c r="G154" s="20" t="s">
        <v>761</v>
      </c>
      <c r="H154" s="20" t="s">
        <v>48</v>
      </c>
      <c r="I154" s="20" t="s">
        <v>761</v>
      </c>
      <c r="J154" s="22" t="s">
        <v>966</v>
      </c>
      <c r="K154" s="22" t="s">
        <v>966</v>
      </c>
      <c r="L154" s="91" t="s">
        <v>955</v>
      </c>
      <c r="M154" s="24" t="s">
        <v>7748</v>
      </c>
      <c r="N154" s="23">
        <v>11306000</v>
      </c>
      <c r="O154" s="25" t="s">
        <v>74</v>
      </c>
      <c r="P154" s="25" t="s">
        <v>53</v>
      </c>
      <c r="Q154" s="20" t="s">
        <v>967</v>
      </c>
      <c r="R154" s="20">
        <v>44918925</v>
      </c>
      <c r="S154" s="25" t="s">
        <v>55</v>
      </c>
      <c r="T154" s="26" t="s">
        <v>56</v>
      </c>
      <c r="U154" s="23">
        <v>865356065728735</v>
      </c>
      <c r="V154" s="27" t="s">
        <v>183</v>
      </c>
      <c r="W154" s="20" t="s">
        <v>129</v>
      </c>
      <c r="X154" s="20" t="s">
        <v>130</v>
      </c>
      <c r="Y154" s="20" t="s">
        <v>130</v>
      </c>
      <c r="Z154" s="20" t="s">
        <v>60</v>
      </c>
      <c r="AA154" s="20" t="s">
        <v>61</v>
      </c>
      <c r="AB154" s="20" t="s">
        <v>96</v>
      </c>
      <c r="AC154" s="28">
        <v>369.83</v>
      </c>
      <c r="AD154" s="28">
        <f>SUM(BASE[[#This Row],[MONTO DE RENTA ]]*1.16)</f>
        <v>429.00279999999998</v>
      </c>
      <c r="AE154" s="28" t="s">
        <v>63</v>
      </c>
      <c r="AF154" s="28">
        <v>369.82758620689657</v>
      </c>
      <c r="AG154" s="28">
        <v>429</v>
      </c>
      <c r="AI154" s="63">
        <v>44937</v>
      </c>
      <c r="AJ154" s="73">
        <v>46043</v>
      </c>
      <c r="AK15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4" s="30"/>
      <c r="AN154" s="20" t="s">
        <v>99</v>
      </c>
      <c r="AP154" s="20" t="s">
        <v>84</v>
      </c>
      <c r="AQ154" s="20" t="s">
        <v>100</v>
      </c>
    </row>
    <row r="155" spans="1:43" ht="16">
      <c r="A155" s="20">
        <v>8135515233</v>
      </c>
      <c r="B155" s="21">
        <v>550000</v>
      </c>
      <c r="C155" s="20" t="s">
        <v>968</v>
      </c>
      <c r="D155" s="20" t="s">
        <v>657</v>
      </c>
      <c r="E155" s="20" t="s">
        <v>376</v>
      </c>
      <c r="F155" s="20" t="s">
        <v>723</v>
      </c>
      <c r="G155" s="20" t="s">
        <v>723</v>
      </c>
      <c r="H155" s="20" t="s">
        <v>48</v>
      </c>
      <c r="I155" s="20" t="s">
        <v>723</v>
      </c>
      <c r="J155" s="22" t="s">
        <v>969</v>
      </c>
      <c r="K155" s="22" t="s">
        <v>969</v>
      </c>
      <c r="L155" s="23" t="s">
        <v>955</v>
      </c>
      <c r="M155" s="24" t="s">
        <v>7748</v>
      </c>
      <c r="N155" s="23">
        <v>11318000</v>
      </c>
      <c r="O155" s="25" t="s">
        <v>74</v>
      </c>
      <c r="P155" s="25" t="s">
        <v>53</v>
      </c>
      <c r="Q155" s="20" t="s">
        <v>970</v>
      </c>
      <c r="R155" s="20">
        <v>44918824</v>
      </c>
      <c r="S155" s="25" t="s">
        <v>971</v>
      </c>
      <c r="T155" s="26" t="s">
        <v>57</v>
      </c>
      <c r="U155" s="23">
        <v>860900062336888</v>
      </c>
      <c r="V155" s="27" t="s">
        <v>57</v>
      </c>
      <c r="W155" s="20" t="s">
        <v>58</v>
      </c>
      <c r="X155" s="20" t="s">
        <v>59</v>
      </c>
      <c r="Y155" s="20" t="s">
        <v>59</v>
      </c>
      <c r="Z155" s="20" t="s">
        <v>60</v>
      </c>
      <c r="AA155" s="20" t="s">
        <v>61</v>
      </c>
      <c r="AB155" s="20" t="s">
        <v>96</v>
      </c>
      <c r="AC155" s="28">
        <v>369.83</v>
      </c>
      <c r="AD155" s="28">
        <f>SUM(BASE[[#This Row],[MONTO DE RENTA ]]*1.16)</f>
        <v>429.00279999999998</v>
      </c>
      <c r="AE155" s="28" t="s">
        <v>63</v>
      </c>
      <c r="AF155" s="28">
        <v>369.82758620689657</v>
      </c>
      <c r="AG155" s="28">
        <v>429</v>
      </c>
      <c r="AH155" s="22" t="s">
        <v>64</v>
      </c>
      <c r="AI155" s="63">
        <v>45713</v>
      </c>
      <c r="AJ155" s="63">
        <v>46433</v>
      </c>
      <c r="AK1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5" s="30"/>
      <c r="AN155" s="20" t="s">
        <v>65</v>
      </c>
      <c r="AO155" s="20" t="s">
        <v>141</v>
      </c>
      <c r="AP155" s="20" t="s">
        <v>84</v>
      </c>
      <c r="AQ155" s="20" t="s">
        <v>100</v>
      </c>
    </row>
    <row r="156" spans="1:43" ht="16">
      <c r="A156" s="20">
        <v>8110502262</v>
      </c>
      <c r="B156" s="49">
        <v>1045987</v>
      </c>
      <c r="C156" s="20" t="s">
        <v>972</v>
      </c>
      <c r="D156" s="20" t="s">
        <v>973</v>
      </c>
      <c r="E156" s="20" t="s">
        <v>172</v>
      </c>
      <c r="F156" s="20" t="s">
        <v>723</v>
      </c>
      <c r="G156" s="20" t="s">
        <v>723</v>
      </c>
      <c r="H156" s="20" t="s">
        <v>48</v>
      </c>
      <c r="I156" s="20" t="s">
        <v>723</v>
      </c>
      <c r="J156" s="54" t="s">
        <v>974</v>
      </c>
      <c r="K156" s="54" t="s">
        <v>974</v>
      </c>
      <c r="L156" s="23" t="s">
        <v>955</v>
      </c>
      <c r="M156" s="24" t="s">
        <v>7748</v>
      </c>
      <c r="N156" s="23">
        <v>11318000</v>
      </c>
      <c r="O156" s="25" t="s">
        <v>74</v>
      </c>
      <c r="P156" s="25" t="s">
        <v>53</v>
      </c>
      <c r="Q156" s="20" t="s">
        <v>975</v>
      </c>
      <c r="R156" s="20">
        <v>45421522</v>
      </c>
      <c r="S156" s="25" t="s">
        <v>976</v>
      </c>
      <c r="T156" s="65" t="s">
        <v>57</v>
      </c>
      <c r="U156" s="23">
        <v>860900062338819</v>
      </c>
      <c r="V156" s="27" t="s">
        <v>57</v>
      </c>
      <c r="W156" s="20" t="s">
        <v>58</v>
      </c>
      <c r="X156" s="20" t="s">
        <v>59</v>
      </c>
      <c r="Y156" s="20" t="s">
        <v>59</v>
      </c>
      <c r="Z156" s="20" t="s">
        <v>60</v>
      </c>
      <c r="AA156" s="20" t="s">
        <v>61</v>
      </c>
      <c r="AB156" s="20" t="s">
        <v>96</v>
      </c>
      <c r="AC156" s="28">
        <v>369.83</v>
      </c>
      <c r="AD156" s="28">
        <f>SUM(BASE[[#This Row],[MONTO DE RENTA ]]*1.16)</f>
        <v>429.00279999999998</v>
      </c>
      <c r="AE156" s="28" t="s">
        <v>63</v>
      </c>
      <c r="AF156" s="28">
        <v>369.82758620689657</v>
      </c>
      <c r="AG156" s="28">
        <v>429</v>
      </c>
      <c r="AH156" s="22" t="s">
        <v>116</v>
      </c>
      <c r="AI156" s="63">
        <v>45710</v>
      </c>
      <c r="AJ156" s="63">
        <v>46402</v>
      </c>
      <c r="AK15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6" s="30"/>
      <c r="AN156" s="20" t="s">
        <v>65</v>
      </c>
      <c r="AO156" s="20" t="s">
        <v>141</v>
      </c>
      <c r="AP156" s="20" t="s">
        <v>84</v>
      </c>
      <c r="AQ156" s="20" t="s">
        <v>100</v>
      </c>
    </row>
    <row r="157" spans="1:43" ht="16">
      <c r="A157" s="20">
        <v>8135515305</v>
      </c>
      <c r="B157" s="49">
        <v>1011680</v>
      </c>
      <c r="C157" s="20" t="s">
        <v>977</v>
      </c>
      <c r="D157" s="20" t="s">
        <v>45</v>
      </c>
      <c r="E157" s="20" t="s">
        <v>978</v>
      </c>
      <c r="F157" s="20" t="s">
        <v>808</v>
      </c>
      <c r="G157" s="20" t="s">
        <v>808</v>
      </c>
      <c r="H157" s="20" t="s">
        <v>48</v>
      </c>
      <c r="I157" s="20" t="s">
        <v>808</v>
      </c>
      <c r="J157" s="22" t="s">
        <v>979</v>
      </c>
      <c r="K157" s="22" t="s">
        <v>979</v>
      </c>
      <c r="L157" s="23" t="s">
        <v>955</v>
      </c>
      <c r="M157" s="24" t="s">
        <v>7748</v>
      </c>
      <c r="N157" s="23">
        <v>11318000</v>
      </c>
      <c r="O157" s="25" t="s">
        <v>74</v>
      </c>
      <c r="P157" s="25" t="s">
        <v>53</v>
      </c>
      <c r="Q157" s="20" t="s">
        <v>980</v>
      </c>
      <c r="R157" s="20">
        <v>44918927</v>
      </c>
      <c r="S157" s="25" t="s">
        <v>55</v>
      </c>
      <c r="T157" s="26" t="s">
        <v>56</v>
      </c>
      <c r="U157" s="23">
        <v>865356065671240</v>
      </c>
      <c r="V157" s="27" t="s">
        <v>183</v>
      </c>
      <c r="W157" s="20" t="s">
        <v>129</v>
      </c>
      <c r="X157" s="20" t="s">
        <v>130</v>
      </c>
      <c r="Y157" s="20" t="s">
        <v>130</v>
      </c>
      <c r="Z157" s="20" t="s">
        <v>60</v>
      </c>
      <c r="AA157" s="20" t="s">
        <v>61</v>
      </c>
      <c r="AB157" s="20" t="s">
        <v>96</v>
      </c>
      <c r="AC157" s="28">
        <v>369.83</v>
      </c>
      <c r="AD157" s="28">
        <f>SUM(BASE[[#This Row],[MONTO DE RENTA ]]*1.16)</f>
        <v>429.00279999999998</v>
      </c>
      <c r="AE157" s="28" t="s">
        <v>63</v>
      </c>
      <c r="AF157" s="28">
        <v>369.82758620689657</v>
      </c>
      <c r="AG157" s="28">
        <v>429</v>
      </c>
      <c r="AI157" s="63">
        <v>44937</v>
      </c>
      <c r="AJ157" s="73">
        <v>46043</v>
      </c>
      <c r="AK1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7" s="30"/>
      <c r="AN157" s="20" t="s">
        <v>99</v>
      </c>
      <c r="AP157" s="20" t="s">
        <v>84</v>
      </c>
      <c r="AQ157" s="20" t="s">
        <v>100</v>
      </c>
    </row>
    <row r="158" spans="1:43" ht="16">
      <c r="A158" s="20">
        <v>8135515304</v>
      </c>
      <c r="B158" s="49">
        <v>1051383</v>
      </c>
      <c r="C158" s="20" t="s">
        <v>981</v>
      </c>
      <c r="D158" s="20" t="s">
        <v>982</v>
      </c>
      <c r="E158" s="20" t="s">
        <v>983</v>
      </c>
      <c r="F158" s="20" t="s">
        <v>736</v>
      </c>
      <c r="G158" s="20" t="s">
        <v>736</v>
      </c>
      <c r="H158" s="20" t="s">
        <v>48</v>
      </c>
      <c r="I158" s="20" t="s">
        <v>736</v>
      </c>
      <c r="J158" s="22" t="s">
        <v>984</v>
      </c>
      <c r="K158" s="22" t="s">
        <v>984</v>
      </c>
      <c r="L158" s="23" t="s">
        <v>955</v>
      </c>
      <c r="M158" s="24" t="s">
        <v>7748</v>
      </c>
      <c r="N158" s="23">
        <v>11318000</v>
      </c>
      <c r="O158" s="25" t="s">
        <v>74</v>
      </c>
      <c r="P158" s="25" t="s">
        <v>53</v>
      </c>
      <c r="Q158" s="20" t="s">
        <v>985</v>
      </c>
      <c r="R158" s="20">
        <v>44918928</v>
      </c>
      <c r="S158" s="25" t="s">
        <v>55</v>
      </c>
      <c r="T158" s="26" t="s">
        <v>56</v>
      </c>
      <c r="U158" s="23">
        <v>357654178608678</v>
      </c>
      <c r="V158" s="27" t="s">
        <v>78</v>
      </c>
      <c r="W158" s="20" t="s">
        <v>95</v>
      </c>
      <c r="X158" s="20" t="s">
        <v>95</v>
      </c>
      <c r="Y158" s="20" t="s">
        <v>95</v>
      </c>
      <c r="Z158" s="20" t="s">
        <v>60</v>
      </c>
      <c r="AA158" s="20" t="s">
        <v>61</v>
      </c>
      <c r="AB158" s="20" t="s">
        <v>82</v>
      </c>
      <c r="AC158" s="28">
        <v>559.48</v>
      </c>
      <c r="AD158" s="28">
        <f>SUM(BASE[[#This Row],[MONTO DE RENTA ]]*1.16)</f>
        <v>648.99680000000001</v>
      </c>
      <c r="AE158" s="28" t="s">
        <v>83</v>
      </c>
      <c r="AF158" s="28">
        <v>559.48275862068965</v>
      </c>
      <c r="AG158" s="28">
        <v>649</v>
      </c>
      <c r="AI158" s="63">
        <v>44937</v>
      </c>
      <c r="AJ158" s="73">
        <v>46043</v>
      </c>
      <c r="AK1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8" s="30"/>
      <c r="AN158" s="20" t="s">
        <v>99</v>
      </c>
      <c r="AP158" s="20" t="s">
        <v>84</v>
      </c>
      <c r="AQ158" s="20" t="s">
        <v>100</v>
      </c>
    </row>
    <row r="159" spans="1:43" ht="16">
      <c r="A159" s="83">
        <v>5625569589</v>
      </c>
      <c r="B159" s="117">
        <v>1061102</v>
      </c>
      <c r="C159" s="20" t="s">
        <v>959</v>
      </c>
      <c r="D159" s="20" t="s">
        <v>229</v>
      </c>
      <c r="E159" s="20" t="s">
        <v>461</v>
      </c>
      <c r="F159" s="20" t="s">
        <v>717</v>
      </c>
      <c r="G159" s="20" t="s">
        <v>717</v>
      </c>
      <c r="H159" s="20" t="s">
        <v>48</v>
      </c>
      <c r="I159" s="20" t="s">
        <v>717</v>
      </c>
      <c r="J159" s="118" t="s">
        <v>986</v>
      </c>
      <c r="K159" s="119" t="s">
        <v>986</v>
      </c>
      <c r="L159" s="23" t="s">
        <v>987</v>
      </c>
      <c r="M159" s="24" t="s">
        <v>7748</v>
      </c>
      <c r="N159" s="23">
        <v>11318000</v>
      </c>
      <c r="O159" s="25" t="s">
        <v>52</v>
      </c>
      <c r="P159" s="25" t="s">
        <v>53</v>
      </c>
      <c r="Q159" s="20" t="s">
        <v>988</v>
      </c>
      <c r="R159" s="20">
        <v>96469847</v>
      </c>
      <c r="S159" s="25" t="s">
        <v>55</v>
      </c>
      <c r="T159" s="67" t="s">
        <v>56</v>
      </c>
      <c r="U159" s="23">
        <v>865356065729394</v>
      </c>
      <c r="V159" s="27" t="s">
        <v>183</v>
      </c>
      <c r="W159" s="20" t="s">
        <v>129</v>
      </c>
      <c r="X159" s="20" t="s">
        <v>130</v>
      </c>
      <c r="Y159" s="20" t="s">
        <v>130</v>
      </c>
      <c r="Z159" s="20" t="s">
        <v>60</v>
      </c>
      <c r="AA159" s="20" t="s">
        <v>61</v>
      </c>
      <c r="AB159" s="20" t="s">
        <v>96</v>
      </c>
      <c r="AC159" s="28">
        <v>369.83</v>
      </c>
      <c r="AD159" s="120">
        <f>SUM(BASE[[#This Row],[MONTO DE RENTA ]]*1.16)</f>
        <v>429.00279999999998</v>
      </c>
      <c r="AE159" s="28" t="s">
        <v>63</v>
      </c>
      <c r="AF159" s="28">
        <v>369.82758620689657</v>
      </c>
      <c r="AG159" s="120">
        <v>429</v>
      </c>
      <c r="AH159" s="121" t="s">
        <v>448</v>
      </c>
      <c r="AI159" s="122">
        <v>45294</v>
      </c>
      <c r="AJ159" s="122">
        <v>46025</v>
      </c>
      <c r="AK159" s="123">
        <f ca="1">IFERROR(IF(BASE[[#This Row],[FECHA DE RENOVACION ]]&gt;TODAY(), DATEDIF(TODAY(),BASE[[#This Row],[FECHA DE RENOVACION ]],"M"), -DATEDIF(BASE[[#This Row],[FECHA DE RENOVACION ]],TODAY(),"M")), "Sin fecha")</f>
        <v>-2</v>
      </c>
      <c r="AL159" s="83">
        <v>18061000</v>
      </c>
      <c r="AM159" s="123"/>
      <c r="AN159" s="20" t="s">
        <v>99</v>
      </c>
      <c r="AP159" s="20" t="s">
        <v>84</v>
      </c>
      <c r="AQ159" s="20" t="s">
        <v>100</v>
      </c>
    </row>
    <row r="160" spans="1:43" ht="16">
      <c r="A160" s="20">
        <v>5666869200</v>
      </c>
      <c r="B160" s="86">
        <v>1068788</v>
      </c>
      <c r="C160" s="20" t="s">
        <v>989</v>
      </c>
      <c r="D160" s="20" t="s">
        <v>546</v>
      </c>
      <c r="E160" s="20" t="s">
        <v>172</v>
      </c>
      <c r="F160" s="20" t="s">
        <v>990</v>
      </c>
      <c r="G160" s="20" t="s">
        <v>990</v>
      </c>
      <c r="H160" s="20" t="s">
        <v>48</v>
      </c>
      <c r="I160" s="20" t="s">
        <v>990</v>
      </c>
      <c r="J160" s="32" t="s">
        <v>991</v>
      </c>
      <c r="K160" s="32" t="s">
        <v>992</v>
      </c>
      <c r="L160" s="23" t="s">
        <v>987</v>
      </c>
      <c r="M160" s="24" t="s">
        <v>7748</v>
      </c>
      <c r="N160" s="23">
        <v>11319000</v>
      </c>
      <c r="O160" s="25" t="s">
        <v>52</v>
      </c>
      <c r="P160" s="25" t="s">
        <v>53</v>
      </c>
      <c r="Q160" s="20" t="s">
        <v>993</v>
      </c>
      <c r="R160" s="20">
        <v>97824019</v>
      </c>
      <c r="S160" s="25" t="s">
        <v>55</v>
      </c>
      <c r="T160" s="26" t="s">
        <v>56</v>
      </c>
      <c r="U160" s="23">
        <v>860900062336607</v>
      </c>
      <c r="V160" s="27" t="s">
        <v>57</v>
      </c>
      <c r="W160" s="20" t="s">
        <v>58</v>
      </c>
      <c r="X160" s="20" t="s">
        <v>59</v>
      </c>
      <c r="Y160" s="20" t="s">
        <v>59</v>
      </c>
      <c r="Z160" s="20" t="s">
        <v>60</v>
      </c>
      <c r="AA160" s="20" t="s">
        <v>61</v>
      </c>
      <c r="AB160" s="20" t="s">
        <v>62</v>
      </c>
      <c r="AC160" s="28">
        <v>197.41</v>
      </c>
      <c r="AD160" s="28">
        <f>SUM(BASE[[#This Row],[MONTO DE RENTA ]]*1.16)</f>
        <v>228.99559999999997</v>
      </c>
      <c r="AE160" s="28" t="s">
        <v>63</v>
      </c>
      <c r="AF160" s="28">
        <v>369.82758620689657</v>
      </c>
      <c r="AG160" s="28">
        <v>429</v>
      </c>
      <c r="AH160" s="22" t="s">
        <v>64</v>
      </c>
      <c r="AI160" s="63">
        <v>45703</v>
      </c>
      <c r="AJ160" s="63">
        <v>46433</v>
      </c>
      <c r="AK1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0" s="30"/>
      <c r="AN160" s="20" t="s">
        <v>65</v>
      </c>
      <c r="AO160" s="20" t="s">
        <v>141</v>
      </c>
      <c r="AP160" s="20" t="s">
        <v>66</v>
      </c>
      <c r="AQ160" s="20" t="s">
        <v>100</v>
      </c>
    </row>
    <row r="161" spans="1:43" ht="16">
      <c r="A161" s="20">
        <v>5625690693</v>
      </c>
      <c r="B161" s="49">
        <v>600453</v>
      </c>
      <c r="C161" s="20" t="s">
        <v>487</v>
      </c>
      <c r="D161" s="20" t="s">
        <v>172</v>
      </c>
      <c r="E161" s="20" t="s">
        <v>994</v>
      </c>
      <c r="F161" s="20" t="s">
        <v>723</v>
      </c>
      <c r="G161" s="20" t="s">
        <v>47</v>
      </c>
      <c r="H161" s="20" t="s">
        <v>48</v>
      </c>
      <c r="I161" s="20" t="s">
        <v>723</v>
      </c>
      <c r="J161" s="22" t="s">
        <v>995</v>
      </c>
      <c r="K161" s="22" t="s">
        <v>996</v>
      </c>
      <c r="L161" s="23" t="s">
        <v>987</v>
      </c>
      <c r="M161" s="24" t="s">
        <v>7748</v>
      </c>
      <c r="N161" s="23">
        <v>11319000</v>
      </c>
      <c r="O161" s="25" t="s">
        <v>52</v>
      </c>
      <c r="P161" s="25" t="s">
        <v>53</v>
      </c>
      <c r="Q161" s="20" t="s">
        <v>997</v>
      </c>
      <c r="R161" s="20">
        <v>97376001</v>
      </c>
      <c r="S161" s="25" t="s">
        <v>55</v>
      </c>
      <c r="T161" s="26" t="s">
        <v>56</v>
      </c>
      <c r="U161" s="23">
        <v>865356065671687</v>
      </c>
      <c r="V161" s="27" t="s">
        <v>183</v>
      </c>
      <c r="W161" s="20" t="s">
        <v>129</v>
      </c>
      <c r="X161" s="20" t="s">
        <v>130</v>
      </c>
      <c r="Y161" s="20" t="s">
        <v>130</v>
      </c>
      <c r="Z161" s="20" t="s">
        <v>60</v>
      </c>
      <c r="AA161" s="20" t="s">
        <v>61</v>
      </c>
      <c r="AB161" s="20" t="s">
        <v>96</v>
      </c>
      <c r="AC161" s="28">
        <v>369.83</v>
      </c>
      <c r="AD161" s="28">
        <f>SUM(BASE[[#This Row],[MONTO DE RENTA ]]*1.16)</f>
        <v>429.00279999999998</v>
      </c>
      <c r="AE161" s="28" t="s">
        <v>63</v>
      </c>
      <c r="AF161" s="28">
        <v>369.82758620689657</v>
      </c>
      <c r="AG161" s="28">
        <v>429</v>
      </c>
      <c r="AI161" s="63">
        <v>44937</v>
      </c>
      <c r="AJ161" s="73">
        <v>46043</v>
      </c>
      <c r="AK1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1" s="30"/>
      <c r="AN161" s="20" t="s">
        <v>99</v>
      </c>
      <c r="AP161" s="20" t="s">
        <v>84</v>
      </c>
      <c r="AQ161" s="20" t="s">
        <v>100</v>
      </c>
    </row>
    <row r="162" spans="1:43" ht="16">
      <c r="A162" s="20">
        <v>8118000384</v>
      </c>
      <c r="B162" s="21">
        <v>1052114</v>
      </c>
      <c r="C162" s="20" t="s">
        <v>998</v>
      </c>
      <c r="D162" s="20" t="s">
        <v>999</v>
      </c>
      <c r="E162" s="20" t="s">
        <v>1000</v>
      </c>
      <c r="F162" s="20" t="s">
        <v>819</v>
      </c>
      <c r="G162" s="20" t="s">
        <v>819</v>
      </c>
      <c r="H162" s="20" t="s">
        <v>48</v>
      </c>
      <c r="I162" s="20" t="s">
        <v>819</v>
      </c>
      <c r="J162" s="22" t="s">
        <v>1001</v>
      </c>
      <c r="K162" s="22" t="s">
        <v>1001</v>
      </c>
      <c r="L162" s="23" t="s">
        <v>955</v>
      </c>
      <c r="M162" s="24" t="s">
        <v>7748</v>
      </c>
      <c r="N162" s="23">
        <v>11318000</v>
      </c>
      <c r="O162" s="25" t="s">
        <v>74</v>
      </c>
      <c r="P162" s="25" t="s">
        <v>53</v>
      </c>
      <c r="Q162" s="20" t="s">
        <v>1002</v>
      </c>
      <c r="R162" s="20">
        <v>43625185</v>
      </c>
      <c r="S162" s="25" t="s">
        <v>55</v>
      </c>
      <c r="T162" s="44" t="s">
        <v>56</v>
      </c>
      <c r="U162" s="23">
        <v>860982060886254</v>
      </c>
      <c r="V162" s="27" t="s">
        <v>183</v>
      </c>
      <c r="W162" s="20" t="s">
        <v>129</v>
      </c>
      <c r="X162" s="20" t="s">
        <v>130</v>
      </c>
      <c r="Y162" s="20" t="s">
        <v>130</v>
      </c>
      <c r="Z162" s="20" t="s">
        <v>60</v>
      </c>
      <c r="AA162" s="20" t="s">
        <v>61</v>
      </c>
      <c r="AB162" s="20" t="s">
        <v>96</v>
      </c>
      <c r="AC162" s="28">
        <v>369.83</v>
      </c>
      <c r="AD162" s="28">
        <f>SUM(BASE[[#This Row],[MONTO DE RENTA ]]*1.16)</f>
        <v>429.00279999999998</v>
      </c>
      <c r="AE162" s="28" t="s">
        <v>63</v>
      </c>
      <c r="AF162" s="28">
        <v>369.82758620689657</v>
      </c>
      <c r="AG162" s="28">
        <v>429</v>
      </c>
      <c r="AH162" s="22" t="s">
        <v>64</v>
      </c>
      <c r="AI162" s="63" t="s">
        <v>251</v>
      </c>
      <c r="AJ162" s="63">
        <v>46054</v>
      </c>
      <c r="AK16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2" s="30"/>
      <c r="AN162" s="20" t="s">
        <v>99</v>
      </c>
      <c r="AO162" s="20" t="s">
        <v>355</v>
      </c>
      <c r="AP162" s="20" t="s">
        <v>84</v>
      </c>
      <c r="AQ162" s="20" t="s">
        <v>100</v>
      </c>
    </row>
    <row r="163" spans="1:43" ht="16">
      <c r="A163" s="124">
        <v>5548331449</v>
      </c>
      <c r="B163" s="125">
        <v>990047</v>
      </c>
      <c r="C163" s="20" t="s">
        <v>1003</v>
      </c>
      <c r="D163" s="20" t="s">
        <v>102</v>
      </c>
      <c r="E163" s="20" t="s">
        <v>627</v>
      </c>
      <c r="F163" s="20" t="s">
        <v>1004</v>
      </c>
      <c r="G163" s="20" t="s">
        <v>1004</v>
      </c>
      <c r="H163" s="20" t="s">
        <v>48</v>
      </c>
      <c r="I163" s="20" t="s">
        <v>1004</v>
      </c>
      <c r="J163" s="126" t="s">
        <v>1005</v>
      </c>
      <c r="K163" s="127" t="s">
        <v>1006</v>
      </c>
      <c r="L163" s="23" t="s">
        <v>987</v>
      </c>
      <c r="M163" s="128" t="s">
        <v>7748</v>
      </c>
      <c r="N163" s="23">
        <v>18679000</v>
      </c>
      <c r="O163" s="25" t="s">
        <v>52</v>
      </c>
      <c r="P163" s="25" t="s">
        <v>53</v>
      </c>
      <c r="Q163" s="20" t="s">
        <v>1007</v>
      </c>
      <c r="R163" s="20">
        <v>96469845</v>
      </c>
      <c r="S163" s="25" t="s">
        <v>55</v>
      </c>
      <c r="T163" s="129" t="s">
        <v>56</v>
      </c>
      <c r="U163" s="23">
        <v>865356065729881</v>
      </c>
      <c r="V163" s="27" t="s">
        <v>183</v>
      </c>
      <c r="W163" s="20" t="s">
        <v>129</v>
      </c>
      <c r="X163" s="20" t="s">
        <v>130</v>
      </c>
      <c r="Y163" s="20" t="s">
        <v>130</v>
      </c>
      <c r="Z163" s="20" t="s">
        <v>60</v>
      </c>
      <c r="AA163" s="20" t="s">
        <v>61</v>
      </c>
      <c r="AB163" s="20" t="s">
        <v>96</v>
      </c>
      <c r="AC163" s="28">
        <v>369.83</v>
      </c>
      <c r="AD163" s="130">
        <f>SUM(BASE[[#This Row],[MONTO DE RENTA ]]*1.16)</f>
        <v>429.00279999999998</v>
      </c>
      <c r="AE163" s="28" t="s">
        <v>63</v>
      </c>
      <c r="AF163" s="28">
        <v>369.82758620689657</v>
      </c>
      <c r="AG163" s="130">
        <v>429</v>
      </c>
      <c r="AH163" s="126"/>
      <c r="AI163" s="29">
        <v>44937</v>
      </c>
      <c r="AJ163" s="131">
        <v>46043</v>
      </c>
      <c r="AK163" s="132">
        <f ca="1">IFERROR(IF(BASE[[#This Row],[FECHA DE RENOVACION ]]&gt;TODAY(), DATEDIF(TODAY(),BASE[[#This Row],[FECHA DE RENOVACION ]],"M"), -DATEDIF(BASE[[#This Row],[FECHA DE RENOVACION ]],TODAY(),"M")), "Sin fecha")</f>
        <v>-1</v>
      </c>
      <c r="AL163" s="124"/>
      <c r="AM163" s="132"/>
      <c r="AN163" s="20" t="s">
        <v>99</v>
      </c>
      <c r="AP163" s="20" t="s">
        <v>84</v>
      </c>
      <c r="AQ163" s="20" t="s">
        <v>100</v>
      </c>
    </row>
    <row r="164" spans="1:43" ht="16">
      <c r="A164" s="124">
        <v>5549552057</v>
      </c>
      <c r="B164" s="125">
        <v>990047</v>
      </c>
      <c r="C164" s="20" t="s">
        <v>1003</v>
      </c>
      <c r="D164" s="20" t="s">
        <v>102</v>
      </c>
      <c r="E164" s="20" t="s">
        <v>627</v>
      </c>
      <c r="F164" s="20" t="s">
        <v>1004</v>
      </c>
      <c r="G164" s="20" t="s">
        <v>1004</v>
      </c>
      <c r="H164" s="20" t="s">
        <v>48</v>
      </c>
      <c r="I164" s="20" t="s">
        <v>1004</v>
      </c>
      <c r="J164" s="126" t="s">
        <v>1008</v>
      </c>
      <c r="K164" s="126" t="s">
        <v>1009</v>
      </c>
      <c r="L164" s="23" t="s">
        <v>987</v>
      </c>
      <c r="M164" s="128" t="s">
        <v>7748</v>
      </c>
      <c r="N164" s="23">
        <v>18679000</v>
      </c>
      <c r="O164" s="25" t="s">
        <v>52</v>
      </c>
      <c r="P164" s="25" t="s">
        <v>53</v>
      </c>
      <c r="Q164" s="20" t="s">
        <v>1010</v>
      </c>
      <c r="R164" s="20">
        <v>96469801</v>
      </c>
      <c r="S164" s="25" t="s">
        <v>55</v>
      </c>
      <c r="T164" s="129" t="s">
        <v>56</v>
      </c>
      <c r="U164" s="23">
        <v>860982060886239</v>
      </c>
      <c r="V164" s="27" t="s">
        <v>183</v>
      </c>
      <c r="W164" s="20" t="s">
        <v>129</v>
      </c>
      <c r="X164" s="20" t="s">
        <v>130</v>
      </c>
      <c r="Y164" s="20" t="s">
        <v>130</v>
      </c>
      <c r="Z164" s="20" t="s">
        <v>60</v>
      </c>
      <c r="AA164" s="20" t="s">
        <v>61</v>
      </c>
      <c r="AB164" s="20" t="s">
        <v>96</v>
      </c>
      <c r="AC164" s="28">
        <v>369.83</v>
      </c>
      <c r="AD164" s="130">
        <f>SUM(BASE[[#This Row],[MONTO DE RENTA ]]*1.16)</f>
        <v>429.00279999999998</v>
      </c>
      <c r="AE164" s="28" t="s">
        <v>63</v>
      </c>
      <c r="AF164" s="28">
        <v>369.82758620689657</v>
      </c>
      <c r="AG164" s="130">
        <v>429</v>
      </c>
      <c r="AH164" s="126"/>
      <c r="AI164" s="63">
        <v>44937</v>
      </c>
      <c r="AJ164" s="133">
        <v>46043</v>
      </c>
      <c r="AK164" s="132">
        <f ca="1">IFERROR(IF(BASE[[#This Row],[FECHA DE RENOVACION ]]&gt;TODAY(), DATEDIF(TODAY(),BASE[[#This Row],[FECHA DE RENOVACION ]],"M"), -DATEDIF(BASE[[#This Row],[FECHA DE RENOVACION ]],TODAY(),"M")), "Sin fecha")</f>
        <v>-1</v>
      </c>
      <c r="AL164" s="124"/>
      <c r="AM164" s="132"/>
      <c r="AN164" s="20" t="s">
        <v>99</v>
      </c>
      <c r="AP164" s="20" t="s">
        <v>84</v>
      </c>
      <c r="AQ164" s="20" t="s">
        <v>100</v>
      </c>
    </row>
    <row r="165" spans="1:43" ht="16">
      <c r="A165" s="134">
        <v>5548345210</v>
      </c>
      <c r="B165" s="135">
        <v>500004</v>
      </c>
      <c r="C165" s="20" t="s">
        <v>1011</v>
      </c>
      <c r="D165" s="20" t="s">
        <v>1012</v>
      </c>
      <c r="E165" s="20" t="s">
        <v>1013</v>
      </c>
      <c r="F165" s="20" t="s">
        <v>723</v>
      </c>
      <c r="G165" s="20" t="s">
        <v>723</v>
      </c>
      <c r="H165" s="20" t="s">
        <v>48</v>
      </c>
      <c r="I165" s="20" t="s">
        <v>723</v>
      </c>
      <c r="J165" s="136" t="s">
        <v>1014</v>
      </c>
      <c r="K165" s="136" t="s">
        <v>996</v>
      </c>
      <c r="L165" s="23" t="s">
        <v>987</v>
      </c>
      <c r="M165" s="24" t="s">
        <v>7748</v>
      </c>
      <c r="N165" s="23">
        <v>11319000</v>
      </c>
      <c r="O165" s="25" t="s">
        <v>52</v>
      </c>
      <c r="P165" s="25" t="s">
        <v>53</v>
      </c>
      <c r="Q165" s="20" t="s">
        <v>1015</v>
      </c>
      <c r="R165" s="20">
        <v>96469842</v>
      </c>
      <c r="S165" s="25" t="s">
        <v>55</v>
      </c>
      <c r="T165" s="81" t="s">
        <v>56</v>
      </c>
      <c r="U165" s="23">
        <v>865356065671687</v>
      </c>
      <c r="V165" s="27" t="s">
        <v>183</v>
      </c>
      <c r="W165" s="20" t="s">
        <v>129</v>
      </c>
      <c r="X165" s="20" t="s">
        <v>130</v>
      </c>
      <c r="Y165" s="20" t="s">
        <v>130</v>
      </c>
      <c r="Z165" s="20" t="s">
        <v>60</v>
      </c>
      <c r="AA165" s="20" t="s">
        <v>61</v>
      </c>
      <c r="AB165" s="20" t="s">
        <v>96</v>
      </c>
      <c r="AC165" s="28">
        <v>369.83</v>
      </c>
      <c r="AD165" s="28">
        <f>SUM(BASE[[#This Row],[MONTO DE RENTA ]]*1.16)</f>
        <v>429.00279999999998</v>
      </c>
      <c r="AE165" s="28" t="s">
        <v>63</v>
      </c>
      <c r="AF165" s="28">
        <v>369.82758620689657</v>
      </c>
      <c r="AG165" s="28">
        <v>429</v>
      </c>
      <c r="AH165" s="137" t="s">
        <v>140</v>
      </c>
      <c r="AI165" s="138">
        <v>45470</v>
      </c>
      <c r="AJ165" s="138">
        <v>45835</v>
      </c>
      <c r="AK165" s="30">
        <f ca="1">IFERROR(IF(BASE[[#This Row],[FECHA DE RENOVACION ]]&gt;TODAY(), DATEDIF(TODAY(),BASE[[#This Row],[FECHA DE RENOVACION ]],"M"), -DATEDIF(BASE[[#This Row],[FECHA DE RENOVACION ]],TODAY(),"M")), "Sin fecha")</f>
        <v>-8</v>
      </c>
      <c r="AL165" s="134"/>
      <c r="AM165" s="139" t="s">
        <v>1016</v>
      </c>
      <c r="AN165" s="20" t="s">
        <v>99</v>
      </c>
      <c r="AP165" s="20" t="s">
        <v>84</v>
      </c>
      <c r="AQ165" s="20" t="s">
        <v>100</v>
      </c>
    </row>
    <row r="166" spans="1:43" ht="16">
      <c r="A166" s="20">
        <v>5554320425</v>
      </c>
      <c r="B166" s="49">
        <v>1004709</v>
      </c>
      <c r="C166" s="20" t="s">
        <v>902</v>
      </c>
      <c r="D166" s="20" t="s">
        <v>1017</v>
      </c>
      <c r="E166" s="20" t="s">
        <v>216</v>
      </c>
      <c r="F166" s="20" t="s">
        <v>1018</v>
      </c>
      <c r="G166" s="20" t="s">
        <v>1018</v>
      </c>
      <c r="H166" s="20" t="s">
        <v>48</v>
      </c>
      <c r="I166" s="20" t="s">
        <v>1018</v>
      </c>
      <c r="J166" s="54" t="s">
        <v>1019</v>
      </c>
      <c r="K166" s="54" t="s">
        <v>1019</v>
      </c>
      <c r="L166" s="23" t="s">
        <v>987</v>
      </c>
      <c r="M166" s="24" t="s">
        <v>7748</v>
      </c>
      <c r="N166" s="23">
        <v>18799000</v>
      </c>
      <c r="O166" s="25" t="s">
        <v>52</v>
      </c>
      <c r="P166" s="25" t="s">
        <v>53</v>
      </c>
      <c r="Q166" s="20" t="s">
        <v>1020</v>
      </c>
      <c r="R166" s="20">
        <v>96469849</v>
      </c>
      <c r="S166" s="25" t="s">
        <v>55</v>
      </c>
      <c r="T166" s="65" t="s">
        <v>56</v>
      </c>
      <c r="U166" s="23">
        <v>865356065668642</v>
      </c>
      <c r="V166" s="27" t="s">
        <v>183</v>
      </c>
      <c r="W166" s="20" t="s">
        <v>129</v>
      </c>
      <c r="X166" s="20" t="s">
        <v>130</v>
      </c>
      <c r="Y166" s="20" t="s">
        <v>130</v>
      </c>
      <c r="Z166" s="20" t="s">
        <v>60</v>
      </c>
      <c r="AA166" s="20" t="s">
        <v>61</v>
      </c>
      <c r="AB166" s="20" t="s">
        <v>96</v>
      </c>
      <c r="AC166" s="28">
        <v>369.83</v>
      </c>
      <c r="AD166" s="28">
        <f>SUM(BASE[[#This Row],[MONTO DE RENTA ]]*1.16)</f>
        <v>429.00279999999998</v>
      </c>
      <c r="AE166" s="28" t="s">
        <v>63</v>
      </c>
      <c r="AF166" s="28">
        <v>369.82758620689657</v>
      </c>
      <c r="AG166" s="28">
        <v>429</v>
      </c>
      <c r="AH166" s="22" t="s">
        <v>98</v>
      </c>
      <c r="AI166" s="63">
        <v>45294</v>
      </c>
      <c r="AJ166" s="63">
        <v>46040</v>
      </c>
      <c r="AK16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6" s="30"/>
      <c r="AN166" s="20" t="s">
        <v>99</v>
      </c>
      <c r="AP166" s="20" t="s">
        <v>84</v>
      </c>
      <c r="AQ166" s="20" t="s">
        <v>100</v>
      </c>
    </row>
    <row r="167" spans="1:43" ht="16">
      <c r="A167" s="20">
        <v>5548304024</v>
      </c>
      <c r="B167" s="49">
        <v>1078768</v>
      </c>
      <c r="C167" s="20" t="s">
        <v>733</v>
      </c>
      <c r="D167" s="20" t="s">
        <v>845</v>
      </c>
      <c r="E167" s="20" t="s">
        <v>411</v>
      </c>
      <c r="F167" s="20" t="s">
        <v>808</v>
      </c>
      <c r="G167" s="20" t="s">
        <v>808</v>
      </c>
      <c r="H167" s="20" t="s">
        <v>48</v>
      </c>
      <c r="I167" s="20" t="s">
        <v>808</v>
      </c>
      <c r="J167" s="22" t="s">
        <v>1021</v>
      </c>
      <c r="K167" s="22" t="s">
        <v>1021</v>
      </c>
      <c r="L167" s="23" t="s">
        <v>987</v>
      </c>
      <c r="M167" s="24" t="s">
        <v>7748</v>
      </c>
      <c r="N167" s="23">
        <v>11319000</v>
      </c>
      <c r="O167" s="25" t="s">
        <v>52</v>
      </c>
      <c r="P167" s="25" t="s">
        <v>53</v>
      </c>
      <c r="Q167" s="20" t="s">
        <v>1022</v>
      </c>
      <c r="R167" s="20">
        <v>96469850</v>
      </c>
      <c r="S167" s="25" t="s">
        <v>55</v>
      </c>
      <c r="T167" s="44" t="s">
        <v>56</v>
      </c>
      <c r="U167" s="23">
        <v>865356065668253</v>
      </c>
      <c r="V167" s="27" t="s">
        <v>183</v>
      </c>
      <c r="W167" s="20" t="s">
        <v>129</v>
      </c>
      <c r="X167" s="20" t="s">
        <v>130</v>
      </c>
      <c r="Y167" s="20" t="s">
        <v>130</v>
      </c>
      <c r="Z167" s="20" t="s">
        <v>60</v>
      </c>
      <c r="AA167" s="20" t="s">
        <v>61</v>
      </c>
      <c r="AB167" s="20" t="s">
        <v>96</v>
      </c>
      <c r="AC167" s="28">
        <v>369.83</v>
      </c>
      <c r="AD167" s="28">
        <f>SUM(BASE[[#This Row],[MONTO DE RENTA ]]*1.16)</f>
        <v>429.00279999999998</v>
      </c>
      <c r="AE167" s="28" t="s">
        <v>63</v>
      </c>
      <c r="AF167" s="28">
        <v>369.82758620689657</v>
      </c>
      <c r="AG167" s="28">
        <v>429</v>
      </c>
      <c r="AI167" s="63">
        <v>44937</v>
      </c>
      <c r="AJ167" s="73">
        <v>46043</v>
      </c>
      <c r="AK1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7" s="30"/>
      <c r="AN167" s="20" t="s">
        <v>99</v>
      </c>
      <c r="AP167" s="20" t="s">
        <v>84</v>
      </c>
      <c r="AQ167" s="20" t="s">
        <v>100</v>
      </c>
    </row>
    <row r="168" spans="1:43" ht="16">
      <c r="A168" s="20">
        <v>5548337392</v>
      </c>
      <c r="B168" s="49">
        <v>500001</v>
      </c>
      <c r="C168" s="20" t="s">
        <v>1023</v>
      </c>
      <c r="D168" s="20" t="s">
        <v>1024</v>
      </c>
      <c r="E168" s="20" t="s">
        <v>405</v>
      </c>
      <c r="F168" s="20" t="s">
        <v>736</v>
      </c>
      <c r="G168" s="20" t="s">
        <v>736</v>
      </c>
      <c r="H168" s="20" t="s">
        <v>48</v>
      </c>
      <c r="I168" s="20" t="s">
        <v>736</v>
      </c>
      <c r="J168" s="22" t="s">
        <v>1025</v>
      </c>
      <c r="K168" s="22" t="s">
        <v>1025</v>
      </c>
      <c r="L168" s="23" t="s">
        <v>987</v>
      </c>
      <c r="M168" s="24" t="s">
        <v>7748</v>
      </c>
      <c r="N168" s="23">
        <v>11319000</v>
      </c>
      <c r="O168" s="25" t="s">
        <v>52</v>
      </c>
      <c r="P168" s="25" t="s">
        <v>53</v>
      </c>
      <c r="Q168" s="20" t="s">
        <v>1026</v>
      </c>
      <c r="R168" s="20">
        <v>96469844</v>
      </c>
      <c r="S168" s="25" t="s">
        <v>55</v>
      </c>
      <c r="T168" s="26" t="s">
        <v>56</v>
      </c>
      <c r="U168" s="23">
        <v>865356065671844</v>
      </c>
      <c r="V168" s="27" t="s">
        <v>183</v>
      </c>
      <c r="W168" s="20" t="s">
        <v>129</v>
      </c>
      <c r="X168" s="20" t="s">
        <v>130</v>
      </c>
      <c r="Y168" s="20" t="s">
        <v>130</v>
      </c>
      <c r="Z168" s="20" t="s">
        <v>60</v>
      </c>
      <c r="AA168" s="20" t="s">
        <v>61</v>
      </c>
      <c r="AB168" s="20" t="s">
        <v>96</v>
      </c>
      <c r="AC168" s="28">
        <v>369.83</v>
      </c>
      <c r="AD168" s="28">
        <f>SUM(BASE[[#This Row],[MONTO DE RENTA ]]*1.16)</f>
        <v>429.00279999999998</v>
      </c>
      <c r="AE168" s="28" t="s">
        <v>63</v>
      </c>
      <c r="AF168" s="28">
        <v>369.82758620689657</v>
      </c>
      <c r="AG168" s="28">
        <v>429</v>
      </c>
      <c r="AI168" s="63">
        <v>44937</v>
      </c>
      <c r="AJ168" s="73">
        <v>46043</v>
      </c>
      <c r="AK1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8" s="30"/>
      <c r="AN168" s="20" t="s">
        <v>99</v>
      </c>
      <c r="AP168" s="20" t="s">
        <v>84</v>
      </c>
      <c r="AQ168" s="20" t="s">
        <v>100</v>
      </c>
    </row>
    <row r="169" spans="1:43" ht="16">
      <c r="A169" s="20">
        <v>5591958378</v>
      </c>
      <c r="B169" s="21">
        <v>1050974</v>
      </c>
      <c r="C169" s="20" t="s">
        <v>1027</v>
      </c>
      <c r="D169" s="20" t="s">
        <v>1028</v>
      </c>
      <c r="E169" s="20" t="s">
        <v>358</v>
      </c>
      <c r="F169" s="20" t="s">
        <v>819</v>
      </c>
      <c r="G169" s="20" t="s">
        <v>819</v>
      </c>
      <c r="H169" s="20" t="s">
        <v>48</v>
      </c>
      <c r="I169" s="20" t="s">
        <v>819</v>
      </c>
      <c r="J169" s="22" t="s">
        <v>1029</v>
      </c>
      <c r="K169" s="22" t="s">
        <v>1029</v>
      </c>
      <c r="L169" s="23" t="s">
        <v>987</v>
      </c>
      <c r="M169" s="24" t="s">
        <v>7748</v>
      </c>
      <c r="N169" s="23">
        <v>11319000</v>
      </c>
      <c r="O169" s="25" t="s">
        <v>52</v>
      </c>
      <c r="P169" s="25" t="s">
        <v>53</v>
      </c>
      <c r="Q169" s="20" t="s">
        <v>1030</v>
      </c>
      <c r="R169" s="20">
        <v>97364872</v>
      </c>
      <c r="S169" s="25" t="s">
        <v>1031</v>
      </c>
      <c r="T169" s="26" t="s">
        <v>57</v>
      </c>
      <c r="U169" s="23">
        <v>860900062337852</v>
      </c>
      <c r="V169" s="27" t="s">
        <v>57</v>
      </c>
      <c r="W169" s="20" t="s">
        <v>58</v>
      </c>
      <c r="X169" s="20" t="s">
        <v>59</v>
      </c>
      <c r="Y169" s="20" t="s">
        <v>59</v>
      </c>
      <c r="Z169" s="20" t="s">
        <v>60</v>
      </c>
      <c r="AA169" s="20" t="s">
        <v>61</v>
      </c>
      <c r="AB169" s="20" t="s">
        <v>96</v>
      </c>
      <c r="AC169" s="28">
        <v>369.83</v>
      </c>
      <c r="AD169" s="28">
        <f>SUM(BASE[[#This Row],[MONTO DE RENTA ]]*1.16)</f>
        <v>429.00279999999998</v>
      </c>
      <c r="AE169" s="28" t="s">
        <v>63</v>
      </c>
      <c r="AF169" s="28">
        <v>369.82758620689657</v>
      </c>
      <c r="AG169" s="28">
        <v>429</v>
      </c>
      <c r="AH169" s="22" t="s">
        <v>64</v>
      </c>
      <c r="AI169" s="63">
        <v>45703</v>
      </c>
      <c r="AJ169" s="63">
        <v>46433</v>
      </c>
      <c r="AK1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9" s="30"/>
      <c r="AN169" s="20" t="s">
        <v>65</v>
      </c>
      <c r="AO169" s="20" t="s">
        <v>141</v>
      </c>
      <c r="AP169" s="20" t="s">
        <v>84</v>
      </c>
      <c r="AQ169" s="20" t="s">
        <v>100</v>
      </c>
    </row>
    <row r="170" spans="1:43" ht="16">
      <c r="A170" s="20">
        <v>9981661146</v>
      </c>
      <c r="B170" s="49">
        <v>350306</v>
      </c>
      <c r="C170" s="20" t="s">
        <v>1032</v>
      </c>
      <c r="D170" s="20" t="s">
        <v>329</v>
      </c>
      <c r="E170" s="20" t="s">
        <v>519</v>
      </c>
      <c r="F170" s="20" t="s">
        <v>723</v>
      </c>
      <c r="G170" s="20" t="s">
        <v>723</v>
      </c>
      <c r="H170" s="20" t="s">
        <v>48</v>
      </c>
      <c r="I170" s="20" t="s">
        <v>723</v>
      </c>
      <c r="J170" s="22" t="s">
        <v>1033</v>
      </c>
      <c r="K170" s="22" t="s">
        <v>1033</v>
      </c>
      <c r="L170" s="23" t="s">
        <v>1034</v>
      </c>
      <c r="M170" s="24" t="s">
        <v>7748</v>
      </c>
      <c r="N170" s="23">
        <v>11323000</v>
      </c>
      <c r="O170" s="25" t="s">
        <v>1035</v>
      </c>
      <c r="P170" s="25" t="s">
        <v>53</v>
      </c>
      <c r="Q170" s="20" t="s">
        <v>1036</v>
      </c>
      <c r="R170" s="20">
        <v>83596125</v>
      </c>
      <c r="S170" s="25" t="s">
        <v>55</v>
      </c>
      <c r="T170" s="26" t="s">
        <v>56</v>
      </c>
      <c r="U170" s="23">
        <v>860982060887971</v>
      </c>
      <c r="V170" s="27" t="s">
        <v>183</v>
      </c>
      <c r="W170" s="20" t="s">
        <v>129</v>
      </c>
      <c r="X170" s="20" t="s">
        <v>130</v>
      </c>
      <c r="Y170" s="20" t="s">
        <v>130</v>
      </c>
      <c r="Z170" s="20" t="s">
        <v>60</v>
      </c>
      <c r="AA170" s="20" t="s">
        <v>61</v>
      </c>
      <c r="AB170" s="20" t="s">
        <v>96</v>
      </c>
      <c r="AC170" s="28">
        <v>369.83</v>
      </c>
      <c r="AD170" s="28">
        <f>SUM(BASE[[#This Row],[MONTO DE RENTA ]]*1.16)</f>
        <v>429.00279999999998</v>
      </c>
      <c r="AE170" s="28" t="s">
        <v>63</v>
      </c>
      <c r="AF170" s="28">
        <v>369.82758620689657</v>
      </c>
      <c r="AG170" s="28">
        <v>429</v>
      </c>
      <c r="AI170" s="63">
        <v>44937</v>
      </c>
      <c r="AJ170" s="73">
        <v>46043</v>
      </c>
      <c r="AK17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0" s="30"/>
      <c r="AN170" s="20" t="s">
        <v>99</v>
      </c>
      <c r="AP170" s="20" t="s">
        <v>84</v>
      </c>
      <c r="AQ170" s="20" t="s">
        <v>100</v>
      </c>
    </row>
    <row r="171" spans="1:43" ht="16">
      <c r="A171" s="20">
        <v>9981106648</v>
      </c>
      <c r="B171" s="49">
        <v>1029873</v>
      </c>
      <c r="C171" s="20" t="s">
        <v>1037</v>
      </c>
      <c r="D171" s="20" t="s">
        <v>186</v>
      </c>
      <c r="E171" s="20" t="s">
        <v>187</v>
      </c>
      <c r="F171" s="20" t="s">
        <v>1038</v>
      </c>
      <c r="G171" s="20" t="s">
        <v>1038</v>
      </c>
      <c r="H171" s="20" t="s">
        <v>48</v>
      </c>
      <c r="I171" s="20" t="s">
        <v>1038</v>
      </c>
      <c r="J171" s="22" t="s">
        <v>1039</v>
      </c>
      <c r="K171" s="22" t="s">
        <v>1039</v>
      </c>
      <c r="L171" s="23" t="s">
        <v>1034</v>
      </c>
      <c r="M171" s="24" t="s">
        <v>7748</v>
      </c>
      <c r="N171" s="23">
        <v>11328000</v>
      </c>
      <c r="O171" s="25" t="s">
        <v>1035</v>
      </c>
      <c r="P171" s="25" t="s">
        <v>53</v>
      </c>
      <c r="Q171" s="20" t="s">
        <v>1040</v>
      </c>
      <c r="R171" s="20">
        <v>83596126</v>
      </c>
      <c r="S171" s="25" t="s">
        <v>55</v>
      </c>
      <c r="T171" s="26" t="s">
        <v>56</v>
      </c>
      <c r="U171" s="23">
        <v>860982060888243</v>
      </c>
      <c r="V171" s="27" t="s">
        <v>183</v>
      </c>
      <c r="W171" s="20" t="s">
        <v>129</v>
      </c>
      <c r="X171" s="20" t="s">
        <v>130</v>
      </c>
      <c r="Y171" s="20" t="s">
        <v>130</v>
      </c>
      <c r="Z171" s="20" t="s">
        <v>60</v>
      </c>
      <c r="AA171" s="20" t="s">
        <v>61</v>
      </c>
      <c r="AB171" s="20" t="s">
        <v>96</v>
      </c>
      <c r="AC171" s="28">
        <v>369.83</v>
      </c>
      <c r="AD171" s="28">
        <f>SUM(BASE[[#This Row],[MONTO DE RENTA ]]*1.16)</f>
        <v>429.00279999999998</v>
      </c>
      <c r="AE171" s="28" t="s">
        <v>63</v>
      </c>
      <c r="AF171" s="28">
        <v>369.82758620689657</v>
      </c>
      <c r="AG171" s="28">
        <v>429</v>
      </c>
      <c r="AI171" s="63">
        <v>44937</v>
      </c>
      <c r="AJ171" s="73">
        <v>46043</v>
      </c>
      <c r="AK1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1" s="30"/>
      <c r="AN171" s="20" t="s">
        <v>99</v>
      </c>
      <c r="AP171" s="20" t="s">
        <v>84</v>
      </c>
      <c r="AQ171" s="20" t="s">
        <v>100</v>
      </c>
    </row>
    <row r="172" spans="1:43" ht="16">
      <c r="A172" s="20">
        <v>9981151418</v>
      </c>
      <c r="B172" s="49">
        <v>350306</v>
      </c>
      <c r="C172" s="20" t="s">
        <v>1032</v>
      </c>
      <c r="D172" s="20" t="s">
        <v>329</v>
      </c>
      <c r="E172" s="20" t="s">
        <v>519</v>
      </c>
      <c r="F172" s="20" t="s">
        <v>723</v>
      </c>
      <c r="G172" s="20" t="s">
        <v>723</v>
      </c>
      <c r="H172" s="20" t="s">
        <v>48</v>
      </c>
      <c r="I172" s="20" t="s">
        <v>723</v>
      </c>
      <c r="J172" s="22" t="s">
        <v>1041</v>
      </c>
      <c r="K172" s="22" t="s">
        <v>1041</v>
      </c>
      <c r="L172" s="23" t="s">
        <v>1034</v>
      </c>
      <c r="M172" s="24" t="s">
        <v>7748</v>
      </c>
      <c r="N172" s="23">
        <v>11323000</v>
      </c>
      <c r="O172" s="25" t="s">
        <v>1035</v>
      </c>
      <c r="P172" s="25" t="s">
        <v>53</v>
      </c>
      <c r="Q172" s="20" t="s">
        <v>1042</v>
      </c>
      <c r="R172" s="20">
        <v>83596136</v>
      </c>
      <c r="S172" s="25" t="s">
        <v>55</v>
      </c>
      <c r="T172" s="26" t="s">
        <v>56</v>
      </c>
      <c r="U172" s="23">
        <v>865356065729923</v>
      </c>
      <c r="V172" s="27" t="s">
        <v>183</v>
      </c>
      <c r="W172" s="20" t="s">
        <v>129</v>
      </c>
      <c r="X172" s="20" t="s">
        <v>130</v>
      </c>
      <c r="Y172" s="20" t="s">
        <v>130</v>
      </c>
      <c r="Z172" s="20" t="s">
        <v>60</v>
      </c>
      <c r="AA172" s="20" t="s">
        <v>61</v>
      </c>
      <c r="AB172" s="20" t="s">
        <v>96</v>
      </c>
      <c r="AC172" s="28">
        <v>369.83</v>
      </c>
      <c r="AD172" s="28">
        <f>SUM(BASE[[#This Row],[MONTO DE RENTA ]]*1.16)</f>
        <v>429.00279999999998</v>
      </c>
      <c r="AE172" s="28" t="s">
        <v>63</v>
      </c>
      <c r="AF172" s="28">
        <v>369.82758620689657</v>
      </c>
      <c r="AG172" s="28">
        <v>429</v>
      </c>
      <c r="AI172" s="63">
        <v>44937</v>
      </c>
      <c r="AJ172" s="73">
        <v>46043</v>
      </c>
      <c r="AK17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2" s="30"/>
      <c r="AN172" s="20" t="s">
        <v>99</v>
      </c>
      <c r="AP172" s="20" t="s">
        <v>84</v>
      </c>
      <c r="AQ172" s="20" t="s">
        <v>100</v>
      </c>
    </row>
    <row r="173" spans="1:43" ht="16">
      <c r="A173" s="20">
        <v>9981657021</v>
      </c>
      <c r="B173" s="49">
        <v>950240</v>
      </c>
      <c r="C173" s="20" t="s">
        <v>1043</v>
      </c>
      <c r="D173" s="20" t="s">
        <v>1044</v>
      </c>
      <c r="E173" s="20" t="s">
        <v>937</v>
      </c>
      <c r="F173" s="20" t="s">
        <v>808</v>
      </c>
      <c r="G173" s="20" t="s">
        <v>808</v>
      </c>
      <c r="H173" s="20" t="s">
        <v>48</v>
      </c>
      <c r="I173" s="20" t="s">
        <v>808</v>
      </c>
      <c r="J173" s="22" t="s">
        <v>1045</v>
      </c>
      <c r="K173" s="22" t="s">
        <v>1045</v>
      </c>
      <c r="L173" s="23" t="s">
        <v>1034</v>
      </c>
      <c r="M173" s="24" t="s">
        <v>7748</v>
      </c>
      <c r="N173" s="23">
        <v>11323000</v>
      </c>
      <c r="O173" s="25" t="s">
        <v>1035</v>
      </c>
      <c r="P173" s="25" t="s">
        <v>53</v>
      </c>
      <c r="Q173" s="20" t="s">
        <v>1046</v>
      </c>
      <c r="R173" s="20">
        <v>83596124</v>
      </c>
      <c r="S173" s="25" t="s">
        <v>55</v>
      </c>
      <c r="T173" s="26" t="s">
        <v>56</v>
      </c>
      <c r="U173" s="23">
        <v>865356065673204</v>
      </c>
      <c r="V173" s="27" t="s">
        <v>183</v>
      </c>
      <c r="W173" s="20" t="s">
        <v>129</v>
      </c>
      <c r="X173" s="20" t="s">
        <v>130</v>
      </c>
      <c r="Y173" s="20" t="s">
        <v>130</v>
      </c>
      <c r="Z173" s="20" t="s">
        <v>60</v>
      </c>
      <c r="AA173" s="20" t="s">
        <v>61</v>
      </c>
      <c r="AB173" s="20" t="s">
        <v>96</v>
      </c>
      <c r="AC173" s="28">
        <v>369.83</v>
      </c>
      <c r="AD173" s="28">
        <f>SUM(BASE[[#This Row],[MONTO DE RENTA ]]*1.16)</f>
        <v>429.00279999999998</v>
      </c>
      <c r="AE173" s="28" t="s">
        <v>63</v>
      </c>
      <c r="AF173" s="28">
        <v>369.82758620689657</v>
      </c>
      <c r="AG173" s="28">
        <v>429</v>
      </c>
      <c r="AI173" s="63">
        <v>44937</v>
      </c>
      <c r="AJ173" s="73">
        <v>46043</v>
      </c>
      <c r="AK1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3" s="30"/>
      <c r="AN173" s="20" t="s">
        <v>99</v>
      </c>
      <c r="AP173" s="20" t="s">
        <v>84</v>
      </c>
      <c r="AQ173" s="20" t="s">
        <v>100</v>
      </c>
    </row>
    <row r="174" spans="1:43" ht="16">
      <c r="A174" s="20">
        <v>9981582566</v>
      </c>
      <c r="B174" s="49">
        <v>1048063</v>
      </c>
      <c r="C174" s="20" t="s">
        <v>1047</v>
      </c>
      <c r="D174" s="20" t="s">
        <v>933</v>
      </c>
      <c r="E174" s="20" t="s">
        <v>1048</v>
      </c>
      <c r="F174" s="20" t="s">
        <v>736</v>
      </c>
      <c r="G174" s="20" t="s">
        <v>736</v>
      </c>
      <c r="H174" s="20" t="s">
        <v>48</v>
      </c>
      <c r="I174" s="20" t="s">
        <v>736</v>
      </c>
      <c r="J174" s="22" t="s">
        <v>1049</v>
      </c>
      <c r="K174" s="22" t="s">
        <v>1049</v>
      </c>
      <c r="L174" s="23" t="s">
        <v>1034</v>
      </c>
      <c r="M174" s="24" t="s">
        <v>7748</v>
      </c>
      <c r="N174" s="23">
        <v>11323000</v>
      </c>
      <c r="O174" s="25" t="s">
        <v>1035</v>
      </c>
      <c r="P174" s="25" t="s">
        <v>53</v>
      </c>
      <c r="Q174" s="20" t="s">
        <v>1050</v>
      </c>
      <c r="R174" s="20">
        <v>83596117</v>
      </c>
      <c r="S174" s="25" t="s">
        <v>55</v>
      </c>
      <c r="T174" s="26" t="s">
        <v>56</v>
      </c>
      <c r="U174" s="23">
        <v>865356065672677</v>
      </c>
      <c r="V174" s="27" t="s">
        <v>183</v>
      </c>
      <c r="W174" s="20" t="s">
        <v>129</v>
      </c>
      <c r="X174" s="20" t="s">
        <v>130</v>
      </c>
      <c r="Y174" s="20" t="s">
        <v>130</v>
      </c>
      <c r="Z174" s="20" t="s">
        <v>60</v>
      </c>
      <c r="AA174" s="20" t="s">
        <v>61</v>
      </c>
      <c r="AB174" s="20" t="s">
        <v>96</v>
      </c>
      <c r="AC174" s="28">
        <v>369.83</v>
      </c>
      <c r="AD174" s="28">
        <f>SUM(BASE[[#This Row],[MONTO DE RENTA ]]*1.16)</f>
        <v>429.00279999999998</v>
      </c>
      <c r="AE174" s="28" t="s">
        <v>63</v>
      </c>
      <c r="AF174" s="28">
        <v>369.82758620689657</v>
      </c>
      <c r="AG174" s="28">
        <v>429</v>
      </c>
      <c r="AI174" s="63">
        <v>44937</v>
      </c>
      <c r="AJ174" s="73">
        <v>46043</v>
      </c>
      <c r="AK17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4" s="30"/>
      <c r="AN174" s="20" t="s">
        <v>99</v>
      </c>
      <c r="AP174" s="20" t="s">
        <v>84</v>
      </c>
      <c r="AQ174" s="20" t="s">
        <v>100</v>
      </c>
    </row>
    <row r="175" spans="1:43" ht="16">
      <c r="A175" s="69">
        <v>9818194551</v>
      </c>
      <c r="B175" s="140">
        <v>1048940</v>
      </c>
      <c r="C175" s="20" t="s">
        <v>1051</v>
      </c>
      <c r="D175" s="20" t="s">
        <v>102</v>
      </c>
      <c r="E175" s="20" t="s">
        <v>657</v>
      </c>
      <c r="F175" s="20" t="s">
        <v>819</v>
      </c>
      <c r="G175" s="20" t="s">
        <v>819</v>
      </c>
      <c r="H175" s="20" t="s">
        <v>48</v>
      </c>
      <c r="I175" s="20" t="s">
        <v>819</v>
      </c>
      <c r="J175" s="141" t="s">
        <v>1052</v>
      </c>
      <c r="K175" s="47" t="s">
        <v>1052</v>
      </c>
      <c r="L175" s="23" t="s">
        <v>1034</v>
      </c>
      <c r="M175" s="24" t="s">
        <v>7748</v>
      </c>
      <c r="N175" s="23">
        <v>11323000</v>
      </c>
      <c r="O175" s="25" t="s">
        <v>1035</v>
      </c>
      <c r="P175" s="25" t="s">
        <v>53</v>
      </c>
      <c r="Q175" s="20" t="s">
        <v>1053</v>
      </c>
      <c r="R175" s="20">
        <v>82293653</v>
      </c>
      <c r="S175" s="25" t="s">
        <v>1054</v>
      </c>
      <c r="T175" s="142" t="s">
        <v>57</v>
      </c>
      <c r="U175" s="23">
        <v>860900062334495</v>
      </c>
      <c r="V175" s="45" t="s">
        <v>57</v>
      </c>
      <c r="W175" s="20" t="s">
        <v>58</v>
      </c>
      <c r="X175" s="20" t="s">
        <v>59</v>
      </c>
      <c r="Y175" s="20" t="s">
        <v>59</v>
      </c>
      <c r="Z175" s="20" t="s">
        <v>1055</v>
      </c>
      <c r="AA175" s="20" t="s">
        <v>80</v>
      </c>
      <c r="AB175" s="20" t="s">
        <v>82</v>
      </c>
      <c r="AC175" s="28">
        <v>559.48</v>
      </c>
      <c r="AD175" s="28">
        <f>SUM(BASE[[#This Row],[MONTO DE RENTA ]]*1.16)</f>
        <v>648.99680000000001</v>
      </c>
      <c r="AE175" s="28" t="s">
        <v>83</v>
      </c>
      <c r="AF175" s="28">
        <v>559.48275862068965</v>
      </c>
      <c r="AG175" s="28">
        <v>649</v>
      </c>
      <c r="AH175" s="53" t="s">
        <v>116</v>
      </c>
      <c r="AI175" s="73">
        <v>45882</v>
      </c>
      <c r="AJ175" s="143">
        <v>46612</v>
      </c>
      <c r="AK175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75" s="24">
        <v>11323000</v>
      </c>
      <c r="AM175" s="144"/>
      <c r="AN175" s="20" t="s">
        <v>65</v>
      </c>
      <c r="AO175" s="20" t="s">
        <v>141</v>
      </c>
      <c r="AP175" s="20" t="s">
        <v>84</v>
      </c>
      <c r="AQ175" s="20" t="s">
        <v>100</v>
      </c>
    </row>
    <row r="176" spans="1:43" ht="16">
      <c r="A176" s="20">
        <v>6869463154</v>
      </c>
      <c r="B176" s="21">
        <v>1010123</v>
      </c>
      <c r="C176" s="20" t="s">
        <v>195</v>
      </c>
      <c r="D176" s="20" t="s">
        <v>1056</v>
      </c>
      <c r="E176" s="20" t="s">
        <v>1057</v>
      </c>
      <c r="F176" s="20" t="s">
        <v>557</v>
      </c>
      <c r="G176" s="20" t="s">
        <v>47</v>
      </c>
      <c r="H176" s="20" t="s">
        <v>48</v>
      </c>
      <c r="I176" s="20" t="s">
        <v>557</v>
      </c>
      <c r="J176" s="32" t="s">
        <v>1058</v>
      </c>
      <c r="K176" s="32" t="s">
        <v>1058</v>
      </c>
      <c r="L176" s="23" t="s">
        <v>1059</v>
      </c>
      <c r="M176" s="24" t="s">
        <v>7745</v>
      </c>
      <c r="N176" s="23">
        <v>11325000</v>
      </c>
      <c r="O176" s="25" t="s">
        <v>126</v>
      </c>
      <c r="P176" s="25" t="s">
        <v>53</v>
      </c>
      <c r="Q176" s="20" t="s">
        <v>1060</v>
      </c>
      <c r="R176" s="20">
        <v>12493459</v>
      </c>
      <c r="S176" s="25" t="s">
        <v>1061</v>
      </c>
      <c r="T176" s="26" t="s">
        <v>77</v>
      </c>
      <c r="U176" s="23">
        <v>860982060896410</v>
      </c>
      <c r="V176" s="27" t="s">
        <v>183</v>
      </c>
      <c r="W176" s="20" t="s">
        <v>129</v>
      </c>
      <c r="X176" s="20" t="s">
        <v>130</v>
      </c>
      <c r="Y176" s="20" t="s">
        <v>130</v>
      </c>
      <c r="Z176" s="20" t="s">
        <v>80</v>
      </c>
      <c r="AA176" s="20" t="s">
        <v>81</v>
      </c>
      <c r="AB176" s="20" t="s">
        <v>82</v>
      </c>
      <c r="AC176" s="28">
        <v>559.48</v>
      </c>
      <c r="AD176" s="28">
        <f>SUM(BASE[[#This Row],[MONTO DE RENTA ]]*1.16)</f>
        <v>648.99680000000001</v>
      </c>
      <c r="AE176" s="28" t="s">
        <v>63</v>
      </c>
      <c r="AF176" s="28">
        <v>369.82758620689657</v>
      </c>
      <c r="AG176" s="28">
        <v>429</v>
      </c>
      <c r="AI176" s="63">
        <v>44937</v>
      </c>
      <c r="AJ176" s="84">
        <v>46054</v>
      </c>
      <c r="AK1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6" s="30"/>
      <c r="AN176" s="20" t="s">
        <v>99</v>
      </c>
      <c r="AP176" s="20" t="s">
        <v>118</v>
      </c>
      <c r="AQ176" s="20" t="s">
        <v>100</v>
      </c>
    </row>
    <row r="177" spans="1:43" ht="16">
      <c r="A177" s="20">
        <v>6862214773</v>
      </c>
      <c r="B177" s="49">
        <v>1006102</v>
      </c>
      <c r="C177" s="20" t="s">
        <v>1062</v>
      </c>
      <c r="D177" s="20" t="s">
        <v>870</v>
      </c>
      <c r="E177" s="20" t="s">
        <v>45</v>
      </c>
      <c r="F177" s="20" t="s">
        <v>248</v>
      </c>
      <c r="G177" s="20" t="s">
        <v>248</v>
      </c>
      <c r="H177" s="20" t="s">
        <v>48</v>
      </c>
      <c r="I177" s="20" t="s">
        <v>248</v>
      </c>
      <c r="J177" s="145" t="s">
        <v>1063</v>
      </c>
      <c r="K177" s="145" t="s">
        <v>1063</v>
      </c>
      <c r="L177" s="23" t="s">
        <v>1059</v>
      </c>
      <c r="M177" s="24" t="s">
        <v>7745</v>
      </c>
      <c r="N177" s="23">
        <v>11325000</v>
      </c>
      <c r="O177" s="25" t="s">
        <v>126</v>
      </c>
      <c r="P177" s="25" t="s">
        <v>53</v>
      </c>
      <c r="Q177" s="20" t="s">
        <v>1064</v>
      </c>
      <c r="R177" s="20">
        <v>12478290</v>
      </c>
      <c r="S177" s="25" t="s">
        <v>1065</v>
      </c>
      <c r="T177" s="26" t="s">
        <v>57</v>
      </c>
      <c r="U177" s="23">
        <v>860900062337332</v>
      </c>
      <c r="V177" s="27" t="s">
        <v>57</v>
      </c>
      <c r="W177" s="20" t="s">
        <v>58</v>
      </c>
      <c r="X177" s="20" t="s">
        <v>59</v>
      </c>
      <c r="Y177" s="20" t="s">
        <v>59</v>
      </c>
      <c r="Z177" s="20" t="s">
        <v>60</v>
      </c>
      <c r="AA177" s="20" t="s">
        <v>61</v>
      </c>
      <c r="AB177" s="20" t="s">
        <v>96</v>
      </c>
      <c r="AC177" s="28">
        <v>369.83</v>
      </c>
      <c r="AD177" s="28">
        <f>SUM(BASE[[#This Row],[MONTO DE RENTA ]]*1.16)</f>
        <v>429.00279999999998</v>
      </c>
      <c r="AE177" s="28" t="s">
        <v>63</v>
      </c>
      <c r="AF177" s="28">
        <v>369.82758620689657</v>
      </c>
      <c r="AG177" s="28">
        <v>429</v>
      </c>
      <c r="AH177" s="22" t="s">
        <v>64</v>
      </c>
      <c r="AI177" s="63">
        <v>45703</v>
      </c>
      <c r="AJ177" s="63">
        <v>46433</v>
      </c>
      <c r="AK1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7" s="30"/>
      <c r="AN177" s="20" t="s">
        <v>65</v>
      </c>
      <c r="AO177" s="20" t="s">
        <v>141</v>
      </c>
      <c r="AP177" s="20" t="s">
        <v>84</v>
      </c>
      <c r="AQ177" s="20" t="s">
        <v>100</v>
      </c>
    </row>
    <row r="178" spans="1:43" ht="16">
      <c r="A178" s="20">
        <v>6863043580</v>
      </c>
      <c r="B178" s="49">
        <v>50826</v>
      </c>
      <c r="C178" s="20" t="s">
        <v>1066</v>
      </c>
      <c r="D178" s="20" t="s">
        <v>1067</v>
      </c>
      <c r="E178" s="20" t="s">
        <v>1068</v>
      </c>
      <c r="F178" s="20" t="s">
        <v>257</v>
      </c>
      <c r="G178" s="20" t="s">
        <v>257</v>
      </c>
      <c r="H178" s="20" t="s">
        <v>48</v>
      </c>
      <c r="I178" s="20" t="s">
        <v>257</v>
      </c>
      <c r="J178" s="22" t="s">
        <v>1069</v>
      </c>
      <c r="K178" s="22" t="s">
        <v>1069</v>
      </c>
      <c r="L178" s="91" t="s">
        <v>1059</v>
      </c>
      <c r="M178" s="24" t="s">
        <v>7745</v>
      </c>
      <c r="N178" s="23">
        <v>11325000</v>
      </c>
      <c r="O178" s="25" t="s">
        <v>126</v>
      </c>
      <c r="P178" s="25" t="s">
        <v>53</v>
      </c>
      <c r="Q178" s="20" t="s">
        <v>1070</v>
      </c>
      <c r="R178" s="20">
        <v>12426243</v>
      </c>
      <c r="S178" s="25" t="s">
        <v>1071</v>
      </c>
      <c r="T178" s="26" t="s">
        <v>57</v>
      </c>
      <c r="U178" s="23">
        <v>860478064863225</v>
      </c>
      <c r="V178" s="45" t="s">
        <v>110</v>
      </c>
      <c r="W178" s="20" t="s">
        <v>302</v>
      </c>
      <c r="X178" s="20" t="s">
        <v>303</v>
      </c>
      <c r="Y178" s="20" t="s">
        <v>303</v>
      </c>
      <c r="Z178" s="20" t="s">
        <v>80</v>
      </c>
      <c r="AA178" s="20" t="s">
        <v>81</v>
      </c>
      <c r="AB178" s="20" t="s">
        <v>82</v>
      </c>
      <c r="AC178" s="28">
        <v>559.48</v>
      </c>
      <c r="AD178" s="28">
        <f>SUM(BASE[[#This Row],[MONTO DE RENTA ]]*1.16)</f>
        <v>648.99680000000001</v>
      </c>
      <c r="AE178" s="28" t="s">
        <v>83</v>
      </c>
      <c r="AF178" s="28">
        <v>559.48275862068965</v>
      </c>
      <c r="AG178" s="28">
        <v>649</v>
      </c>
      <c r="AH178" s="22" t="s">
        <v>64</v>
      </c>
      <c r="AI178" s="29">
        <v>45703</v>
      </c>
      <c r="AJ178" s="29">
        <v>46433</v>
      </c>
      <c r="AK1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8" s="30"/>
      <c r="AN178" s="20" t="s">
        <v>65</v>
      </c>
      <c r="AO178" s="82" t="s">
        <v>355</v>
      </c>
      <c r="AP178" s="20" t="s">
        <v>84</v>
      </c>
      <c r="AQ178" s="20" t="s">
        <v>100</v>
      </c>
    </row>
    <row r="179" spans="1:43" ht="16">
      <c r="A179" s="20">
        <v>6863043538</v>
      </c>
      <c r="B179" s="49">
        <v>50679</v>
      </c>
      <c r="C179" s="20" t="s">
        <v>1072</v>
      </c>
      <c r="D179" s="20" t="s">
        <v>172</v>
      </c>
      <c r="E179" s="20" t="s">
        <v>1073</v>
      </c>
      <c r="F179" s="20" t="s">
        <v>104</v>
      </c>
      <c r="G179" s="20" t="s">
        <v>104</v>
      </c>
      <c r="H179" s="20" t="s">
        <v>48</v>
      </c>
      <c r="I179" s="20" t="s">
        <v>104</v>
      </c>
      <c r="J179" s="22" t="s">
        <v>1074</v>
      </c>
      <c r="K179" s="22" t="s">
        <v>1074</v>
      </c>
      <c r="L179" s="23" t="s">
        <v>1059</v>
      </c>
      <c r="M179" s="24" t="s">
        <v>7745</v>
      </c>
      <c r="N179" s="23">
        <v>11325000</v>
      </c>
      <c r="O179" s="25" t="s">
        <v>126</v>
      </c>
      <c r="P179" s="25" t="s">
        <v>53</v>
      </c>
      <c r="Q179" s="20" t="s">
        <v>1075</v>
      </c>
      <c r="R179" s="20">
        <v>12426230</v>
      </c>
      <c r="S179" s="25" t="s">
        <v>1076</v>
      </c>
      <c r="T179" s="26" t="s">
        <v>57</v>
      </c>
      <c r="U179" s="23">
        <v>860478064863209</v>
      </c>
      <c r="V179" s="45" t="s">
        <v>110</v>
      </c>
      <c r="W179" s="20" t="s">
        <v>302</v>
      </c>
      <c r="X179" s="20" t="s">
        <v>303</v>
      </c>
      <c r="Y179" s="20" t="s">
        <v>303</v>
      </c>
      <c r="Z179" s="20" t="s">
        <v>80</v>
      </c>
      <c r="AA179" s="20" t="s">
        <v>81</v>
      </c>
      <c r="AB179" s="20" t="s">
        <v>82</v>
      </c>
      <c r="AC179" s="28">
        <v>559.48</v>
      </c>
      <c r="AD179" s="28">
        <f>SUM(BASE[[#This Row],[MONTO DE RENTA ]]*1.16)</f>
        <v>648.99680000000001</v>
      </c>
      <c r="AE179" s="28" t="s">
        <v>83</v>
      </c>
      <c r="AF179" s="28">
        <v>559.48275862068965</v>
      </c>
      <c r="AG179" s="28">
        <v>649</v>
      </c>
      <c r="AH179" s="22" t="s">
        <v>64</v>
      </c>
      <c r="AI179" s="63">
        <v>45703</v>
      </c>
      <c r="AJ179" s="63">
        <v>46433</v>
      </c>
      <c r="AK1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9" s="30"/>
      <c r="AN179" s="20" t="s">
        <v>65</v>
      </c>
      <c r="AO179" s="82" t="s">
        <v>355</v>
      </c>
      <c r="AP179" s="20" t="s">
        <v>84</v>
      </c>
      <c r="AQ179" s="20" t="s">
        <v>100</v>
      </c>
    </row>
    <row r="180" spans="1:43" ht="16">
      <c r="A180" s="20">
        <v>6862214797</v>
      </c>
      <c r="B180" s="21">
        <v>50679</v>
      </c>
      <c r="C180" s="20" t="s">
        <v>1072</v>
      </c>
      <c r="D180" s="20" t="s">
        <v>172</v>
      </c>
      <c r="E180" s="20" t="s">
        <v>1073</v>
      </c>
      <c r="F180" s="20" t="s">
        <v>104</v>
      </c>
      <c r="G180" s="20" t="s">
        <v>104</v>
      </c>
      <c r="H180" s="20" t="s">
        <v>48</v>
      </c>
      <c r="I180" s="20" t="s">
        <v>104</v>
      </c>
      <c r="J180" s="22" t="s">
        <v>1077</v>
      </c>
      <c r="K180" s="22" t="s">
        <v>1077</v>
      </c>
      <c r="L180" s="23" t="s">
        <v>1059</v>
      </c>
      <c r="M180" s="24" t="s">
        <v>7745</v>
      </c>
      <c r="N180" s="23">
        <v>11325000</v>
      </c>
      <c r="O180" s="25" t="s">
        <v>126</v>
      </c>
      <c r="P180" s="25" t="s">
        <v>53</v>
      </c>
      <c r="Q180" s="20" t="s">
        <v>1078</v>
      </c>
      <c r="R180" s="20">
        <v>12478306</v>
      </c>
      <c r="S180" s="25" t="s">
        <v>55</v>
      </c>
      <c r="T180" s="44" t="s">
        <v>56</v>
      </c>
      <c r="U180" s="23">
        <v>862186053430405</v>
      </c>
      <c r="V180" s="45" t="s">
        <v>110</v>
      </c>
      <c r="W180" s="20" t="s">
        <v>1079</v>
      </c>
      <c r="X180" s="20" t="s">
        <v>1080</v>
      </c>
      <c r="Y180" s="20" t="s">
        <v>1080</v>
      </c>
      <c r="Z180" s="20" t="s">
        <v>60</v>
      </c>
      <c r="AA180" s="20" t="s">
        <v>61</v>
      </c>
      <c r="AB180" s="20" t="s">
        <v>96</v>
      </c>
      <c r="AC180" s="28">
        <v>369.83</v>
      </c>
      <c r="AD180" s="28">
        <f>SUM(BASE[[#This Row],[MONTO DE RENTA ]]*1.16)</f>
        <v>429.00279999999998</v>
      </c>
      <c r="AE180" s="28" t="s">
        <v>97</v>
      </c>
      <c r="AF180" s="28">
        <v>473.27586206896552</v>
      </c>
      <c r="AG180" s="28">
        <v>549</v>
      </c>
      <c r="AI180" s="63">
        <v>44937</v>
      </c>
      <c r="AJ180" s="73">
        <v>46043</v>
      </c>
      <c r="AK18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0" s="30"/>
      <c r="AN180" s="20" t="s">
        <v>99</v>
      </c>
      <c r="AP180" s="20" t="s">
        <v>66</v>
      </c>
      <c r="AQ180" s="20" t="s">
        <v>100</v>
      </c>
    </row>
    <row r="181" spans="1:43" ht="16">
      <c r="A181" s="20">
        <v>6863043533</v>
      </c>
      <c r="B181" s="49">
        <v>20919</v>
      </c>
      <c r="C181" s="20" t="s">
        <v>1081</v>
      </c>
      <c r="D181" s="20" t="s">
        <v>1082</v>
      </c>
      <c r="E181" s="20" t="s">
        <v>45</v>
      </c>
      <c r="F181" s="20" t="s">
        <v>70</v>
      </c>
      <c r="G181" s="20" t="s">
        <v>70</v>
      </c>
      <c r="H181" s="20" t="s">
        <v>48</v>
      </c>
      <c r="I181" s="20" t="s">
        <v>70</v>
      </c>
      <c r="J181" s="32" t="s">
        <v>1083</v>
      </c>
      <c r="K181" s="22" t="s">
        <v>1084</v>
      </c>
      <c r="L181" s="23" t="s">
        <v>1059</v>
      </c>
      <c r="M181" s="24" t="s">
        <v>7745</v>
      </c>
      <c r="N181" s="23">
        <v>11325000</v>
      </c>
      <c r="O181" s="25" t="s">
        <v>126</v>
      </c>
      <c r="P181" s="25" t="s">
        <v>53</v>
      </c>
      <c r="Q181" s="20" t="s">
        <v>1085</v>
      </c>
      <c r="R181" s="20">
        <v>12426228</v>
      </c>
      <c r="S181" s="25" t="s">
        <v>55</v>
      </c>
      <c r="T181" s="26" t="s">
        <v>56</v>
      </c>
      <c r="U181" s="23">
        <v>356427674580738</v>
      </c>
      <c r="V181" s="27" t="s">
        <v>78</v>
      </c>
      <c r="W181" s="20" t="s">
        <v>1086</v>
      </c>
      <c r="X181" s="20" t="s">
        <v>1086</v>
      </c>
      <c r="Y181" s="20" t="s">
        <v>1086</v>
      </c>
      <c r="Z181" s="20" t="s">
        <v>60</v>
      </c>
      <c r="AA181" s="20" t="s">
        <v>61</v>
      </c>
      <c r="AB181" s="20" t="s">
        <v>96</v>
      </c>
      <c r="AC181" s="28">
        <v>369.83</v>
      </c>
      <c r="AD181" s="28">
        <f>SUM(BASE[[#This Row],[MONTO DE RENTA ]]*1.16)</f>
        <v>429.00279999999998</v>
      </c>
      <c r="AE181" s="28" t="s">
        <v>83</v>
      </c>
      <c r="AF181" s="28">
        <v>559.48275862068965</v>
      </c>
      <c r="AG181" s="28">
        <v>649</v>
      </c>
      <c r="AI181" s="63">
        <v>45104</v>
      </c>
      <c r="AJ181" s="63">
        <v>45944</v>
      </c>
      <c r="AK181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181" s="30"/>
      <c r="AN181" s="20" t="s">
        <v>99</v>
      </c>
      <c r="AP181" s="20" t="s">
        <v>66</v>
      </c>
      <c r="AQ181" s="20" t="s">
        <v>100</v>
      </c>
    </row>
    <row r="182" spans="1:43" ht="16">
      <c r="A182" s="20">
        <v>8711056952</v>
      </c>
      <c r="B182" s="49">
        <v>1021627</v>
      </c>
      <c r="C182" s="20" t="s">
        <v>1087</v>
      </c>
      <c r="D182" s="20" t="s">
        <v>86</v>
      </c>
      <c r="E182" s="20" t="s">
        <v>1088</v>
      </c>
      <c r="F182" s="20" t="s">
        <v>1038</v>
      </c>
      <c r="G182" s="20" t="s">
        <v>47</v>
      </c>
      <c r="H182" s="20" t="s">
        <v>48</v>
      </c>
      <c r="I182" s="20" t="s">
        <v>1038</v>
      </c>
      <c r="J182" s="22" t="s">
        <v>1089</v>
      </c>
      <c r="K182" s="22" t="s">
        <v>1089</v>
      </c>
      <c r="L182" s="23" t="s">
        <v>1090</v>
      </c>
      <c r="M182" s="24" t="s">
        <v>7744</v>
      </c>
      <c r="N182" s="23">
        <v>11327000</v>
      </c>
      <c r="O182" s="25" t="s">
        <v>362</v>
      </c>
      <c r="P182" s="25" t="s">
        <v>53</v>
      </c>
      <c r="Q182" s="20" t="s">
        <v>1091</v>
      </c>
      <c r="R182" s="20">
        <v>32999154</v>
      </c>
      <c r="S182" s="25" t="s">
        <v>55</v>
      </c>
      <c r="T182" s="26" t="s">
        <v>56</v>
      </c>
      <c r="U182" s="23">
        <v>865356065727802</v>
      </c>
      <c r="V182" s="27" t="s">
        <v>183</v>
      </c>
      <c r="W182" s="20" t="s">
        <v>129</v>
      </c>
      <c r="X182" s="20" t="s">
        <v>130</v>
      </c>
      <c r="Y182" s="20" t="s">
        <v>130</v>
      </c>
      <c r="Z182" s="20" t="s">
        <v>60</v>
      </c>
      <c r="AA182" s="20" t="s">
        <v>61</v>
      </c>
      <c r="AB182" s="20" t="s">
        <v>96</v>
      </c>
      <c r="AC182" s="28">
        <v>369.83</v>
      </c>
      <c r="AD182" s="28">
        <f>SUM(BASE[[#This Row],[MONTO DE RENTA ]]*1.16)</f>
        <v>429.00279999999998</v>
      </c>
      <c r="AE182" s="28" t="s">
        <v>63</v>
      </c>
      <c r="AF182" s="28">
        <v>369.82758620689657</v>
      </c>
      <c r="AG182" s="28">
        <v>429</v>
      </c>
      <c r="AI182" s="63">
        <v>44937</v>
      </c>
      <c r="AJ182" s="73">
        <v>46043</v>
      </c>
      <c r="AK1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2" s="30"/>
      <c r="AN182" s="20" t="s">
        <v>99</v>
      </c>
      <c r="AP182" s="20" t="s">
        <v>84</v>
      </c>
      <c r="AQ182" s="20" t="s">
        <v>100</v>
      </c>
    </row>
    <row r="183" spans="1:43" ht="16">
      <c r="A183" s="20">
        <v>8711048274</v>
      </c>
      <c r="B183" s="49">
        <v>1022047</v>
      </c>
      <c r="C183" s="20" t="s">
        <v>1092</v>
      </c>
      <c r="D183" s="20" t="s">
        <v>376</v>
      </c>
      <c r="E183" s="20" t="s">
        <v>1093</v>
      </c>
      <c r="F183" s="20" t="s">
        <v>359</v>
      </c>
      <c r="G183" s="20" t="s">
        <v>248</v>
      </c>
      <c r="H183" s="20" t="s">
        <v>48</v>
      </c>
      <c r="I183" s="20" t="s">
        <v>359</v>
      </c>
      <c r="J183" s="22" t="s">
        <v>1094</v>
      </c>
      <c r="K183" s="22" t="s">
        <v>1094</v>
      </c>
      <c r="L183" s="23" t="s">
        <v>1090</v>
      </c>
      <c r="M183" s="24" t="s">
        <v>7744</v>
      </c>
      <c r="N183" s="23">
        <v>11327000</v>
      </c>
      <c r="O183" s="25" t="s">
        <v>362</v>
      </c>
      <c r="P183" s="25" t="s">
        <v>53</v>
      </c>
      <c r="Q183" s="20" t="s">
        <v>1095</v>
      </c>
      <c r="R183" s="20">
        <v>32999149</v>
      </c>
      <c r="S183" s="25" t="s">
        <v>55</v>
      </c>
      <c r="T183" s="26" t="s">
        <v>56</v>
      </c>
      <c r="U183" s="23">
        <v>865356065720708</v>
      </c>
      <c r="V183" s="27" t="s">
        <v>183</v>
      </c>
      <c r="W183" s="20" t="s">
        <v>129</v>
      </c>
      <c r="X183" s="20" t="s">
        <v>130</v>
      </c>
      <c r="Y183" s="20" t="s">
        <v>130</v>
      </c>
      <c r="Z183" s="20" t="s">
        <v>60</v>
      </c>
      <c r="AA183" s="20" t="s">
        <v>61</v>
      </c>
      <c r="AB183" s="20" t="s">
        <v>96</v>
      </c>
      <c r="AC183" s="28">
        <v>369.83</v>
      </c>
      <c r="AD183" s="28">
        <f>SUM(BASE[[#This Row],[MONTO DE RENTA ]]*1.16)</f>
        <v>429.00279999999998</v>
      </c>
      <c r="AE183" s="28" t="s">
        <v>63</v>
      </c>
      <c r="AF183" s="28">
        <v>369.82758620689657</v>
      </c>
      <c r="AG183" s="28">
        <v>429</v>
      </c>
      <c r="AI183" s="63">
        <v>44937</v>
      </c>
      <c r="AJ183" s="73">
        <v>46043</v>
      </c>
      <c r="AK1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3" s="30"/>
      <c r="AN183" s="20" t="s">
        <v>99</v>
      </c>
      <c r="AP183" s="20" t="s">
        <v>84</v>
      </c>
      <c r="AQ183" s="20" t="s">
        <v>100</v>
      </c>
    </row>
    <row r="184" spans="1:43" ht="16">
      <c r="A184" s="20">
        <v>8712300218</v>
      </c>
      <c r="B184" s="49">
        <v>280310</v>
      </c>
      <c r="C184" s="20" t="s">
        <v>1096</v>
      </c>
      <c r="D184" s="20" t="s">
        <v>1097</v>
      </c>
      <c r="E184" s="20" t="s">
        <v>999</v>
      </c>
      <c r="F184" s="20" t="s">
        <v>257</v>
      </c>
      <c r="G184" s="20" t="s">
        <v>257</v>
      </c>
      <c r="H184" s="20" t="s">
        <v>48</v>
      </c>
      <c r="I184" s="20" t="s">
        <v>257</v>
      </c>
      <c r="J184" s="22" t="s">
        <v>1098</v>
      </c>
      <c r="K184" s="22" t="s">
        <v>1098</v>
      </c>
      <c r="L184" s="23" t="s">
        <v>1090</v>
      </c>
      <c r="M184" s="24" t="s">
        <v>7744</v>
      </c>
      <c r="N184" s="23">
        <v>11327000</v>
      </c>
      <c r="O184" s="25" t="s">
        <v>362</v>
      </c>
      <c r="P184" s="25" t="s">
        <v>53</v>
      </c>
      <c r="Q184" s="20" t="s">
        <v>1099</v>
      </c>
      <c r="R184" s="20">
        <v>32999147</v>
      </c>
      <c r="S184" s="25" t="s">
        <v>55</v>
      </c>
      <c r="T184" s="26" t="s">
        <v>56</v>
      </c>
      <c r="U184" s="23">
        <v>867353050209423</v>
      </c>
      <c r="V184" s="45" t="s">
        <v>110</v>
      </c>
      <c r="W184" s="20" t="s">
        <v>149</v>
      </c>
      <c r="X184" s="20" t="s">
        <v>150</v>
      </c>
      <c r="Y184" s="20" t="s">
        <v>150</v>
      </c>
      <c r="Z184" s="20" t="s">
        <v>60</v>
      </c>
      <c r="AA184" s="20" t="s">
        <v>61</v>
      </c>
      <c r="AB184" s="20" t="s">
        <v>96</v>
      </c>
      <c r="AC184" s="28">
        <v>369.83</v>
      </c>
      <c r="AD184" s="28">
        <f>SUM(BASE[[#This Row],[MONTO DE RENTA ]]*1.16)</f>
        <v>429.00279999999998</v>
      </c>
      <c r="AE184" s="28" t="s">
        <v>97</v>
      </c>
      <c r="AF184" s="28">
        <v>473.27586206896552</v>
      </c>
      <c r="AG184" s="28">
        <v>549</v>
      </c>
      <c r="AI184" s="63">
        <v>44937</v>
      </c>
      <c r="AJ184" s="73">
        <v>46043</v>
      </c>
      <c r="AK18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4" s="30"/>
      <c r="AN184" s="20" t="s">
        <v>99</v>
      </c>
      <c r="AP184" s="20" t="s">
        <v>66</v>
      </c>
      <c r="AQ184" s="20" t="s">
        <v>100</v>
      </c>
    </row>
    <row r="185" spans="1:43" ht="16">
      <c r="A185">
        <v>8711046051</v>
      </c>
      <c r="B185" s="49">
        <v>1052068</v>
      </c>
      <c r="C185" s="20" t="s">
        <v>460</v>
      </c>
      <c r="D185" s="20" t="s">
        <v>172</v>
      </c>
      <c r="E185" s="20" t="s">
        <v>1100</v>
      </c>
      <c r="F185" s="20" t="s">
        <v>451</v>
      </c>
      <c r="G185" s="20" t="s">
        <v>104</v>
      </c>
      <c r="H185" s="20" t="s">
        <v>48</v>
      </c>
      <c r="I185" s="20" t="s">
        <v>451</v>
      </c>
      <c r="J185" s="32" t="s">
        <v>1101</v>
      </c>
      <c r="K185" s="32" t="s">
        <v>1101</v>
      </c>
      <c r="L185" s="91" t="s">
        <v>1090</v>
      </c>
      <c r="M185" s="24" t="s">
        <v>7744</v>
      </c>
      <c r="N185" s="23">
        <v>11327000</v>
      </c>
      <c r="O185" s="25" t="s">
        <v>362</v>
      </c>
      <c r="P185" s="25" t="s">
        <v>53</v>
      </c>
      <c r="Q185" s="20" t="s">
        <v>1102</v>
      </c>
      <c r="R185" s="20">
        <v>32999155</v>
      </c>
      <c r="S185" s="25" t="s">
        <v>55</v>
      </c>
      <c r="T185" s="26" t="s">
        <v>56</v>
      </c>
      <c r="U185" s="23">
        <v>867353050209514</v>
      </c>
      <c r="V185" s="45" t="s">
        <v>110</v>
      </c>
      <c r="W185" s="20" t="s">
        <v>149</v>
      </c>
      <c r="X185" s="20" t="s">
        <v>150</v>
      </c>
      <c r="Y185" s="20" t="s">
        <v>150</v>
      </c>
      <c r="Z185" s="20" t="s">
        <v>60</v>
      </c>
      <c r="AA185" s="20" t="s">
        <v>61</v>
      </c>
      <c r="AB185" s="20" t="s">
        <v>96</v>
      </c>
      <c r="AC185" s="28">
        <v>369.83</v>
      </c>
      <c r="AD185" s="28">
        <f>SUM(BASE[[#This Row],[MONTO DE RENTA ]]*1.16)</f>
        <v>429.00279999999998</v>
      </c>
      <c r="AE185" s="28" t="s">
        <v>97</v>
      </c>
      <c r="AF185" s="28">
        <v>473.27586206896552</v>
      </c>
      <c r="AG185" s="28">
        <v>549</v>
      </c>
      <c r="AI185" s="29">
        <v>44937</v>
      </c>
      <c r="AJ185" s="50">
        <v>46043</v>
      </c>
      <c r="AK18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5" s="30"/>
      <c r="AN185" s="20" t="s">
        <v>99</v>
      </c>
      <c r="AP185" s="20" t="s">
        <v>66</v>
      </c>
      <c r="AQ185" s="20" t="s">
        <v>100</v>
      </c>
    </row>
    <row r="186" spans="1:43" s="146" customFormat="1" ht="16">
      <c r="A186" s="20">
        <v>8711046328</v>
      </c>
      <c r="B186" s="86">
        <v>1052140</v>
      </c>
      <c r="C186" s="20" t="s">
        <v>1103</v>
      </c>
      <c r="D186" s="20" t="s">
        <v>1104</v>
      </c>
      <c r="E186" s="20" t="s">
        <v>172</v>
      </c>
      <c r="F186" s="20" t="s">
        <v>104</v>
      </c>
      <c r="G186" s="20" t="s">
        <v>104</v>
      </c>
      <c r="H186" s="20" t="s">
        <v>48</v>
      </c>
      <c r="I186" s="20" t="s">
        <v>104</v>
      </c>
      <c r="J186" s="32" t="s">
        <v>1105</v>
      </c>
      <c r="K186" s="32" t="s">
        <v>1106</v>
      </c>
      <c r="L186" s="23" t="s">
        <v>1090</v>
      </c>
      <c r="M186" s="24" t="s">
        <v>7744</v>
      </c>
      <c r="N186" s="23">
        <v>11327000</v>
      </c>
      <c r="O186" s="25" t="s">
        <v>362</v>
      </c>
      <c r="P186" s="25" t="s">
        <v>53</v>
      </c>
      <c r="Q186" s="20" t="s">
        <v>1107</v>
      </c>
      <c r="R186" s="20">
        <v>32999153</v>
      </c>
      <c r="S186" s="25" t="s">
        <v>55</v>
      </c>
      <c r="T186" s="26" t="s">
        <v>56</v>
      </c>
      <c r="U186" s="23">
        <v>867353050208698</v>
      </c>
      <c r="V186" s="45" t="s">
        <v>110</v>
      </c>
      <c r="W186" s="20" t="s">
        <v>149</v>
      </c>
      <c r="X186" s="20" t="s">
        <v>150</v>
      </c>
      <c r="Y186" s="20" t="s">
        <v>150</v>
      </c>
      <c r="Z186" s="20" t="s">
        <v>60</v>
      </c>
      <c r="AA186" s="20" t="s">
        <v>61</v>
      </c>
      <c r="AB186" s="20" t="s">
        <v>96</v>
      </c>
      <c r="AC186" s="28">
        <v>369.83</v>
      </c>
      <c r="AD186" s="28">
        <f>SUM(BASE[[#This Row],[MONTO DE RENTA ]]*1.16)</f>
        <v>429.00279999999998</v>
      </c>
      <c r="AE186" s="28" t="s">
        <v>83</v>
      </c>
      <c r="AF186" s="28">
        <v>559.48275862068965</v>
      </c>
      <c r="AG186" s="28">
        <v>649</v>
      </c>
      <c r="AH186" s="22"/>
      <c r="AI186" s="63">
        <v>44937</v>
      </c>
      <c r="AJ186" s="73">
        <v>46043</v>
      </c>
      <c r="AK18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86" s="20"/>
      <c r="AM186" s="30"/>
      <c r="AN186" s="20" t="s">
        <v>99</v>
      </c>
      <c r="AO186" s="20"/>
      <c r="AP186" s="20" t="s">
        <v>66</v>
      </c>
      <c r="AQ186" s="20" t="s">
        <v>100</v>
      </c>
    </row>
    <row r="187" spans="1:43" ht="16">
      <c r="A187" s="20">
        <v>8711048969</v>
      </c>
      <c r="B187" s="49">
        <v>190906</v>
      </c>
      <c r="C187" s="20" t="s">
        <v>1108</v>
      </c>
      <c r="D187" s="20" t="s">
        <v>870</v>
      </c>
      <c r="E187" s="20" t="s">
        <v>1109</v>
      </c>
      <c r="F187" s="20" t="s">
        <v>70</v>
      </c>
      <c r="G187" s="20" t="s">
        <v>70</v>
      </c>
      <c r="H187" s="20" t="s">
        <v>48</v>
      </c>
      <c r="I187" s="20" t="s">
        <v>70</v>
      </c>
      <c r="J187" s="22" t="s">
        <v>1110</v>
      </c>
      <c r="K187" s="22" t="s">
        <v>1110</v>
      </c>
      <c r="L187" s="23" t="s">
        <v>1090</v>
      </c>
      <c r="M187" s="24" t="s">
        <v>7744</v>
      </c>
      <c r="N187" s="23">
        <v>11327000</v>
      </c>
      <c r="O187" s="25" t="s">
        <v>362</v>
      </c>
      <c r="P187" s="25" t="s">
        <v>53</v>
      </c>
      <c r="Q187" s="20" t="s">
        <v>1111</v>
      </c>
      <c r="R187" s="20">
        <v>32999151</v>
      </c>
      <c r="S187" s="25" t="s">
        <v>55</v>
      </c>
      <c r="T187" s="26" t="s">
        <v>56</v>
      </c>
      <c r="U187" s="23">
        <v>357654178524891</v>
      </c>
      <c r="V187" s="27" t="s">
        <v>78</v>
      </c>
      <c r="W187" s="20" t="s">
        <v>95</v>
      </c>
      <c r="X187" s="20" t="s">
        <v>95</v>
      </c>
      <c r="Y187" s="20" t="s">
        <v>95</v>
      </c>
      <c r="Z187" s="20" t="s">
        <v>60</v>
      </c>
      <c r="AA187" s="20" t="s">
        <v>61</v>
      </c>
      <c r="AB187" s="20" t="s">
        <v>96</v>
      </c>
      <c r="AC187" s="28">
        <v>369.83</v>
      </c>
      <c r="AD187" s="28">
        <f>SUM(BASE[[#This Row],[MONTO DE RENTA ]]*1.16)</f>
        <v>429.00279999999998</v>
      </c>
      <c r="AE187" s="28" t="s">
        <v>83</v>
      </c>
      <c r="AF187" s="28">
        <v>559.48275862068965</v>
      </c>
      <c r="AG187" s="28">
        <v>649</v>
      </c>
      <c r="AI187" s="63">
        <v>44937</v>
      </c>
      <c r="AJ187" s="73">
        <v>46043</v>
      </c>
      <c r="AK18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7" s="30"/>
      <c r="AN187" s="20" t="s">
        <v>99</v>
      </c>
      <c r="AP187" s="20" t="s">
        <v>66</v>
      </c>
      <c r="AQ187" s="20" t="s">
        <v>100</v>
      </c>
    </row>
    <row r="188" spans="1:43" ht="16">
      <c r="A188" s="20">
        <v>3310115205</v>
      </c>
      <c r="B188" s="49">
        <v>998996</v>
      </c>
      <c r="C188" s="20" t="s">
        <v>410</v>
      </c>
      <c r="D188" s="20" t="s">
        <v>1012</v>
      </c>
      <c r="E188" s="20" t="s">
        <v>546</v>
      </c>
      <c r="F188" s="20" t="s">
        <v>359</v>
      </c>
      <c r="G188" s="20" t="s">
        <v>47</v>
      </c>
      <c r="H188" s="20" t="s">
        <v>48</v>
      </c>
      <c r="I188" s="20" t="s">
        <v>359</v>
      </c>
      <c r="J188" s="22" t="s">
        <v>1112</v>
      </c>
      <c r="K188" s="22" t="s">
        <v>1112</v>
      </c>
      <c r="L188" s="91" t="s">
        <v>1113</v>
      </c>
      <c r="M188" s="24" t="s">
        <v>7746</v>
      </c>
      <c r="N188" s="23">
        <v>11328000</v>
      </c>
      <c r="O188" s="25" t="s">
        <v>677</v>
      </c>
      <c r="P188" s="25" t="s">
        <v>53</v>
      </c>
      <c r="Q188" s="20" t="s">
        <v>1114</v>
      </c>
      <c r="R188" s="20">
        <v>55200549</v>
      </c>
      <c r="S188" s="25" t="s">
        <v>55</v>
      </c>
      <c r="T188" s="26" t="s">
        <v>56</v>
      </c>
      <c r="U188" s="23">
        <v>865356065729303</v>
      </c>
      <c r="V188" s="27" t="s">
        <v>183</v>
      </c>
      <c r="W188" s="20" t="s">
        <v>129</v>
      </c>
      <c r="X188" s="20" t="s">
        <v>130</v>
      </c>
      <c r="Y188" s="20" t="s">
        <v>130</v>
      </c>
      <c r="Z188" s="20" t="s">
        <v>60</v>
      </c>
      <c r="AA188" s="20" t="s">
        <v>61</v>
      </c>
      <c r="AB188" s="20" t="s">
        <v>96</v>
      </c>
      <c r="AC188" s="28">
        <v>369.83</v>
      </c>
      <c r="AD188" s="28">
        <f>SUM(BASE[[#This Row],[MONTO DE RENTA ]]*1.16)</f>
        <v>429.00279999999998</v>
      </c>
      <c r="AE188" s="28" t="s">
        <v>63</v>
      </c>
      <c r="AF188" s="28">
        <v>369.82758620689657</v>
      </c>
      <c r="AG188" s="28">
        <v>429</v>
      </c>
      <c r="AI188" s="63">
        <v>44937</v>
      </c>
      <c r="AJ188" s="73">
        <v>46043</v>
      </c>
      <c r="AK1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88" s="30"/>
      <c r="AN188" s="20" t="s">
        <v>99</v>
      </c>
      <c r="AP188" s="20" t="s">
        <v>84</v>
      </c>
      <c r="AQ188" s="20" t="s">
        <v>100</v>
      </c>
    </row>
    <row r="189" spans="1:43" ht="16">
      <c r="A189" s="20">
        <v>3310413943</v>
      </c>
      <c r="B189" s="21">
        <v>270620</v>
      </c>
      <c r="C189" s="20" t="s">
        <v>1115</v>
      </c>
      <c r="D189" s="20" t="s">
        <v>681</v>
      </c>
      <c r="E189" s="20" t="s">
        <v>682</v>
      </c>
      <c r="F189" s="20" t="s">
        <v>248</v>
      </c>
      <c r="G189" s="20" t="s">
        <v>248</v>
      </c>
      <c r="H189" s="20" t="s">
        <v>48</v>
      </c>
      <c r="I189" s="20" t="s">
        <v>248</v>
      </c>
      <c r="J189" s="22" t="s">
        <v>1116</v>
      </c>
      <c r="K189" s="22" t="s">
        <v>1116</v>
      </c>
      <c r="L189" s="25" t="s">
        <v>1113</v>
      </c>
      <c r="M189" s="24" t="s">
        <v>7746</v>
      </c>
      <c r="N189" s="23">
        <v>11328000</v>
      </c>
      <c r="O189" s="25" t="s">
        <v>677</v>
      </c>
      <c r="P189" s="25" t="s">
        <v>53</v>
      </c>
      <c r="Q189" s="20" t="s">
        <v>1117</v>
      </c>
      <c r="R189" s="20">
        <v>55295122</v>
      </c>
      <c r="S189" s="25" t="s">
        <v>1118</v>
      </c>
      <c r="T189" s="26" t="s">
        <v>57</v>
      </c>
      <c r="U189" s="23">
        <v>860900062255484</v>
      </c>
      <c r="V189" s="27" t="s">
        <v>57</v>
      </c>
      <c r="W189" s="20" t="s">
        <v>58</v>
      </c>
      <c r="X189" s="20" t="s">
        <v>59</v>
      </c>
      <c r="Y189" s="20" t="s">
        <v>59</v>
      </c>
      <c r="Z189" s="20" t="s">
        <v>80</v>
      </c>
      <c r="AA189" s="20" t="s">
        <v>81</v>
      </c>
      <c r="AB189" s="20" t="s">
        <v>96</v>
      </c>
      <c r="AC189" s="28">
        <v>369.83</v>
      </c>
      <c r="AD189" s="28">
        <f>SUM(BASE[[#This Row],[MONTO DE RENTA ]]*1.16)</f>
        <v>429.00279999999998</v>
      </c>
      <c r="AE189" s="28" t="s">
        <v>63</v>
      </c>
      <c r="AF189" s="28">
        <v>369.82758620689657</v>
      </c>
      <c r="AG189" s="28">
        <v>429</v>
      </c>
      <c r="AH189" s="22" t="s">
        <v>64</v>
      </c>
      <c r="AI189" s="29">
        <v>45703</v>
      </c>
      <c r="AJ189" s="29">
        <v>46433</v>
      </c>
      <c r="AK1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89" s="30"/>
      <c r="AN189" s="20" t="s">
        <v>65</v>
      </c>
      <c r="AO189" s="20" t="s">
        <v>141</v>
      </c>
      <c r="AP189" s="20" t="s">
        <v>84</v>
      </c>
      <c r="AQ189" s="20" t="s">
        <v>100</v>
      </c>
    </row>
    <row r="190" spans="1:43" ht="16">
      <c r="A190" s="20">
        <v>3312491143</v>
      </c>
      <c r="B190" s="49">
        <v>1076984</v>
      </c>
      <c r="C190" s="20" t="s">
        <v>1119</v>
      </c>
      <c r="D190" s="20" t="s">
        <v>937</v>
      </c>
      <c r="E190" s="20" t="s">
        <v>1120</v>
      </c>
      <c r="F190" s="20" t="s">
        <v>384</v>
      </c>
      <c r="G190" s="20" t="s">
        <v>104</v>
      </c>
      <c r="H190" s="20" t="s">
        <v>48</v>
      </c>
      <c r="I190" s="20" t="s">
        <v>384</v>
      </c>
      <c r="J190" s="32" t="s">
        <v>1121</v>
      </c>
      <c r="K190" s="32" t="s">
        <v>1121</v>
      </c>
      <c r="L190" s="23" t="s">
        <v>1113</v>
      </c>
      <c r="M190" s="24" t="s">
        <v>7746</v>
      </c>
      <c r="N190" s="23">
        <v>11328000</v>
      </c>
      <c r="O190" s="25" t="s">
        <v>677</v>
      </c>
      <c r="P190" s="25" t="s">
        <v>53</v>
      </c>
      <c r="Q190" s="20" t="s">
        <v>1122</v>
      </c>
      <c r="R190" s="20">
        <v>55295114</v>
      </c>
      <c r="S190" s="25" t="s">
        <v>1123</v>
      </c>
      <c r="T190" s="26" t="s">
        <v>57</v>
      </c>
      <c r="U190" s="23">
        <v>860478063793100</v>
      </c>
      <c r="V190" s="45" t="s">
        <v>110</v>
      </c>
      <c r="W190" s="20" t="s">
        <v>302</v>
      </c>
      <c r="X190" s="20" t="s">
        <v>303</v>
      </c>
      <c r="Y190" s="20" t="s">
        <v>303</v>
      </c>
      <c r="Z190" s="20" t="s">
        <v>80</v>
      </c>
      <c r="AA190" s="20" t="s">
        <v>81</v>
      </c>
      <c r="AB190" s="20" t="s">
        <v>82</v>
      </c>
      <c r="AC190" s="28">
        <v>559.48</v>
      </c>
      <c r="AD190" s="28">
        <f>SUM(BASE[[#This Row],[MONTO DE RENTA ]]*1.16)</f>
        <v>648.99680000000001</v>
      </c>
      <c r="AE190" s="28" t="s">
        <v>83</v>
      </c>
      <c r="AF190" s="28">
        <v>559.48275862068965</v>
      </c>
      <c r="AG190" s="28">
        <v>649</v>
      </c>
      <c r="AH190" s="22" t="s">
        <v>64</v>
      </c>
      <c r="AI190" s="63">
        <v>45703</v>
      </c>
      <c r="AJ190" s="63">
        <v>46433</v>
      </c>
      <c r="AK1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90" s="30"/>
      <c r="AN190" s="20" t="s">
        <v>65</v>
      </c>
      <c r="AO190" s="82" t="s">
        <v>355</v>
      </c>
      <c r="AP190" s="20" t="s">
        <v>84</v>
      </c>
      <c r="AQ190" s="20" t="s">
        <v>100</v>
      </c>
    </row>
    <row r="191" spans="1:43" ht="16">
      <c r="A191" s="20">
        <v>3310135411</v>
      </c>
      <c r="B191" s="147">
        <v>1013843</v>
      </c>
      <c r="C191" s="20" t="s">
        <v>1124</v>
      </c>
      <c r="D191" s="20" t="s">
        <v>347</v>
      </c>
      <c r="E191" s="20" t="s">
        <v>657</v>
      </c>
      <c r="F191" s="20" t="s">
        <v>104</v>
      </c>
      <c r="G191" s="20" t="s">
        <v>104</v>
      </c>
      <c r="H191" s="20" t="s">
        <v>48</v>
      </c>
      <c r="I191" s="20" t="s">
        <v>104</v>
      </c>
      <c r="J191" s="32" t="s">
        <v>1125</v>
      </c>
      <c r="K191" s="32" t="s">
        <v>1125</v>
      </c>
      <c r="L191" s="23" t="s">
        <v>1113</v>
      </c>
      <c r="M191" s="24" t="s">
        <v>7746</v>
      </c>
      <c r="N191" s="23">
        <v>11328000</v>
      </c>
      <c r="O191" s="25" t="s">
        <v>677</v>
      </c>
      <c r="P191" s="25" t="s">
        <v>53</v>
      </c>
      <c r="Q191" s="20" t="s">
        <v>1126</v>
      </c>
      <c r="R191" s="20">
        <v>55295108</v>
      </c>
      <c r="S191" s="25" t="s">
        <v>1127</v>
      </c>
      <c r="T191" s="26" t="s">
        <v>57</v>
      </c>
      <c r="U191" s="23">
        <v>867353050205496</v>
      </c>
      <c r="V191" s="45" t="s">
        <v>110</v>
      </c>
      <c r="W191" s="20" t="s">
        <v>149</v>
      </c>
      <c r="X191" s="20" t="s">
        <v>150</v>
      </c>
      <c r="Y191" s="20" t="s">
        <v>150</v>
      </c>
      <c r="Z191" s="20" t="s">
        <v>80</v>
      </c>
      <c r="AA191" s="20" t="s">
        <v>81</v>
      </c>
      <c r="AB191" s="20" t="s">
        <v>96</v>
      </c>
      <c r="AC191" s="28">
        <v>369.83</v>
      </c>
      <c r="AD191" s="28">
        <f>SUM(BASE[[#This Row],[MONTO DE RENTA ]]*1.16)</f>
        <v>429.00279999999998</v>
      </c>
      <c r="AE191" s="28" t="s">
        <v>97</v>
      </c>
      <c r="AF191" s="28">
        <v>473.27586206896552</v>
      </c>
      <c r="AG191" s="28">
        <v>549</v>
      </c>
      <c r="AI191" s="29">
        <v>44937</v>
      </c>
      <c r="AJ191" s="46">
        <v>46054</v>
      </c>
      <c r="AK1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91" s="30"/>
      <c r="AN191" s="20" t="s">
        <v>99</v>
      </c>
      <c r="AP191" s="20" t="s">
        <v>66</v>
      </c>
      <c r="AQ191" s="20" t="s">
        <v>100</v>
      </c>
    </row>
    <row r="192" spans="1:43" ht="16">
      <c r="A192" s="20">
        <v>3310206412</v>
      </c>
      <c r="B192" s="49">
        <v>420039</v>
      </c>
      <c r="C192" s="20" t="s">
        <v>1128</v>
      </c>
      <c r="D192" s="20" t="s">
        <v>1129</v>
      </c>
      <c r="E192" s="20" t="s">
        <v>1130</v>
      </c>
      <c r="F192" s="20" t="s">
        <v>70</v>
      </c>
      <c r="G192" s="20" t="s">
        <v>70</v>
      </c>
      <c r="H192" s="20" t="s">
        <v>48</v>
      </c>
      <c r="I192" s="20" t="s">
        <v>70</v>
      </c>
      <c r="J192" s="22" t="s">
        <v>1131</v>
      </c>
      <c r="K192" s="22" t="s">
        <v>1132</v>
      </c>
      <c r="L192" s="23" t="s">
        <v>1113</v>
      </c>
      <c r="M192" s="24" t="s">
        <v>7746</v>
      </c>
      <c r="N192" s="23">
        <v>11328000</v>
      </c>
      <c r="O192" s="25" t="s">
        <v>677</v>
      </c>
      <c r="P192" s="25" t="s">
        <v>53</v>
      </c>
      <c r="Q192" s="20" t="s">
        <v>1133</v>
      </c>
      <c r="R192" s="20">
        <v>55200546</v>
      </c>
      <c r="S192" s="25" t="s">
        <v>55</v>
      </c>
      <c r="T192" s="26" t="s">
        <v>56</v>
      </c>
      <c r="U192" s="23">
        <v>357654179174811</v>
      </c>
      <c r="V192" s="27" t="s">
        <v>78</v>
      </c>
      <c r="W192" s="20" t="s">
        <v>95</v>
      </c>
      <c r="X192" s="20" t="s">
        <v>95</v>
      </c>
      <c r="Y192" s="20" t="s">
        <v>95</v>
      </c>
      <c r="Z192" s="20" t="s">
        <v>60</v>
      </c>
      <c r="AA192" s="20" t="s">
        <v>61</v>
      </c>
      <c r="AB192" s="20" t="s">
        <v>96</v>
      </c>
      <c r="AC192" s="28">
        <v>369.83</v>
      </c>
      <c r="AD192" s="28">
        <f>SUM(BASE[[#This Row],[MONTO DE RENTA ]]*1.16)</f>
        <v>429.00279999999998</v>
      </c>
      <c r="AE192" s="28" t="s">
        <v>83</v>
      </c>
      <c r="AF192" s="28">
        <v>559.48275862068965</v>
      </c>
      <c r="AG192" s="28">
        <v>649</v>
      </c>
      <c r="AI192" s="63">
        <v>44937</v>
      </c>
      <c r="AJ192" s="73">
        <v>46043</v>
      </c>
      <c r="AK1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92" s="30"/>
      <c r="AN192" s="20" t="s">
        <v>99</v>
      </c>
      <c r="AP192" s="20" t="s">
        <v>66</v>
      </c>
      <c r="AQ192" s="20" t="s">
        <v>100</v>
      </c>
    </row>
    <row r="193" spans="1:43" ht="16">
      <c r="A193" s="20">
        <v>3312471168</v>
      </c>
      <c r="B193" s="49">
        <v>1052987</v>
      </c>
      <c r="C193" s="20" t="s">
        <v>1134</v>
      </c>
      <c r="D193" s="20" t="s">
        <v>469</v>
      </c>
      <c r="E193" s="20" t="s">
        <v>1135</v>
      </c>
      <c r="F193" s="20" t="s">
        <v>257</v>
      </c>
      <c r="G193" s="20" t="s">
        <v>257</v>
      </c>
      <c r="H193" s="20" t="s">
        <v>48</v>
      </c>
      <c r="I193" s="20" t="s">
        <v>257</v>
      </c>
      <c r="J193" s="54" t="s">
        <v>1136</v>
      </c>
      <c r="K193" s="22" t="s">
        <v>1137</v>
      </c>
      <c r="L193" s="23" t="s">
        <v>1113</v>
      </c>
      <c r="M193" s="24" t="s">
        <v>7746</v>
      </c>
      <c r="N193" s="23">
        <v>11328000</v>
      </c>
      <c r="O193" s="25" t="s">
        <v>677</v>
      </c>
      <c r="P193" s="25" t="s">
        <v>53</v>
      </c>
      <c r="Q193" s="20" t="s">
        <v>1138</v>
      </c>
      <c r="R193" s="20">
        <v>55200545</v>
      </c>
      <c r="S193" s="25" t="s">
        <v>55</v>
      </c>
      <c r="T193" s="44" t="s">
        <v>56</v>
      </c>
      <c r="U193" s="23">
        <v>861383071457095</v>
      </c>
      <c r="V193" s="45" t="s">
        <v>110</v>
      </c>
      <c r="W193" s="20" t="s">
        <v>111</v>
      </c>
      <c r="X193" s="20" t="s">
        <v>112</v>
      </c>
      <c r="Y193" s="20" t="s">
        <v>112</v>
      </c>
      <c r="Z193" s="20" t="s">
        <v>60</v>
      </c>
      <c r="AA193" s="20" t="s">
        <v>61</v>
      </c>
      <c r="AB193" s="20" t="s">
        <v>96</v>
      </c>
      <c r="AC193" s="28">
        <v>369.83</v>
      </c>
      <c r="AD193" s="28">
        <f>SUM(BASE[[#This Row],[MONTO DE RENTA ]]*1.16)</f>
        <v>429.00279999999998</v>
      </c>
      <c r="AE193" s="28" t="s">
        <v>97</v>
      </c>
      <c r="AF193" s="28">
        <v>473.27586206896552</v>
      </c>
      <c r="AG193" s="28">
        <v>549</v>
      </c>
      <c r="AH193" s="22" t="s">
        <v>253</v>
      </c>
      <c r="AI193" s="148">
        <v>45771</v>
      </c>
      <c r="AJ193" s="149">
        <v>46481</v>
      </c>
      <c r="AK193" s="30">
        <f ca="1">IFERROR(IF(BASE[[#This Row],[FECHA DE RENOVACION ]]&gt;TODAY(), DATEDIF(TODAY(),BASE[[#This Row],[FECHA DE RENOVACION ]],"M"), -DATEDIF(BASE[[#This Row],[FECHA DE RENOVACION ]],TODAY(),"M")), "Sin fecha")</f>
        <v>13</v>
      </c>
      <c r="AM193" s="30"/>
      <c r="AN193" s="20" t="s">
        <v>65</v>
      </c>
      <c r="AO193" s="82" t="s">
        <v>355</v>
      </c>
      <c r="AP193" s="20" t="s">
        <v>66</v>
      </c>
      <c r="AQ193" s="20" t="s">
        <v>100</v>
      </c>
    </row>
    <row r="194" spans="1:43" ht="16">
      <c r="A194" s="20">
        <v>9981107568</v>
      </c>
      <c r="B194" s="49">
        <v>1004870</v>
      </c>
      <c r="C194" s="20" t="s">
        <v>1139</v>
      </c>
      <c r="D194" s="20" t="s">
        <v>657</v>
      </c>
      <c r="E194" s="20" t="s">
        <v>657</v>
      </c>
      <c r="F194" s="20" t="s">
        <v>47</v>
      </c>
      <c r="G194" s="20" t="s">
        <v>47</v>
      </c>
      <c r="H194" s="20" t="s">
        <v>48</v>
      </c>
      <c r="I194" s="20" t="s">
        <v>47</v>
      </c>
      <c r="J194" s="22" t="s">
        <v>1140</v>
      </c>
      <c r="K194" s="22" t="s">
        <v>1140</v>
      </c>
      <c r="L194" s="23" t="s">
        <v>1141</v>
      </c>
      <c r="M194" s="24" t="s">
        <v>7751</v>
      </c>
      <c r="N194" s="23">
        <v>11331000</v>
      </c>
      <c r="O194" s="25" t="s">
        <v>1035</v>
      </c>
      <c r="P194" s="25" t="s">
        <v>53</v>
      </c>
      <c r="Q194" s="20" t="s">
        <v>1142</v>
      </c>
      <c r="R194" s="20">
        <v>83596128</v>
      </c>
      <c r="S194" s="25" t="s">
        <v>55</v>
      </c>
      <c r="T194" s="26" t="s">
        <v>56</v>
      </c>
      <c r="U194" s="23">
        <v>865356065671315</v>
      </c>
      <c r="V194" s="27" t="s">
        <v>183</v>
      </c>
      <c r="W194" s="20" t="s">
        <v>129</v>
      </c>
      <c r="X194" s="20" t="s">
        <v>130</v>
      </c>
      <c r="Y194" s="20" t="s">
        <v>130</v>
      </c>
      <c r="Z194" s="20" t="s">
        <v>60</v>
      </c>
      <c r="AA194" s="20" t="s">
        <v>61</v>
      </c>
      <c r="AB194" s="20" t="s">
        <v>96</v>
      </c>
      <c r="AC194" s="28">
        <v>369.83</v>
      </c>
      <c r="AD194" s="28">
        <f>SUM(BASE[[#This Row],[MONTO DE RENTA ]]*1.16)</f>
        <v>429.00279999999998</v>
      </c>
      <c r="AE194" s="28" t="s">
        <v>63</v>
      </c>
      <c r="AF194" s="28">
        <v>369.82758620689657</v>
      </c>
      <c r="AG194" s="28">
        <v>429</v>
      </c>
      <c r="AI194" s="29">
        <v>44937</v>
      </c>
      <c r="AJ194" s="50">
        <v>46043</v>
      </c>
      <c r="AK19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94" s="30"/>
      <c r="AN194" s="20" t="s">
        <v>99</v>
      </c>
      <c r="AP194" s="20" t="s">
        <v>84</v>
      </c>
      <c r="AQ194" s="20" t="s">
        <v>100</v>
      </c>
    </row>
    <row r="195" spans="1:43" s="87" customFormat="1" ht="16">
      <c r="A195" s="20">
        <v>9982045335</v>
      </c>
      <c r="B195" s="49">
        <v>998854</v>
      </c>
      <c r="C195" s="20" t="s">
        <v>1143</v>
      </c>
      <c r="D195" s="20" t="s">
        <v>937</v>
      </c>
      <c r="E195" s="20" t="s">
        <v>1144</v>
      </c>
      <c r="F195" s="20" t="s">
        <v>451</v>
      </c>
      <c r="G195" s="20" t="s">
        <v>248</v>
      </c>
      <c r="H195" s="20" t="s">
        <v>48</v>
      </c>
      <c r="I195" s="20" t="s">
        <v>451</v>
      </c>
      <c r="J195" s="22" t="s">
        <v>1145</v>
      </c>
      <c r="K195" s="22" t="s">
        <v>1145</v>
      </c>
      <c r="L195" s="23" t="s">
        <v>1141</v>
      </c>
      <c r="M195" s="24" t="s">
        <v>7751</v>
      </c>
      <c r="N195" s="23">
        <v>11331000</v>
      </c>
      <c r="O195" s="25" t="s">
        <v>1035</v>
      </c>
      <c r="P195" s="25" t="s">
        <v>53</v>
      </c>
      <c r="Q195" s="20" t="s">
        <v>1146</v>
      </c>
      <c r="R195" s="20">
        <v>83596119</v>
      </c>
      <c r="S195" s="25" t="s">
        <v>55</v>
      </c>
      <c r="T195" s="26" t="s">
        <v>56</v>
      </c>
      <c r="U195" s="23">
        <v>865356065729725</v>
      </c>
      <c r="V195" s="27" t="s">
        <v>183</v>
      </c>
      <c r="W195" s="20" t="s">
        <v>129</v>
      </c>
      <c r="X195" s="20" t="s">
        <v>130</v>
      </c>
      <c r="Y195" s="20" t="s">
        <v>130</v>
      </c>
      <c r="Z195" s="20" t="s">
        <v>60</v>
      </c>
      <c r="AA195" s="20" t="s">
        <v>61</v>
      </c>
      <c r="AB195" s="20" t="s">
        <v>96</v>
      </c>
      <c r="AC195" s="28">
        <v>369.83</v>
      </c>
      <c r="AD195" s="28">
        <f>SUM(BASE[[#This Row],[MONTO DE RENTA ]]*1.16)</f>
        <v>429.00279999999998</v>
      </c>
      <c r="AE195" s="28" t="s">
        <v>63</v>
      </c>
      <c r="AF195" s="28">
        <v>369.82758620689657</v>
      </c>
      <c r="AG195" s="28">
        <v>429</v>
      </c>
      <c r="AH195" s="22"/>
      <c r="AI195" s="63">
        <v>44937</v>
      </c>
      <c r="AJ195" s="73">
        <v>46043</v>
      </c>
      <c r="AK19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95" s="20"/>
      <c r="AM195" s="30"/>
      <c r="AN195" s="20" t="s">
        <v>99</v>
      </c>
      <c r="AO195" s="20"/>
      <c r="AP195" s="20" t="s">
        <v>84</v>
      </c>
      <c r="AQ195" s="20" t="s">
        <v>100</v>
      </c>
    </row>
    <row r="196" spans="1:43" ht="16">
      <c r="A196" s="150">
        <v>9848063700</v>
      </c>
      <c r="B196" s="21">
        <v>950364</v>
      </c>
      <c r="C196" s="20" t="s">
        <v>1147</v>
      </c>
      <c r="D196" s="20" t="s">
        <v>143</v>
      </c>
      <c r="E196" s="20" t="s">
        <v>247</v>
      </c>
      <c r="F196" s="20" t="s">
        <v>509</v>
      </c>
      <c r="G196" s="20" t="s">
        <v>509</v>
      </c>
      <c r="H196" s="20" t="s">
        <v>48</v>
      </c>
      <c r="I196" s="20" t="s">
        <v>509</v>
      </c>
      <c r="J196" s="151" t="s">
        <v>1148</v>
      </c>
      <c r="K196" s="151" t="s">
        <v>1148</v>
      </c>
      <c r="L196" s="23" t="s">
        <v>1141</v>
      </c>
      <c r="M196" s="24" t="s">
        <v>7751</v>
      </c>
      <c r="N196" s="23">
        <v>18861000</v>
      </c>
      <c r="O196" s="25" t="s">
        <v>1035</v>
      </c>
      <c r="P196" s="25" t="s">
        <v>53</v>
      </c>
      <c r="Q196" s="20" t="s">
        <v>1149</v>
      </c>
      <c r="R196" s="20">
        <v>83596133</v>
      </c>
      <c r="S196" s="25" t="s">
        <v>55</v>
      </c>
      <c r="T196" s="152" t="s">
        <v>56</v>
      </c>
      <c r="U196" s="23">
        <v>866223056215610</v>
      </c>
      <c r="V196" s="27" t="s">
        <v>183</v>
      </c>
      <c r="W196" s="20" t="s">
        <v>649</v>
      </c>
      <c r="X196" s="20" t="s">
        <v>650</v>
      </c>
      <c r="Y196" s="20" t="s">
        <v>650</v>
      </c>
      <c r="Z196" s="20" t="s">
        <v>60</v>
      </c>
      <c r="AA196" s="20" t="s">
        <v>61</v>
      </c>
      <c r="AB196" s="20" t="s">
        <v>96</v>
      </c>
      <c r="AC196" s="28">
        <v>369.83</v>
      </c>
      <c r="AD196" s="28">
        <f>SUM(BASE[[#This Row],[MONTO DE RENTA ]]*1.16)</f>
        <v>429.00279999999998</v>
      </c>
      <c r="AE196" s="28" t="s">
        <v>63</v>
      </c>
      <c r="AF196" s="28">
        <v>369.82758620689657</v>
      </c>
      <c r="AG196" s="28">
        <v>429</v>
      </c>
      <c r="AH196" s="153" t="s">
        <v>116</v>
      </c>
      <c r="AI196" s="154">
        <v>45112</v>
      </c>
      <c r="AJ196" s="154">
        <v>45843</v>
      </c>
      <c r="AK196" s="30">
        <f ca="1">IFERROR(IF(BASE[[#This Row],[FECHA DE RENOVACION ]]&gt;TODAY(), DATEDIF(TODAY(),BASE[[#This Row],[FECHA DE RENOVACION ]],"M"), -DATEDIF(BASE[[#This Row],[FECHA DE RENOVACION ]],TODAY(),"M")), "Sin fecha")</f>
        <v>-7</v>
      </c>
      <c r="AL196" s="155"/>
      <c r="AM196" s="156"/>
      <c r="AN196" s="20" t="s">
        <v>99</v>
      </c>
      <c r="AP196" s="20" t="s">
        <v>84</v>
      </c>
      <c r="AQ196" s="20" t="s">
        <v>100</v>
      </c>
    </row>
    <row r="197" spans="1:43" ht="16">
      <c r="A197" s="20">
        <v>9981173109</v>
      </c>
      <c r="B197" s="49">
        <v>950302</v>
      </c>
      <c r="C197" s="20" t="s">
        <v>1150</v>
      </c>
      <c r="D197" s="20" t="s">
        <v>1151</v>
      </c>
      <c r="E197" s="20" t="s">
        <v>1152</v>
      </c>
      <c r="F197" s="20" t="s">
        <v>104</v>
      </c>
      <c r="G197" s="20" t="s">
        <v>104</v>
      </c>
      <c r="H197" s="20" t="s">
        <v>48</v>
      </c>
      <c r="I197" s="20" t="s">
        <v>104</v>
      </c>
      <c r="J197" s="32" t="s">
        <v>1153</v>
      </c>
      <c r="K197" s="32" t="s">
        <v>1153</v>
      </c>
      <c r="L197" s="23" t="s">
        <v>1141</v>
      </c>
      <c r="M197" s="24" t="s">
        <v>7751</v>
      </c>
      <c r="N197" s="23">
        <v>11331000</v>
      </c>
      <c r="O197" s="25" t="s">
        <v>1035</v>
      </c>
      <c r="P197" s="25" t="s">
        <v>53</v>
      </c>
      <c r="Q197" s="20" t="s">
        <v>1154</v>
      </c>
      <c r="R197" s="20">
        <v>83596138</v>
      </c>
      <c r="S197" s="25" t="s">
        <v>55</v>
      </c>
      <c r="T197" s="26" t="s">
        <v>56</v>
      </c>
      <c r="U197" s="23">
        <v>867353050054084</v>
      </c>
      <c r="V197" s="45" t="s">
        <v>110</v>
      </c>
      <c r="W197" s="20" t="s">
        <v>149</v>
      </c>
      <c r="X197" s="20" t="s">
        <v>150</v>
      </c>
      <c r="Y197" s="20" t="s">
        <v>150</v>
      </c>
      <c r="Z197" s="20" t="s">
        <v>60</v>
      </c>
      <c r="AA197" s="20" t="s">
        <v>61</v>
      </c>
      <c r="AB197" s="20" t="s">
        <v>96</v>
      </c>
      <c r="AC197" s="28">
        <v>369.83</v>
      </c>
      <c r="AD197" s="28">
        <f>SUM(BASE[[#This Row],[MONTO DE RENTA ]]*1.16)</f>
        <v>429.00279999999998</v>
      </c>
      <c r="AE197" s="28" t="s">
        <v>97</v>
      </c>
      <c r="AF197" s="28">
        <v>473.27586206896552</v>
      </c>
      <c r="AG197" s="28">
        <v>549</v>
      </c>
      <c r="AI197" s="29">
        <v>44937</v>
      </c>
      <c r="AJ197" s="50">
        <v>46043</v>
      </c>
      <c r="AK1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97" s="30"/>
      <c r="AN197" s="20" t="s">
        <v>99</v>
      </c>
      <c r="AP197" s="20" t="s">
        <v>66</v>
      </c>
      <c r="AQ197" s="20" t="s">
        <v>100</v>
      </c>
    </row>
    <row r="198" spans="1:43" ht="16">
      <c r="A198" s="20">
        <v>9982156219</v>
      </c>
      <c r="B198" s="21">
        <v>395038</v>
      </c>
      <c r="C198" s="20" t="s">
        <v>1155</v>
      </c>
      <c r="D198" s="20" t="s">
        <v>186</v>
      </c>
      <c r="E198" s="20" t="s">
        <v>1156</v>
      </c>
      <c r="F198" s="20" t="s">
        <v>104</v>
      </c>
      <c r="G198" s="20" t="s">
        <v>104</v>
      </c>
      <c r="H198" s="20" t="s">
        <v>48</v>
      </c>
      <c r="I198" s="20" t="s">
        <v>104</v>
      </c>
      <c r="J198" s="157" t="s">
        <v>1157</v>
      </c>
      <c r="K198" s="157" t="s">
        <v>1157</v>
      </c>
      <c r="L198" s="23" t="s">
        <v>1141</v>
      </c>
      <c r="M198" s="24" t="s">
        <v>7751</v>
      </c>
      <c r="N198" s="23">
        <v>11331000</v>
      </c>
      <c r="O198" s="25" t="s">
        <v>1035</v>
      </c>
      <c r="P198" s="25" t="s">
        <v>53</v>
      </c>
      <c r="Q198" s="20" t="s">
        <v>1158</v>
      </c>
      <c r="R198" s="20">
        <v>83652135</v>
      </c>
      <c r="S198" s="25" t="s">
        <v>1159</v>
      </c>
      <c r="T198" s="26" t="s">
        <v>57</v>
      </c>
      <c r="U198" s="23">
        <v>860478064949727</v>
      </c>
      <c r="V198" s="45" t="s">
        <v>110</v>
      </c>
      <c r="W198" s="20" t="s">
        <v>302</v>
      </c>
      <c r="X198" s="20" t="s">
        <v>303</v>
      </c>
      <c r="Y198" s="20" t="s">
        <v>303</v>
      </c>
      <c r="Z198" s="20" t="s">
        <v>80</v>
      </c>
      <c r="AA198" s="20" t="s">
        <v>81</v>
      </c>
      <c r="AB198" s="20" t="s">
        <v>96</v>
      </c>
      <c r="AC198" s="28">
        <v>369.83</v>
      </c>
      <c r="AD198" s="28">
        <f>SUM(BASE[[#This Row],[MONTO DE RENTA ]]*1.16)</f>
        <v>429.00279999999998</v>
      </c>
      <c r="AE198" s="28" t="s">
        <v>97</v>
      </c>
      <c r="AF198" s="28">
        <v>473.27586206896552</v>
      </c>
      <c r="AG198" s="28">
        <v>549</v>
      </c>
      <c r="AH198" s="22" t="s">
        <v>64</v>
      </c>
      <c r="AI198" s="63">
        <v>45713</v>
      </c>
      <c r="AJ198" s="63">
        <v>46433</v>
      </c>
      <c r="AK1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98" s="30"/>
      <c r="AN198" s="20" t="s">
        <v>65</v>
      </c>
      <c r="AO198" s="82" t="s">
        <v>355</v>
      </c>
      <c r="AP198" s="20" t="s">
        <v>66</v>
      </c>
      <c r="AQ198" s="20" t="s">
        <v>100</v>
      </c>
    </row>
    <row r="199" spans="1:43" ht="16">
      <c r="A199" s="99">
        <v>9981038851</v>
      </c>
      <c r="B199" s="49">
        <v>1039656</v>
      </c>
      <c r="C199" s="20" t="s">
        <v>1160</v>
      </c>
      <c r="D199" s="20" t="s">
        <v>711</v>
      </c>
      <c r="E199" s="20" t="s">
        <v>1161</v>
      </c>
      <c r="F199" s="20" t="s">
        <v>70</v>
      </c>
      <c r="G199" s="20" t="s">
        <v>70</v>
      </c>
      <c r="H199" s="20" t="s">
        <v>48</v>
      </c>
      <c r="I199" s="20" t="s">
        <v>70</v>
      </c>
      <c r="J199" s="22" t="s">
        <v>1162</v>
      </c>
      <c r="K199" s="22" t="s">
        <v>1162</v>
      </c>
      <c r="L199" s="23" t="s">
        <v>1141</v>
      </c>
      <c r="M199" s="24" t="s">
        <v>7751</v>
      </c>
      <c r="N199" s="23">
        <v>11331000</v>
      </c>
      <c r="O199" s="25" t="s">
        <v>1035</v>
      </c>
      <c r="P199" s="25" t="s">
        <v>53</v>
      </c>
      <c r="Q199" s="20" t="s">
        <v>1163</v>
      </c>
      <c r="R199" s="20">
        <v>83596130</v>
      </c>
      <c r="S199" s="25" t="s">
        <v>55</v>
      </c>
      <c r="T199" s="26" t="s">
        <v>56</v>
      </c>
      <c r="U199" s="23">
        <v>357143261252958</v>
      </c>
      <c r="V199" s="27" t="s">
        <v>78</v>
      </c>
      <c r="W199" s="20" t="s">
        <v>1164</v>
      </c>
      <c r="X199" s="20" t="s">
        <v>1164</v>
      </c>
      <c r="Y199" s="20" t="s">
        <v>1164</v>
      </c>
      <c r="Z199" s="20" t="s">
        <v>60</v>
      </c>
      <c r="AA199" s="20" t="s">
        <v>61</v>
      </c>
      <c r="AB199" s="20" t="s">
        <v>96</v>
      </c>
      <c r="AC199" s="28">
        <v>369.83</v>
      </c>
      <c r="AD199" s="28">
        <f>SUM(BASE[[#This Row],[MONTO DE RENTA ]]*1.16)</f>
        <v>429.00279999999998</v>
      </c>
      <c r="AE199" s="28" t="s">
        <v>83</v>
      </c>
      <c r="AF199" s="28">
        <v>559.48275862068965</v>
      </c>
      <c r="AG199" s="28">
        <v>649</v>
      </c>
      <c r="AI199" s="63">
        <v>44937</v>
      </c>
      <c r="AJ199" s="73">
        <v>46043</v>
      </c>
      <c r="AK19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99" s="30"/>
      <c r="AN199" s="20" t="s">
        <v>99</v>
      </c>
      <c r="AP199" s="20" t="s">
        <v>66</v>
      </c>
      <c r="AQ199" s="20" t="s">
        <v>100</v>
      </c>
    </row>
    <row r="200" spans="1:43" ht="16">
      <c r="A200" s="20">
        <v>8126208797</v>
      </c>
      <c r="B200" s="21">
        <v>998120</v>
      </c>
      <c r="C200" s="20" t="s">
        <v>1165</v>
      </c>
      <c r="D200" s="20" t="s">
        <v>1166</v>
      </c>
      <c r="E200" s="20" t="s">
        <v>1167</v>
      </c>
      <c r="F200" s="20" t="s">
        <v>47</v>
      </c>
      <c r="G200" s="20" t="s">
        <v>47</v>
      </c>
      <c r="H200" s="20" t="s">
        <v>48</v>
      </c>
      <c r="I200" s="20" t="s">
        <v>47</v>
      </c>
      <c r="J200" s="54" t="s">
        <v>1168</v>
      </c>
      <c r="K200" s="54" t="s">
        <v>1168</v>
      </c>
      <c r="L200" s="23" t="s">
        <v>1169</v>
      </c>
      <c r="M200" s="24" t="s">
        <v>7737</v>
      </c>
      <c r="N200" s="23">
        <v>11333000</v>
      </c>
      <c r="O200" s="25" t="s">
        <v>74</v>
      </c>
      <c r="P200" s="25" t="s">
        <v>53</v>
      </c>
      <c r="Q200" s="20" t="s">
        <v>1170</v>
      </c>
      <c r="R200" s="20">
        <v>43254980</v>
      </c>
      <c r="S200" s="25" t="s">
        <v>1171</v>
      </c>
      <c r="T200" s="65" t="s">
        <v>57</v>
      </c>
      <c r="U200" s="23">
        <v>865356065688319</v>
      </c>
      <c r="V200" s="27" t="s">
        <v>183</v>
      </c>
      <c r="W200" s="20" t="s">
        <v>129</v>
      </c>
      <c r="X200" s="20" t="s">
        <v>130</v>
      </c>
      <c r="Y200" s="20" t="s">
        <v>130</v>
      </c>
      <c r="Z200" s="20" t="s">
        <v>131</v>
      </c>
      <c r="AA200" s="20" t="s">
        <v>132</v>
      </c>
      <c r="AB200" s="20" t="s">
        <v>96</v>
      </c>
      <c r="AC200" s="28">
        <v>369.83</v>
      </c>
      <c r="AD200" s="28">
        <f>SUM(BASE[[#This Row],[MONTO DE RENTA ]]*1.16)</f>
        <v>429.00279999999998</v>
      </c>
      <c r="AE200" s="28" t="s">
        <v>63</v>
      </c>
      <c r="AF200" s="28">
        <v>369.82758620689657</v>
      </c>
      <c r="AG200" s="28">
        <v>429</v>
      </c>
      <c r="AH200" s="22" t="s">
        <v>116</v>
      </c>
      <c r="AI200" s="63">
        <v>45343</v>
      </c>
      <c r="AJ200" s="63">
        <v>46040</v>
      </c>
      <c r="AK2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200" s="63">
        <v>46074</v>
      </c>
      <c r="AM200" s="30"/>
      <c r="AN200" s="20" t="s">
        <v>99</v>
      </c>
      <c r="AP200" s="20" t="s">
        <v>84</v>
      </c>
      <c r="AQ200" s="20" t="s">
        <v>100</v>
      </c>
    </row>
    <row r="201" spans="1:43" ht="16">
      <c r="A201" s="20">
        <v>8126819532</v>
      </c>
      <c r="B201" s="49">
        <v>1042126</v>
      </c>
      <c r="C201" s="20" t="s">
        <v>1172</v>
      </c>
      <c r="D201" s="20" t="s">
        <v>1173</v>
      </c>
      <c r="E201" s="20" t="s">
        <v>405</v>
      </c>
      <c r="F201" s="20" t="s">
        <v>1174</v>
      </c>
      <c r="G201" s="20" t="s">
        <v>248</v>
      </c>
      <c r="H201" s="20" t="s">
        <v>48</v>
      </c>
      <c r="I201" s="20" t="s">
        <v>1174</v>
      </c>
      <c r="J201" s="22" t="s">
        <v>1175</v>
      </c>
      <c r="K201" s="22" t="s">
        <v>1175</v>
      </c>
      <c r="L201" s="23" t="s">
        <v>1169</v>
      </c>
      <c r="M201" s="24" t="s">
        <v>7737</v>
      </c>
      <c r="N201" s="23">
        <v>11333000</v>
      </c>
      <c r="O201" s="25" t="s">
        <v>74</v>
      </c>
      <c r="P201" s="25" t="s">
        <v>53</v>
      </c>
      <c r="Q201" s="20" t="s">
        <v>1176</v>
      </c>
      <c r="R201" s="20">
        <v>44114634</v>
      </c>
      <c r="S201" s="25" t="s">
        <v>55</v>
      </c>
      <c r="T201" s="26" t="s">
        <v>56</v>
      </c>
      <c r="U201" s="23">
        <v>860900062256987</v>
      </c>
      <c r="V201" s="27" t="s">
        <v>183</v>
      </c>
      <c r="W201" s="20" t="s">
        <v>58</v>
      </c>
      <c r="X201" s="20" t="s">
        <v>59</v>
      </c>
      <c r="Y201" s="20" t="s">
        <v>59</v>
      </c>
      <c r="Z201" s="20" t="s">
        <v>60</v>
      </c>
      <c r="AA201" s="20" t="s">
        <v>61</v>
      </c>
      <c r="AB201" s="20" t="s">
        <v>96</v>
      </c>
      <c r="AC201" s="28">
        <v>369.83</v>
      </c>
      <c r="AD201" s="28">
        <f>SUM(BASE[[#This Row],[MONTO DE RENTA ]]*1.16)</f>
        <v>429.00279999999998</v>
      </c>
      <c r="AE201" s="28" t="s">
        <v>63</v>
      </c>
      <c r="AF201" s="28">
        <v>369.82758620689657</v>
      </c>
      <c r="AG201" s="28">
        <v>429</v>
      </c>
      <c r="AH201" s="22" t="s">
        <v>253</v>
      </c>
      <c r="AI201" s="63">
        <v>45756</v>
      </c>
      <c r="AJ201" s="63">
        <v>46486</v>
      </c>
      <c r="AK201" s="30">
        <f ca="1">IFERROR(IF(BASE[[#This Row],[FECHA DE RENOVACION ]]&gt;TODAY(), DATEDIF(TODAY(),BASE[[#This Row],[FECHA DE RENOVACION ]],"M"), -DATEDIF(BASE[[#This Row],[FECHA DE RENOVACION ]],TODAY(),"M")), "Sin fecha")</f>
        <v>13</v>
      </c>
      <c r="AL201" s="20">
        <v>11333000</v>
      </c>
      <c r="AM201" s="30"/>
      <c r="AN201" s="20" t="s">
        <v>65</v>
      </c>
      <c r="AO201" s="20" t="s">
        <v>141</v>
      </c>
      <c r="AP201" s="20" t="s">
        <v>84</v>
      </c>
      <c r="AQ201" s="20" t="s">
        <v>100</v>
      </c>
    </row>
    <row r="202" spans="1:43" ht="16">
      <c r="A202" s="20">
        <v>8118210307</v>
      </c>
      <c r="B202" s="21">
        <v>1073440</v>
      </c>
      <c r="C202" s="20" t="s">
        <v>1177</v>
      </c>
      <c r="D202" s="20" t="s">
        <v>45</v>
      </c>
      <c r="E202" s="20" t="s">
        <v>293</v>
      </c>
      <c r="F202" s="20" t="s">
        <v>384</v>
      </c>
      <c r="G202" s="20" t="s">
        <v>104</v>
      </c>
      <c r="H202" s="20" t="s">
        <v>48</v>
      </c>
      <c r="I202" s="20" t="s">
        <v>384</v>
      </c>
      <c r="J202" s="32" t="s">
        <v>1178</v>
      </c>
      <c r="K202" s="22" t="s">
        <v>1178</v>
      </c>
      <c r="L202" s="23" t="s">
        <v>1169</v>
      </c>
      <c r="M202" s="24" t="s">
        <v>7737</v>
      </c>
      <c r="N202" s="23">
        <v>11333000</v>
      </c>
      <c r="O202" s="25" t="s">
        <v>74</v>
      </c>
      <c r="P202" s="25" t="s">
        <v>53</v>
      </c>
      <c r="Q202" s="20" t="s">
        <v>1179</v>
      </c>
      <c r="R202" s="20">
        <v>43163588</v>
      </c>
      <c r="S202" s="25" t="s">
        <v>1180</v>
      </c>
      <c r="T202" s="26" t="s">
        <v>57</v>
      </c>
      <c r="U202" s="23">
        <v>860478064949610</v>
      </c>
      <c r="V202" s="45" t="s">
        <v>110</v>
      </c>
      <c r="W202" s="20" t="s">
        <v>302</v>
      </c>
      <c r="X202" s="20" t="s">
        <v>303</v>
      </c>
      <c r="Y202" s="20" t="s">
        <v>303</v>
      </c>
      <c r="Z202" s="20" t="s">
        <v>167</v>
      </c>
      <c r="AA202" s="20" t="s">
        <v>168</v>
      </c>
      <c r="AB202" s="20" t="s">
        <v>96</v>
      </c>
      <c r="AC202" s="28">
        <v>369.83</v>
      </c>
      <c r="AD202" s="28">
        <f>SUM(BASE[[#This Row],[MONTO DE RENTA ]]*1.16)</f>
        <v>429.00279999999998</v>
      </c>
      <c r="AE202" s="28" t="s">
        <v>97</v>
      </c>
      <c r="AF202" s="28">
        <v>473.27586206896552</v>
      </c>
      <c r="AG202" s="28">
        <v>549</v>
      </c>
      <c r="AH202" s="22" t="s">
        <v>64</v>
      </c>
      <c r="AI202" s="63">
        <v>45703</v>
      </c>
      <c r="AJ202" s="63">
        <v>46433</v>
      </c>
      <c r="AK2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2" s="30"/>
      <c r="AN202" s="20" t="s">
        <v>65</v>
      </c>
      <c r="AO202" s="82"/>
      <c r="AP202" s="20" t="s">
        <v>66</v>
      </c>
    </row>
    <row r="203" spans="1:43" ht="16">
      <c r="A203" s="20">
        <v>8119119667</v>
      </c>
      <c r="B203" s="59">
        <v>890534</v>
      </c>
      <c r="C203" s="20" t="s">
        <v>1181</v>
      </c>
      <c r="D203" s="20" t="s">
        <v>143</v>
      </c>
      <c r="E203" s="20" t="s">
        <v>1182</v>
      </c>
      <c r="F203" s="20" t="s">
        <v>104</v>
      </c>
      <c r="G203" s="20" t="s">
        <v>104</v>
      </c>
      <c r="H203" s="20" t="s">
        <v>48</v>
      </c>
      <c r="I203" s="20" t="s">
        <v>104</v>
      </c>
      <c r="J203" s="22" t="s">
        <v>1183</v>
      </c>
      <c r="K203" s="32" t="s">
        <v>1183</v>
      </c>
      <c r="L203" s="23" t="s">
        <v>1169</v>
      </c>
      <c r="M203" s="24" t="s">
        <v>7737</v>
      </c>
      <c r="N203" s="23">
        <v>11333000</v>
      </c>
      <c r="O203" s="25" t="s">
        <v>74</v>
      </c>
      <c r="P203" s="25" t="s">
        <v>53</v>
      </c>
      <c r="Q203" s="20" t="s">
        <v>1184</v>
      </c>
      <c r="R203" s="20">
        <v>43149877</v>
      </c>
      <c r="S203" s="25" t="s">
        <v>1185</v>
      </c>
      <c r="T203" s="26" t="s">
        <v>57</v>
      </c>
      <c r="U203" s="23">
        <v>860478064949776</v>
      </c>
      <c r="V203" s="45" t="s">
        <v>110</v>
      </c>
      <c r="W203" s="20" t="s">
        <v>302</v>
      </c>
      <c r="X203" s="20" t="s">
        <v>303</v>
      </c>
      <c r="Y203" s="20" t="s">
        <v>303</v>
      </c>
      <c r="Z203" s="20" t="s">
        <v>167</v>
      </c>
      <c r="AA203" s="20" t="s">
        <v>168</v>
      </c>
      <c r="AB203" s="20" t="s">
        <v>96</v>
      </c>
      <c r="AC203" s="28">
        <v>369.83</v>
      </c>
      <c r="AD203" s="28">
        <f>SUM(BASE[[#This Row],[MONTO DE RENTA ]]*1.16)</f>
        <v>429.00279999999998</v>
      </c>
      <c r="AE203" s="28" t="s">
        <v>97</v>
      </c>
      <c r="AF203" s="28">
        <v>473.27586206896552</v>
      </c>
      <c r="AG203" s="28">
        <v>549</v>
      </c>
      <c r="AH203" s="22" t="s">
        <v>64</v>
      </c>
      <c r="AI203" s="63">
        <v>45703</v>
      </c>
      <c r="AJ203" s="63">
        <v>46433</v>
      </c>
      <c r="AK2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3" s="30"/>
      <c r="AN203" s="20" t="s">
        <v>65</v>
      </c>
      <c r="AP203" s="20" t="s">
        <v>66</v>
      </c>
    </row>
    <row r="204" spans="1:43" ht="16">
      <c r="A204" s="20">
        <v>8120012328</v>
      </c>
      <c r="B204" s="48">
        <v>30148</v>
      </c>
      <c r="C204" s="20" t="s">
        <v>195</v>
      </c>
      <c r="D204" s="20" t="s">
        <v>636</v>
      </c>
      <c r="E204" s="20" t="s">
        <v>1186</v>
      </c>
      <c r="F204" s="20" t="s">
        <v>70</v>
      </c>
      <c r="G204" s="20" t="s">
        <v>70</v>
      </c>
      <c r="H204" s="20" t="s">
        <v>48</v>
      </c>
      <c r="I204" s="20" t="s">
        <v>70</v>
      </c>
      <c r="J204" s="22" t="s">
        <v>1187</v>
      </c>
      <c r="K204" s="22" t="s">
        <v>1187</v>
      </c>
      <c r="L204" s="23" t="s">
        <v>1169</v>
      </c>
      <c r="M204" s="24" t="s">
        <v>7737</v>
      </c>
      <c r="N204" s="23">
        <v>11333000</v>
      </c>
      <c r="O204" s="25" t="s">
        <v>74</v>
      </c>
      <c r="P204" s="25" t="s">
        <v>53</v>
      </c>
      <c r="Q204" s="20" t="s">
        <v>1188</v>
      </c>
      <c r="R204" s="20">
        <v>45017367</v>
      </c>
      <c r="S204" s="25" t="s">
        <v>1189</v>
      </c>
      <c r="T204" s="26" t="s">
        <v>57</v>
      </c>
      <c r="U204" s="23">
        <v>351307357550254</v>
      </c>
      <c r="V204" s="27" t="s">
        <v>78</v>
      </c>
      <c r="W204" s="20" t="s">
        <v>79</v>
      </c>
      <c r="X204" s="20" t="s">
        <v>79</v>
      </c>
      <c r="Y204" s="20" t="s">
        <v>79</v>
      </c>
      <c r="Z204" s="20" t="s">
        <v>167</v>
      </c>
      <c r="AA204" s="20" t="s">
        <v>168</v>
      </c>
      <c r="AB204" s="20" t="s">
        <v>96</v>
      </c>
      <c r="AC204" s="28">
        <v>369.83</v>
      </c>
      <c r="AD204" s="28">
        <f>SUM(BASE[[#This Row],[MONTO DE RENTA ]]*1.16)</f>
        <v>429.00279999999998</v>
      </c>
      <c r="AE204" s="28" t="s">
        <v>83</v>
      </c>
      <c r="AF204" s="28">
        <v>559.48275862068965</v>
      </c>
      <c r="AG204" s="28">
        <v>649</v>
      </c>
      <c r="AH204" s="22" t="s">
        <v>64</v>
      </c>
      <c r="AI204" s="63">
        <v>45703</v>
      </c>
      <c r="AJ204" s="63">
        <v>46433</v>
      </c>
      <c r="AK2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4" s="30"/>
      <c r="AN204" s="20" t="s">
        <v>65</v>
      </c>
      <c r="AO204" s="20" t="s">
        <v>169</v>
      </c>
      <c r="AP204" s="20" t="s">
        <v>66</v>
      </c>
      <c r="AQ204" s="20" t="s">
        <v>100</v>
      </c>
    </row>
    <row r="205" spans="1:43" ht="16">
      <c r="A205" s="20">
        <v>6621568272</v>
      </c>
      <c r="B205" s="21">
        <v>1001674</v>
      </c>
      <c r="C205" s="20" t="s">
        <v>1190</v>
      </c>
      <c r="D205" s="20" t="s">
        <v>756</v>
      </c>
      <c r="E205" s="20" t="s">
        <v>186</v>
      </c>
      <c r="F205" s="20" t="s">
        <v>451</v>
      </c>
      <c r="G205" s="20" t="s">
        <v>47</v>
      </c>
      <c r="H205" s="20" t="s">
        <v>48</v>
      </c>
      <c r="I205" s="20" t="s">
        <v>451</v>
      </c>
      <c r="J205" s="158" t="s">
        <v>1191</v>
      </c>
      <c r="K205" s="32" t="s">
        <v>1191</v>
      </c>
      <c r="L205" s="23" t="s">
        <v>1192</v>
      </c>
      <c r="M205" s="24" t="s">
        <v>7745</v>
      </c>
      <c r="N205" s="23">
        <v>11335000</v>
      </c>
      <c r="O205" s="25" t="s">
        <v>866</v>
      </c>
      <c r="P205" s="25" t="s">
        <v>53</v>
      </c>
      <c r="Q205" s="20" t="s">
        <v>1193</v>
      </c>
      <c r="R205" s="20">
        <v>23323452</v>
      </c>
      <c r="S205" s="25" t="s">
        <v>1194</v>
      </c>
      <c r="T205" s="26" t="s">
        <v>57</v>
      </c>
      <c r="U205" s="23">
        <v>860900062336615</v>
      </c>
      <c r="V205" s="27" t="s">
        <v>57</v>
      </c>
      <c r="W205" s="20" t="s">
        <v>58</v>
      </c>
      <c r="X205" s="20" t="s">
        <v>59</v>
      </c>
      <c r="Y205" s="20" t="s">
        <v>59</v>
      </c>
      <c r="Z205" s="20" t="s">
        <v>60</v>
      </c>
      <c r="AA205" s="20" t="s">
        <v>61</v>
      </c>
      <c r="AB205" s="20" t="s">
        <v>62</v>
      </c>
      <c r="AC205" s="28">
        <v>197.41</v>
      </c>
      <c r="AD205" s="28">
        <f>SUM(BASE[[#This Row],[MONTO DE RENTA ]]*1.16)</f>
        <v>228.99559999999997</v>
      </c>
      <c r="AE205" s="28" t="s">
        <v>63</v>
      </c>
      <c r="AF205" s="28">
        <v>369.82758620689657</v>
      </c>
      <c r="AG205" s="28">
        <v>429</v>
      </c>
      <c r="AH205" s="22" t="s">
        <v>448</v>
      </c>
      <c r="AI205" s="63">
        <v>45763</v>
      </c>
      <c r="AJ205" s="63">
        <v>46493</v>
      </c>
      <c r="AK205" s="30">
        <f ca="1">IFERROR(IF(BASE[[#This Row],[FECHA DE RENOVACION ]]&gt;TODAY(), DATEDIF(TODAY(),BASE[[#This Row],[FECHA DE RENOVACION ]],"M"), -DATEDIF(BASE[[#This Row],[FECHA DE RENOVACION ]],TODAY(),"M")), "Sin fecha")</f>
        <v>13</v>
      </c>
      <c r="AM205" s="30"/>
      <c r="AN205" s="20" t="s">
        <v>65</v>
      </c>
      <c r="AO205" s="20" t="s">
        <v>141</v>
      </c>
      <c r="AP205" s="20" t="s">
        <v>66</v>
      </c>
      <c r="AQ205" s="20" t="s">
        <v>100</v>
      </c>
    </row>
    <row r="206" spans="1:43" ht="16">
      <c r="A206" s="20">
        <v>6621110882</v>
      </c>
      <c r="B206" s="159">
        <v>1058389</v>
      </c>
      <c r="C206" s="20" t="s">
        <v>1195</v>
      </c>
      <c r="D206" s="20" t="s">
        <v>1196</v>
      </c>
      <c r="E206" s="20" t="s">
        <v>135</v>
      </c>
      <c r="F206" s="20" t="s">
        <v>451</v>
      </c>
      <c r="G206" s="20" t="s">
        <v>248</v>
      </c>
      <c r="H206" s="20" t="s">
        <v>48</v>
      </c>
      <c r="I206" s="20" t="s">
        <v>451</v>
      </c>
      <c r="J206" s="32" t="s">
        <v>1197</v>
      </c>
      <c r="K206" s="32" t="s">
        <v>1197</v>
      </c>
      <c r="L206" s="23" t="s">
        <v>1192</v>
      </c>
      <c r="M206" s="24" t="s">
        <v>7745</v>
      </c>
      <c r="N206" s="23">
        <v>11335000</v>
      </c>
      <c r="O206" s="25" t="s">
        <v>866</v>
      </c>
      <c r="P206" s="25" t="s">
        <v>53</v>
      </c>
      <c r="Q206" s="20" t="s">
        <v>1198</v>
      </c>
      <c r="R206" s="20">
        <v>23323456</v>
      </c>
      <c r="S206" s="25" t="s">
        <v>1199</v>
      </c>
      <c r="T206" s="26" t="s">
        <v>57</v>
      </c>
      <c r="U206" s="23">
        <v>860900062337399</v>
      </c>
      <c r="V206" s="27" t="s">
        <v>183</v>
      </c>
      <c r="W206" s="20" t="s">
        <v>58</v>
      </c>
      <c r="X206" s="20" t="s">
        <v>59</v>
      </c>
      <c r="Y206" s="20" t="s">
        <v>59</v>
      </c>
      <c r="Z206" s="20" t="s">
        <v>60</v>
      </c>
      <c r="AA206" s="20" t="s">
        <v>61</v>
      </c>
      <c r="AB206" s="20" t="s">
        <v>96</v>
      </c>
      <c r="AC206" s="28">
        <v>369.83</v>
      </c>
      <c r="AD206" s="28">
        <f>SUM(BASE[[#This Row],[MONTO DE RENTA ]]*1.16)</f>
        <v>429.00279999999998</v>
      </c>
      <c r="AE206" s="28" t="s">
        <v>63</v>
      </c>
      <c r="AF206" s="28">
        <v>369.82758620689657</v>
      </c>
      <c r="AG206" s="28">
        <v>429</v>
      </c>
      <c r="AH206" s="22" t="s">
        <v>64</v>
      </c>
      <c r="AI206" s="29">
        <v>45713</v>
      </c>
      <c r="AJ206" s="29">
        <v>46433</v>
      </c>
      <c r="AK2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6" s="30"/>
      <c r="AN206" s="20" t="s">
        <v>65</v>
      </c>
      <c r="AO206" s="20" t="s">
        <v>141</v>
      </c>
      <c r="AP206" s="20" t="s">
        <v>84</v>
      </c>
      <c r="AQ206" s="20" t="s">
        <v>100</v>
      </c>
    </row>
    <row r="207" spans="1:43" ht="16">
      <c r="A207" s="20">
        <v>6624764042</v>
      </c>
      <c r="B207" s="49">
        <v>540338</v>
      </c>
      <c r="C207" s="20" t="s">
        <v>998</v>
      </c>
      <c r="D207" s="20" t="s">
        <v>376</v>
      </c>
      <c r="E207" s="20" t="s">
        <v>631</v>
      </c>
      <c r="F207" s="20" t="s">
        <v>257</v>
      </c>
      <c r="G207" s="20" t="s">
        <v>257</v>
      </c>
      <c r="H207" s="20" t="s">
        <v>48</v>
      </c>
      <c r="I207" s="20" t="s">
        <v>257</v>
      </c>
      <c r="J207" s="22" t="s">
        <v>1200</v>
      </c>
      <c r="K207" s="22" t="s">
        <v>1200</v>
      </c>
      <c r="L207" s="23" t="s">
        <v>1192</v>
      </c>
      <c r="M207" s="24" t="s">
        <v>7745</v>
      </c>
      <c r="N207" s="23">
        <v>11335000</v>
      </c>
      <c r="O207" s="25" t="s">
        <v>866</v>
      </c>
      <c r="P207" s="25" t="s">
        <v>53</v>
      </c>
      <c r="Q207" s="20" t="s">
        <v>1201</v>
      </c>
      <c r="R207" s="20">
        <v>23260609</v>
      </c>
      <c r="S207" s="25" t="s">
        <v>1202</v>
      </c>
      <c r="T207" s="26" t="s">
        <v>57</v>
      </c>
      <c r="U207" s="23">
        <v>860478064863233</v>
      </c>
      <c r="V207" s="45" t="s">
        <v>110</v>
      </c>
      <c r="W207" s="20" t="s">
        <v>302</v>
      </c>
      <c r="X207" s="20" t="s">
        <v>303</v>
      </c>
      <c r="Y207" s="20" t="s">
        <v>303</v>
      </c>
      <c r="Z207" s="20" t="s">
        <v>80</v>
      </c>
      <c r="AA207" s="20" t="s">
        <v>81</v>
      </c>
      <c r="AB207" s="20" t="s">
        <v>82</v>
      </c>
      <c r="AC207" s="28">
        <v>559.48</v>
      </c>
      <c r="AD207" s="28">
        <f>SUM(BASE[[#This Row],[MONTO DE RENTA ]]*1.16)</f>
        <v>648.99680000000001</v>
      </c>
      <c r="AE207" s="28" t="s">
        <v>83</v>
      </c>
      <c r="AF207" s="28">
        <v>559.48275862068965</v>
      </c>
      <c r="AG207" s="28">
        <v>649</v>
      </c>
      <c r="AH207" s="22" t="s">
        <v>64</v>
      </c>
      <c r="AI207" s="63">
        <v>45703</v>
      </c>
      <c r="AJ207" s="63">
        <v>46433</v>
      </c>
      <c r="AK2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7" s="30"/>
      <c r="AN207" s="20" t="s">
        <v>65</v>
      </c>
      <c r="AP207" s="20" t="s">
        <v>84</v>
      </c>
    </row>
    <row r="208" spans="1:43" ht="16">
      <c r="A208" s="20">
        <v>6624705339</v>
      </c>
      <c r="B208" s="49">
        <v>1011382</v>
      </c>
      <c r="C208" s="20" t="s">
        <v>1203</v>
      </c>
      <c r="D208" s="20" t="s">
        <v>1204</v>
      </c>
      <c r="E208" s="20" t="s">
        <v>1205</v>
      </c>
      <c r="F208" s="20" t="s">
        <v>104</v>
      </c>
      <c r="G208" s="20" t="s">
        <v>104</v>
      </c>
      <c r="H208" s="20" t="s">
        <v>48</v>
      </c>
      <c r="I208" s="20" t="s">
        <v>104</v>
      </c>
      <c r="J208" s="22" t="s">
        <v>1206</v>
      </c>
      <c r="K208" s="22" t="s">
        <v>1206</v>
      </c>
      <c r="L208" s="23" t="s">
        <v>1192</v>
      </c>
      <c r="M208" s="24" t="s">
        <v>7745</v>
      </c>
      <c r="N208" s="23">
        <v>11335000</v>
      </c>
      <c r="O208" s="25" t="s">
        <v>866</v>
      </c>
      <c r="P208" s="25" t="s">
        <v>53</v>
      </c>
      <c r="Q208" s="20" t="s">
        <v>1207</v>
      </c>
      <c r="R208" s="20">
        <v>23260600</v>
      </c>
      <c r="S208" s="25" t="s">
        <v>1208</v>
      </c>
      <c r="T208" s="26" t="s">
        <v>57</v>
      </c>
      <c r="U208" s="23">
        <v>860478064951590</v>
      </c>
      <c r="V208" s="45" t="s">
        <v>110</v>
      </c>
      <c r="W208" s="20" t="s">
        <v>302</v>
      </c>
      <c r="X208" s="20" t="s">
        <v>303</v>
      </c>
      <c r="Y208" s="20" t="s">
        <v>303</v>
      </c>
      <c r="Z208" s="20" t="s">
        <v>80</v>
      </c>
      <c r="AA208" s="20" t="s">
        <v>81</v>
      </c>
      <c r="AB208" s="20" t="s">
        <v>82</v>
      </c>
      <c r="AC208" s="28">
        <v>559.48</v>
      </c>
      <c r="AD208" s="28">
        <f>SUM(BASE[[#This Row],[MONTO DE RENTA ]]*1.16)</f>
        <v>648.99680000000001</v>
      </c>
      <c r="AE208" s="28" t="s">
        <v>83</v>
      </c>
      <c r="AF208" s="28">
        <v>559.48275862068965</v>
      </c>
      <c r="AG208" s="28">
        <v>649</v>
      </c>
      <c r="AH208" s="22" t="s">
        <v>64</v>
      </c>
      <c r="AI208" s="63">
        <v>45703</v>
      </c>
      <c r="AJ208" s="63">
        <v>46433</v>
      </c>
      <c r="AK2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8" s="30"/>
      <c r="AN208" s="20" t="s">
        <v>65</v>
      </c>
      <c r="AP208" s="20" t="s">
        <v>84</v>
      </c>
    </row>
    <row r="209" spans="1:43" ht="16">
      <c r="A209" s="20">
        <v>6621673686</v>
      </c>
      <c r="B209" s="21">
        <v>1058908</v>
      </c>
      <c r="C209" s="20" t="s">
        <v>1209</v>
      </c>
      <c r="D209" s="20" t="s">
        <v>358</v>
      </c>
      <c r="E209" s="20" t="s">
        <v>316</v>
      </c>
      <c r="F209" s="20" t="s">
        <v>384</v>
      </c>
      <c r="G209" s="20" t="s">
        <v>104</v>
      </c>
      <c r="H209" s="20" t="s">
        <v>48</v>
      </c>
      <c r="I209" s="20" t="s">
        <v>384</v>
      </c>
      <c r="J209" s="22" t="s">
        <v>1210</v>
      </c>
      <c r="K209" s="22" t="s">
        <v>1210</v>
      </c>
      <c r="L209" s="23" t="s">
        <v>1192</v>
      </c>
      <c r="M209" s="24" t="s">
        <v>7745</v>
      </c>
      <c r="N209" s="23">
        <v>11335000</v>
      </c>
      <c r="O209" s="25" t="s">
        <v>866</v>
      </c>
      <c r="P209" s="25" t="s">
        <v>53</v>
      </c>
      <c r="Q209" s="20" t="s">
        <v>1211</v>
      </c>
      <c r="R209" s="20">
        <v>23323455</v>
      </c>
      <c r="S209" s="25" t="s">
        <v>1212</v>
      </c>
      <c r="T209" s="26" t="s">
        <v>57</v>
      </c>
      <c r="U209" s="23">
        <v>860478064952648</v>
      </c>
      <c r="V209" s="45" t="s">
        <v>110</v>
      </c>
      <c r="W209" s="20" t="s">
        <v>302</v>
      </c>
      <c r="X209" s="20" t="s">
        <v>303</v>
      </c>
      <c r="Y209" s="20" t="s">
        <v>303</v>
      </c>
      <c r="Z209" s="20" t="s">
        <v>80</v>
      </c>
      <c r="AA209" s="20" t="s">
        <v>81</v>
      </c>
      <c r="AB209" s="20" t="s">
        <v>82</v>
      </c>
      <c r="AC209" s="28">
        <v>559.48</v>
      </c>
      <c r="AD209" s="28">
        <f>SUM(BASE[[#This Row],[MONTO DE RENTA ]]*1.16)</f>
        <v>648.99680000000001</v>
      </c>
      <c r="AE209" s="28" t="s">
        <v>83</v>
      </c>
      <c r="AF209" s="28">
        <v>559.48275862068965</v>
      </c>
      <c r="AG209" s="28">
        <v>649</v>
      </c>
      <c r="AH209" s="22" t="s">
        <v>64</v>
      </c>
      <c r="AI209" s="63">
        <v>45703</v>
      </c>
      <c r="AJ209" s="63">
        <v>46433</v>
      </c>
      <c r="AK2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09" s="30"/>
      <c r="AN209" s="20" t="s">
        <v>65</v>
      </c>
      <c r="AP209" s="20" t="s">
        <v>84</v>
      </c>
    </row>
    <row r="210" spans="1:43" ht="16">
      <c r="A210" s="20">
        <v>6624708506</v>
      </c>
      <c r="B210" s="21">
        <v>750081</v>
      </c>
      <c r="C210" s="20" t="s">
        <v>1213</v>
      </c>
      <c r="D210" s="20" t="s">
        <v>1214</v>
      </c>
      <c r="E210" s="20" t="s">
        <v>1057</v>
      </c>
      <c r="F210" s="20" t="s">
        <v>70</v>
      </c>
      <c r="G210" s="20" t="s">
        <v>70</v>
      </c>
      <c r="H210" s="20" t="s">
        <v>48</v>
      </c>
      <c r="I210" s="20" t="s">
        <v>70</v>
      </c>
      <c r="J210" s="22" t="s">
        <v>1215</v>
      </c>
      <c r="K210" s="22" t="s">
        <v>1215</v>
      </c>
      <c r="L210" s="23" t="s">
        <v>1192</v>
      </c>
      <c r="M210" s="24" t="s">
        <v>7745</v>
      </c>
      <c r="N210" s="23">
        <v>11335000</v>
      </c>
      <c r="O210" s="25" t="s">
        <v>866</v>
      </c>
      <c r="P210" s="25" t="s">
        <v>53</v>
      </c>
      <c r="Q210" s="20" t="s">
        <v>1216</v>
      </c>
      <c r="R210" s="20">
        <v>23260606</v>
      </c>
      <c r="S210" s="25" t="s">
        <v>55</v>
      </c>
      <c r="T210" s="26" t="s">
        <v>56</v>
      </c>
      <c r="U210" s="23">
        <v>355772537177672</v>
      </c>
      <c r="V210" s="27" t="s">
        <v>78</v>
      </c>
      <c r="W210" s="20" t="s">
        <v>1217</v>
      </c>
      <c r="X210" s="20" t="s">
        <v>1217</v>
      </c>
      <c r="Y210" s="20" t="s">
        <v>1217</v>
      </c>
      <c r="Z210" s="20" t="s">
        <v>60</v>
      </c>
      <c r="AA210" s="20" t="s">
        <v>61</v>
      </c>
      <c r="AB210" s="20" t="s">
        <v>62</v>
      </c>
      <c r="AC210" s="28">
        <v>197.41</v>
      </c>
      <c r="AD210" s="28">
        <f>SUM(BASE[[#This Row],[MONTO DE RENTA ]]*1.16)</f>
        <v>228.99559999999997</v>
      </c>
      <c r="AE210" s="28" t="s">
        <v>83</v>
      </c>
      <c r="AF210" s="28">
        <v>559.48275862068965</v>
      </c>
      <c r="AG210" s="28">
        <v>649</v>
      </c>
      <c r="AI210" s="63">
        <v>45104</v>
      </c>
      <c r="AJ210" s="63">
        <v>45944</v>
      </c>
      <c r="AK210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210" s="30"/>
      <c r="AN210" s="20" t="s">
        <v>99</v>
      </c>
      <c r="AP210" s="20" t="s">
        <v>66</v>
      </c>
      <c r="AQ210" s="20" t="s">
        <v>100</v>
      </c>
    </row>
    <row r="211" spans="1:43" ht="16">
      <c r="A211" s="20">
        <v>6631270425</v>
      </c>
      <c r="B211" s="49">
        <v>1027259</v>
      </c>
      <c r="C211" s="20" t="s">
        <v>727</v>
      </c>
      <c r="D211" s="20" t="s">
        <v>477</v>
      </c>
      <c r="E211" s="20" t="s">
        <v>376</v>
      </c>
      <c r="F211" s="20" t="s">
        <v>723</v>
      </c>
      <c r="G211" s="20" t="s">
        <v>723</v>
      </c>
      <c r="H211" s="20" t="s">
        <v>48</v>
      </c>
      <c r="I211" s="20" t="s">
        <v>723</v>
      </c>
      <c r="J211" s="32" t="s">
        <v>1218</v>
      </c>
      <c r="K211" s="32" t="s">
        <v>1218</v>
      </c>
      <c r="L211" s="23" t="s">
        <v>729</v>
      </c>
      <c r="M211" s="24" t="s">
        <v>7748</v>
      </c>
      <c r="N211" s="23">
        <v>11337000</v>
      </c>
      <c r="O211" s="25" t="s">
        <v>126</v>
      </c>
      <c r="P211" s="25" t="s">
        <v>53</v>
      </c>
      <c r="Q211" s="20" t="s">
        <v>1219</v>
      </c>
      <c r="R211" s="20">
        <v>12163747</v>
      </c>
      <c r="S211" s="25" t="s">
        <v>55</v>
      </c>
      <c r="T211" s="26" t="s">
        <v>56</v>
      </c>
      <c r="U211" s="23">
        <v>865356065668287</v>
      </c>
      <c r="V211" s="27" t="s">
        <v>183</v>
      </c>
      <c r="W211" s="20" t="s">
        <v>129</v>
      </c>
      <c r="X211" s="20" t="s">
        <v>130</v>
      </c>
      <c r="Y211" s="20" t="s">
        <v>130</v>
      </c>
      <c r="Z211" s="20" t="s">
        <v>60</v>
      </c>
      <c r="AA211" s="20" t="s">
        <v>61</v>
      </c>
      <c r="AB211" s="20" t="s">
        <v>96</v>
      </c>
      <c r="AC211" s="28">
        <v>369.83</v>
      </c>
      <c r="AD211" s="28">
        <f>SUM(BASE[[#This Row],[MONTO DE RENTA ]]*1.16)</f>
        <v>429.00279999999998</v>
      </c>
      <c r="AE211" s="28" t="s">
        <v>63</v>
      </c>
      <c r="AF211" s="28">
        <v>369.82758620689657</v>
      </c>
      <c r="AG211" s="28">
        <v>429</v>
      </c>
      <c r="AI211" s="63">
        <v>44937</v>
      </c>
      <c r="AJ211" s="73">
        <v>46043</v>
      </c>
      <c r="AK2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11" s="30"/>
      <c r="AN211" s="20" t="s">
        <v>99</v>
      </c>
      <c r="AP211" s="20" t="s">
        <v>84</v>
      </c>
      <c r="AQ211" s="20" t="s">
        <v>100</v>
      </c>
    </row>
    <row r="212" spans="1:43" ht="16">
      <c r="A212" s="20">
        <v>4778542525</v>
      </c>
      <c r="B212" s="48">
        <v>1065451</v>
      </c>
      <c r="C212" s="20" t="s">
        <v>1220</v>
      </c>
      <c r="D212" s="20" t="s">
        <v>1221</v>
      </c>
      <c r="E212" s="20" t="s">
        <v>187</v>
      </c>
      <c r="F212" s="20" t="s">
        <v>846</v>
      </c>
      <c r="G212" s="20" t="s">
        <v>846</v>
      </c>
      <c r="H212" s="20" t="s">
        <v>48</v>
      </c>
      <c r="I212" s="20" t="s">
        <v>846</v>
      </c>
      <c r="J212" s="54" t="s">
        <v>1222</v>
      </c>
      <c r="K212" s="54" t="s">
        <v>1222</v>
      </c>
      <c r="L212" s="23" t="s">
        <v>729</v>
      </c>
      <c r="M212" s="24" t="s">
        <v>7748</v>
      </c>
      <c r="N212" s="23">
        <v>11337000</v>
      </c>
      <c r="O212" s="25" t="s">
        <v>93</v>
      </c>
      <c r="P212" s="25" t="s">
        <v>53</v>
      </c>
      <c r="Q212" s="20" t="s">
        <v>1223</v>
      </c>
      <c r="R212" s="20">
        <v>62964827</v>
      </c>
      <c r="S212" s="25" t="s">
        <v>55</v>
      </c>
      <c r="T212" s="44" t="s">
        <v>56</v>
      </c>
      <c r="U212" s="23">
        <v>860900062337902</v>
      </c>
      <c r="V212" s="27" t="s">
        <v>57</v>
      </c>
      <c r="W212" s="20" t="s">
        <v>58</v>
      </c>
      <c r="X212" s="20" t="s">
        <v>59</v>
      </c>
      <c r="Y212" s="20" t="s">
        <v>59</v>
      </c>
      <c r="Z212" s="20" t="s">
        <v>60</v>
      </c>
      <c r="AA212" s="20" t="s">
        <v>61</v>
      </c>
      <c r="AB212" s="20" t="s">
        <v>96</v>
      </c>
      <c r="AC212" s="28">
        <v>369.83</v>
      </c>
      <c r="AD212" s="28">
        <f>SUM(BASE[[#This Row],[MONTO DE RENTA ]]*1.16)</f>
        <v>429.00279999999998</v>
      </c>
      <c r="AE212" s="28" t="s">
        <v>63</v>
      </c>
      <c r="AF212" s="28">
        <v>369.82758620689657</v>
      </c>
      <c r="AG212" s="28">
        <v>429</v>
      </c>
      <c r="AH212" s="22" t="s">
        <v>116</v>
      </c>
      <c r="AI212" s="63">
        <v>45848</v>
      </c>
      <c r="AJ212" s="63">
        <v>46578</v>
      </c>
      <c r="AK212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212" s="20">
        <v>11337000</v>
      </c>
      <c r="AM212" s="30" t="s">
        <v>1224</v>
      </c>
      <c r="AN212" s="20" t="s">
        <v>65</v>
      </c>
      <c r="AO212" s="20" t="s">
        <v>141</v>
      </c>
      <c r="AP212" s="20" t="s">
        <v>84</v>
      </c>
      <c r="AQ212" s="20" t="s">
        <v>100</v>
      </c>
    </row>
    <row r="213" spans="1:43" ht="16">
      <c r="A213" s="20">
        <v>6642349048</v>
      </c>
      <c r="B213" s="49">
        <v>1026740</v>
      </c>
      <c r="C213" s="20" t="s">
        <v>1023</v>
      </c>
      <c r="D213" s="20" t="s">
        <v>657</v>
      </c>
      <c r="E213" s="20" t="s">
        <v>172</v>
      </c>
      <c r="F213" s="20" t="s">
        <v>808</v>
      </c>
      <c r="G213" s="20" t="s">
        <v>808</v>
      </c>
      <c r="H213" s="20" t="s">
        <v>48</v>
      </c>
      <c r="I213" s="20" t="s">
        <v>808</v>
      </c>
      <c r="J213" s="32" t="s">
        <v>1225</v>
      </c>
      <c r="K213" s="32" t="s">
        <v>1225</v>
      </c>
      <c r="L213" s="23" t="s">
        <v>729</v>
      </c>
      <c r="M213" s="24" t="s">
        <v>7748</v>
      </c>
      <c r="N213" s="23">
        <v>11337000</v>
      </c>
      <c r="O213" s="25" t="s">
        <v>126</v>
      </c>
      <c r="P213" s="25" t="s">
        <v>53</v>
      </c>
      <c r="Q213" s="20" t="s">
        <v>1226</v>
      </c>
      <c r="R213" s="20">
        <v>12303964</v>
      </c>
      <c r="S213" s="25" t="s">
        <v>55</v>
      </c>
      <c r="T213" s="26" t="s">
        <v>56</v>
      </c>
      <c r="U213" s="23">
        <v>865356065671711</v>
      </c>
      <c r="V213" s="27" t="s">
        <v>183</v>
      </c>
      <c r="W213" s="20" t="s">
        <v>129</v>
      </c>
      <c r="X213" s="20" t="s">
        <v>130</v>
      </c>
      <c r="Y213" s="20" t="s">
        <v>130</v>
      </c>
      <c r="Z213" s="20" t="s">
        <v>60</v>
      </c>
      <c r="AA213" s="20" t="s">
        <v>61</v>
      </c>
      <c r="AB213" s="20" t="s">
        <v>96</v>
      </c>
      <c r="AC213" s="28">
        <v>369.83</v>
      </c>
      <c r="AD213" s="28">
        <f>SUM(BASE[[#This Row],[MONTO DE RENTA ]]*1.16)</f>
        <v>429.00279999999998</v>
      </c>
      <c r="AE213" s="28" t="s">
        <v>63</v>
      </c>
      <c r="AF213" s="28">
        <v>369.82758620689657</v>
      </c>
      <c r="AG213" s="28">
        <v>429</v>
      </c>
      <c r="AI213" s="63">
        <v>44937</v>
      </c>
      <c r="AJ213" s="73">
        <v>46043</v>
      </c>
      <c r="AK2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13" s="30"/>
      <c r="AN213" s="20" t="s">
        <v>99</v>
      </c>
      <c r="AP213" s="20" t="s">
        <v>84</v>
      </c>
      <c r="AQ213" s="20" t="s">
        <v>100</v>
      </c>
    </row>
    <row r="214" spans="1:43" ht="16">
      <c r="A214" s="20">
        <v>6241289289</v>
      </c>
      <c r="B214" s="49">
        <v>1045867</v>
      </c>
      <c r="C214" s="20" t="s">
        <v>1227</v>
      </c>
      <c r="D214" s="20" t="s">
        <v>357</v>
      </c>
      <c r="E214" s="20" t="s">
        <v>627</v>
      </c>
      <c r="F214" s="20" t="s">
        <v>819</v>
      </c>
      <c r="G214" s="20" t="s">
        <v>819</v>
      </c>
      <c r="H214" s="20" t="s">
        <v>48</v>
      </c>
      <c r="I214" s="20" t="s">
        <v>819</v>
      </c>
      <c r="J214" s="47" t="s">
        <v>1228</v>
      </c>
      <c r="K214" s="47" t="s">
        <v>1228</v>
      </c>
      <c r="L214" s="23" t="s">
        <v>729</v>
      </c>
      <c r="M214" s="24" t="s">
        <v>7748</v>
      </c>
      <c r="N214" s="23">
        <v>11337000</v>
      </c>
      <c r="O214" s="25" t="s">
        <v>126</v>
      </c>
      <c r="P214" s="25" t="s">
        <v>53</v>
      </c>
      <c r="Q214" s="20" t="s">
        <v>1229</v>
      </c>
      <c r="R214" s="20">
        <v>12553058</v>
      </c>
      <c r="S214" s="25" t="s">
        <v>55</v>
      </c>
      <c r="T214" s="44" t="s">
        <v>56</v>
      </c>
      <c r="U214" s="23">
        <v>860900062735709</v>
      </c>
      <c r="V214" s="27" t="s">
        <v>183</v>
      </c>
      <c r="W214" s="20" t="s">
        <v>58</v>
      </c>
      <c r="X214" s="20" t="s">
        <v>59</v>
      </c>
      <c r="Y214" s="20" t="s">
        <v>59</v>
      </c>
      <c r="Z214" s="20" t="s">
        <v>113</v>
      </c>
      <c r="AA214" s="20" t="s">
        <v>114</v>
      </c>
      <c r="AB214" s="20" t="s">
        <v>244</v>
      </c>
      <c r="AC214" s="28">
        <v>473.28</v>
      </c>
      <c r="AD214" s="28">
        <f>SUM(BASE[[#This Row],[MONTO DE RENTA ]]*1.16)</f>
        <v>549.00479999999993</v>
      </c>
      <c r="AE214" s="28" t="s">
        <v>63</v>
      </c>
      <c r="AF214" s="28">
        <v>369.82758620689657</v>
      </c>
      <c r="AG214" s="28">
        <v>429</v>
      </c>
      <c r="AH214" s="22" t="s">
        <v>116</v>
      </c>
      <c r="AI214" s="63">
        <v>45888</v>
      </c>
      <c r="AJ214" s="63">
        <v>46618</v>
      </c>
      <c r="AK214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214" s="20">
        <v>44568</v>
      </c>
      <c r="AM214" s="30"/>
      <c r="AN214" s="20" t="s">
        <v>65</v>
      </c>
      <c r="AP214" s="20" t="s">
        <v>118</v>
      </c>
    </row>
    <row r="215" spans="1:43" ht="15" customHeight="1">
      <c r="A215" s="20">
        <v>8135520248</v>
      </c>
      <c r="B215" s="160">
        <v>520281</v>
      </c>
      <c r="C215" s="20" t="s">
        <v>769</v>
      </c>
      <c r="D215" s="20" t="s">
        <v>172</v>
      </c>
      <c r="E215" s="20" t="s">
        <v>756</v>
      </c>
      <c r="F215" s="20" t="s">
        <v>1230</v>
      </c>
      <c r="G215" s="20" t="s">
        <v>248</v>
      </c>
      <c r="H215" s="20" t="s">
        <v>48</v>
      </c>
      <c r="I215" s="20" t="s">
        <v>1230</v>
      </c>
      <c r="J215" s="32" t="s">
        <v>1231</v>
      </c>
      <c r="K215" s="32" t="s">
        <v>1231</v>
      </c>
      <c r="L215" s="23" t="s">
        <v>73</v>
      </c>
      <c r="M215" s="24" t="s">
        <v>7737</v>
      </c>
      <c r="N215" s="23">
        <v>11342000</v>
      </c>
      <c r="O215" s="25" t="s">
        <v>74</v>
      </c>
      <c r="P215" s="25" t="s">
        <v>53</v>
      </c>
      <c r="Q215" s="20" t="s">
        <v>1232</v>
      </c>
      <c r="R215" s="20">
        <v>45260711</v>
      </c>
      <c r="S215" s="25" t="s">
        <v>55</v>
      </c>
      <c r="T215" s="26" t="s">
        <v>56</v>
      </c>
      <c r="U215" s="23">
        <v>866223056229041</v>
      </c>
      <c r="V215" s="27" t="s">
        <v>183</v>
      </c>
      <c r="W215" s="20" t="s">
        <v>649</v>
      </c>
      <c r="X215" s="20" t="s">
        <v>650</v>
      </c>
      <c r="Y215" s="20" t="s">
        <v>650</v>
      </c>
      <c r="Z215" s="20" t="s">
        <v>60</v>
      </c>
      <c r="AA215" s="20" t="s">
        <v>61</v>
      </c>
      <c r="AB215" s="20" t="s">
        <v>62</v>
      </c>
      <c r="AC215" s="28">
        <v>197.41</v>
      </c>
      <c r="AD215" s="28">
        <f>SUM(BASE[[#This Row],[MONTO DE RENTA ]]*1.16)</f>
        <v>228.99559999999997</v>
      </c>
      <c r="AE215" s="28" t="s">
        <v>63</v>
      </c>
      <c r="AF215" s="28">
        <v>369.82758620689657</v>
      </c>
      <c r="AG215" s="28">
        <v>429</v>
      </c>
      <c r="AI215" s="63">
        <v>44937</v>
      </c>
      <c r="AJ215" s="84">
        <v>46054</v>
      </c>
      <c r="AK21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15" s="30"/>
      <c r="AN215" s="20" t="s">
        <v>99</v>
      </c>
      <c r="AP215" s="20" t="s">
        <v>66</v>
      </c>
      <c r="AQ215" s="20" t="s">
        <v>100</v>
      </c>
    </row>
    <row r="216" spans="1:43" ht="16">
      <c r="A216" s="20">
        <v>8135520251</v>
      </c>
      <c r="B216" s="161">
        <v>1049745</v>
      </c>
      <c r="C216" s="20" t="s">
        <v>1233</v>
      </c>
      <c r="D216" s="20" t="s">
        <v>1082</v>
      </c>
      <c r="E216" s="20" t="s">
        <v>172</v>
      </c>
      <c r="F216" s="20" t="s">
        <v>46</v>
      </c>
      <c r="G216" s="20" t="s">
        <v>248</v>
      </c>
      <c r="H216" s="20" t="s">
        <v>48</v>
      </c>
      <c r="I216" s="20" t="s">
        <v>46</v>
      </c>
      <c r="J216" s="162" t="s">
        <v>1231</v>
      </c>
      <c r="K216" s="54" t="s">
        <v>1231</v>
      </c>
      <c r="L216" s="23" t="s">
        <v>73</v>
      </c>
      <c r="M216" s="24" t="s">
        <v>7737</v>
      </c>
      <c r="N216" s="23">
        <v>11342000</v>
      </c>
      <c r="O216" s="25" t="s">
        <v>74</v>
      </c>
      <c r="P216" s="25" t="s">
        <v>53</v>
      </c>
      <c r="Q216" s="20" t="s">
        <v>1234</v>
      </c>
      <c r="R216" s="20">
        <v>45260713</v>
      </c>
      <c r="S216" s="25" t="s">
        <v>55</v>
      </c>
      <c r="T216" s="44" t="s">
        <v>56</v>
      </c>
      <c r="U216" s="23">
        <v>866223056229041</v>
      </c>
      <c r="V216" s="27" t="s">
        <v>183</v>
      </c>
      <c r="W216" s="20" t="s">
        <v>649</v>
      </c>
      <c r="X216" s="20" t="s">
        <v>650</v>
      </c>
      <c r="Y216" s="20" t="s">
        <v>650</v>
      </c>
      <c r="Z216" s="20" t="s">
        <v>60</v>
      </c>
      <c r="AA216" s="20" t="s">
        <v>61</v>
      </c>
      <c r="AB216" s="20" t="s">
        <v>96</v>
      </c>
      <c r="AC216" s="28">
        <v>369.83</v>
      </c>
      <c r="AD216" s="28">
        <f>SUM(BASE[[#This Row],[MONTO DE RENTA ]]*1.16)</f>
        <v>429.00279999999998</v>
      </c>
      <c r="AE216" s="28" t="s">
        <v>63</v>
      </c>
      <c r="AF216" s="28">
        <v>369.82758620689657</v>
      </c>
      <c r="AG216" s="28">
        <v>429</v>
      </c>
      <c r="AI216" s="29">
        <v>45213</v>
      </c>
      <c r="AJ216" s="29">
        <v>45944</v>
      </c>
      <c r="AK216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216" s="30"/>
      <c r="AN216" s="20" t="s">
        <v>99</v>
      </c>
      <c r="AP216" s="20" t="s">
        <v>84</v>
      </c>
      <c r="AQ216" s="20" t="s">
        <v>100</v>
      </c>
    </row>
    <row r="217" spans="1:43" ht="16">
      <c r="A217">
        <v>8135515865</v>
      </c>
      <c r="B217" s="86">
        <v>1006663</v>
      </c>
      <c r="C217" s="20" t="s">
        <v>1235</v>
      </c>
      <c r="D217" s="20" t="s">
        <v>1236</v>
      </c>
      <c r="E217" s="20" t="s">
        <v>172</v>
      </c>
      <c r="F217" s="20" t="s">
        <v>257</v>
      </c>
      <c r="G217" s="20" t="s">
        <v>257</v>
      </c>
      <c r="H217" s="20" t="s">
        <v>48</v>
      </c>
      <c r="I217" s="20" t="s">
        <v>257</v>
      </c>
      <c r="J217" s="22" t="s">
        <v>1237</v>
      </c>
      <c r="K217" s="22" t="s">
        <v>1237</v>
      </c>
      <c r="L217" s="23" t="s">
        <v>73</v>
      </c>
      <c r="M217" s="24" t="s">
        <v>7737</v>
      </c>
      <c r="N217" s="23">
        <v>11342000</v>
      </c>
      <c r="O217" s="25" t="s">
        <v>74</v>
      </c>
      <c r="P217" s="25" t="s">
        <v>53</v>
      </c>
      <c r="Q217" s="20" t="s">
        <v>1238</v>
      </c>
      <c r="R217" s="20">
        <v>45142601</v>
      </c>
      <c r="S217" s="25" t="s">
        <v>1239</v>
      </c>
      <c r="T217" s="26" t="s">
        <v>57</v>
      </c>
      <c r="U217" s="23">
        <v>860478063758764</v>
      </c>
      <c r="V217" s="45" t="s">
        <v>110</v>
      </c>
      <c r="W217" s="20" t="s">
        <v>302</v>
      </c>
      <c r="X217" s="20" t="s">
        <v>303</v>
      </c>
      <c r="Y217" s="20" t="s">
        <v>303</v>
      </c>
      <c r="Z217" s="20" t="s">
        <v>80</v>
      </c>
      <c r="AA217" s="20" t="s">
        <v>81</v>
      </c>
      <c r="AB217" s="20" t="s">
        <v>82</v>
      </c>
      <c r="AC217" s="28">
        <v>559.48</v>
      </c>
      <c r="AD217" s="28">
        <f>SUM(BASE[[#This Row],[MONTO DE RENTA ]]*1.16)</f>
        <v>648.99680000000001</v>
      </c>
      <c r="AE217" s="28" t="s">
        <v>83</v>
      </c>
      <c r="AF217" s="28">
        <v>559.48275862068965</v>
      </c>
      <c r="AG217" s="28">
        <v>649</v>
      </c>
      <c r="AH217" s="22" t="s">
        <v>64</v>
      </c>
      <c r="AI217" s="63">
        <v>45703</v>
      </c>
      <c r="AJ217" s="63">
        <v>46433</v>
      </c>
      <c r="AK2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17" s="30"/>
      <c r="AN217" s="20" t="s">
        <v>65</v>
      </c>
      <c r="AP217" s="20" t="s">
        <v>84</v>
      </c>
    </row>
    <row r="218" spans="1:43" ht="16">
      <c r="A218" s="20">
        <v>8123507495</v>
      </c>
      <c r="B218" s="48">
        <v>1057323</v>
      </c>
      <c r="C218" s="20" t="s">
        <v>1240</v>
      </c>
      <c r="D218" s="20" t="s">
        <v>477</v>
      </c>
      <c r="E218" s="20" t="s">
        <v>1012</v>
      </c>
      <c r="F218" s="20" t="s">
        <v>384</v>
      </c>
      <c r="G218" s="20" t="s">
        <v>104</v>
      </c>
      <c r="H218" s="20" t="s">
        <v>48</v>
      </c>
      <c r="I218" s="20" t="s">
        <v>384</v>
      </c>
      <c r="J218" s="22" t="s">
        <v>1241</v>
      </c>
      <c r="K218" s="22" t="s">
        <v>1241</v>
      </c>
      <c r="L218" s="23" t="s">
        <v>73</v>
      </c>
      <c r="M218" s="24" t="s">
        <v>7737</v>
      </c>
      <c r="N218" s="23">
        <v>11342000</v>
      </c>
      <c r="O218" s="25" t="s">
        <v>74</v>
      </c>
      <c r="P218" s="25" t="s">
        <v>53</v>
      </c>
      <c r="Q218" s="20" t="s">
        <v>1242</v>
      </c>
      <c r="R218" s="20">
        <v>45142611</v>
      </c>
      <c r="S218" s="25" t="s">
        <v>1243</v>
      </c>
      <c r="T218" s="26" t="s">
        <v>57</v>
      </c>
      <c r="U218" s="23">
        <v>860478063793944</v>
      </c>
      <c r="V218" s="45" t="s">
        <v>110</v>
      </c>
      <c r="W218" s="20" t="s">
        <v>302</v>
      </c>
      <c r="X218" s="20" t="s">
        <v>303</v>
      </c>
      <c r="Y218" s="20" t="s">
        <v>303</v>
      </c>
      <c r="Z218" s="20" t="s">
        <v>80</v>
      </c>
      <c r="AA218" s="20" t="s">
        <v>81</v>
      </c>
      <c r="AB218" s="20" t="s">
        <v>82</v>
      </c>
      <c r="AC218" s="28">
        <v>559.48</v>
      </c>
      <c r="AD218" s="28">
        <f>SUM(BASE[[#This Row],[MONTO DE RENTA ]]*1.16)</f>
        <v>648.99680000000001</v>
      </c>
      <c r="AE218" s="28" t="s">
        <v>83</v>
      </c>
      <c r="AF218" s="28">
        <v>559.48275862068965</v>
      </c>
      <c r="AG218" s="28">
        <v>649</v>
      </c>
      <c r="AH218" s="22" t="s">
        <v>64</v>
      </c>
      <c r="AI218" s="63">
        <v>45703</v>
      </c>
      <c r="AJ218" s="63">
        <v>46433</v>
      </c>
      <c r="AK2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18" s="30"/>
      <c r="AN218" s="20" t="s">
        <v>65</v>
      </c>
      <c r="AP218" s="20" t="s">
        <v>84</v>
      </c>
    </row>
    <row r="219" spans="1:43" ht="16">
      <c r="A219" s="20">
        <v>8135526620</v>
      </c>
      <c r="B219" s="21">
        <v>1057603</v>
      </c>
      <c r="C219" s="20" t="s">
        <v>1244</v>
      </c>
      <c r="D219" s="20" t="s">
        <v>1245</v>
      </c>
      <c r="E219" s="20" t="s">
        <v>1205</v>
      </c>
      <c r="F219" s="20" t="s">
        <v>384</v>
      </c>
      <c r="G219" s="20" t="s">
        <v>104</v>
      </c>
      <c r="H219" s="20" t="s">
        <v>48</v>
      </c>
      <c r="I219" s="20" t="s">
        <v>384</v>
      </c>
      <c r="J219" s="22" t="s">
        <v>1246</v>
      </c>
      <c r="K219" s="22" t="s">
        <v>1246</v>
      </c>
      <c r="L219" s="23" t="s">
        <v>73</v>
      </c>
      <c r="M219" s="24" t="s">
        <v>7737</v>
      </c>
      <c r="N219" s="23">
        <v>11342000</v>
      </c>
      <c r="O219" s="25" t="s">
        <v>74</v>
      </c>
      <c r="P219" s="25" t="s">
        <v>53</v>
      </c>
      <c r="Q219" s="20" t="s">
        <v>1247</v>
      </c>
      <c r="R219" s="20">
        <v>45017365</v>
      </c>
      <c r="S219" s="25" t="s">
        <v>1248</v>
      </c>
      <c r="T219" s="26" t="s">
        <v>57</v>
      </c>
      <c r="U219" s="23">
        <v>860478062096778</v>
      </c>
      <c r="V219" s="45" t="s">
        <v>110</v>
      </c>
      <c r="W219" s="20" t="s">
        <v>302</v>
      </c>
      <c r="X219" s="20" t="s">
        <v>303</v>
      </c>
      <c r="Y219" s="20" t="s">
        <v>303</v>
      </c>
      <c r="Z219" s="20" t="s">
        <v>80</v>
      </c>
      <c r="AA219" s="20" t="s">
        <v>81</v>
      </c>
      <c r="AB219" s="20" t="s">
        <v>82</v>
      </c>
      <c r="AC219" s="28">
        <v>559.48</v>
      </c>
      <c r="AD219" s="28">
        <f>SUM(BASE[[#This Row],[MONTO DE RENTA ]]*1.16)</f>
        <v>648.99680000000001</v>
      </c>
      <c r="AE219" s="28" t="s">
        <v>83</v>
      </c>
      <c r="AF219" s="28">
        <v>559.48275862068965</v>
      </c>
      <c r="AG219" s="28">
        <v>649</v>
      </c>
      <c r="AH219" s="22" t="s">
        <v>64</v>
      </c>
      <c r="AI219" s="63">
        <v>45703</v>
      </c>
      <c r="AJ219" s="63">
        <v>46433</v>
      </c>
      <c r="AK2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19" s="30"/>
      <c r="AN219" s="20" t="s">
        <v>65</v>
      </c>
      <c r="AP219" s="20" t="s">
        <v>84</v>
      </c>
    </row>
    <row r="220" spans="1:43" ht="16">
      <c r="A220" s="51">
        <v>6646484032</v>
      </c>
      <c r="B220" s="163">
        <v>60154</v>
      </c>
      <c r="C220" s="20" t="s">
        <v>1249</v>
      </c>
      <c r="D220" s="20" t="s">
        <v>437</v>
      </c>
      <c r="E220" s="20" t="s">
        <v>1250</v>
      </c>
      <c r="F220" s="20" t="s">
        <v>451</v>
      </c>
      <c r="G220" s="20" t="s">
        <v>47</v>
      </c>
      <c r="H220" s="20" t="s">
        <v>48</v>
      </c>
      <c r="I220" s="20" t="s">
        <v>451</v>
      </c>
      <c r="J220" s="141" t="s">
        <v>1251</v>
      </c>
      <c r="K220" s="54" t="s">
        <v>1251</v>
      </c>
      <c r="L220" s="23" t="s">
        <v>1252</v>
      </c>
      <c r="M220" s="24" t="s">
        <v>7745</v>
      </c>
      <c r="N220" s="23">
        <v>14038000</v>
      </c>
      <c r="O220" s="25" t="s">
        <v>126</v>
      </c>
      <c r="P220" s="25" t="s">
        <v>53</v>
      </c>
      <c r="Q220" s="20" t="s">
        <v>1253</v>
      </c>
      <c r="R220" s="20">
        <v>12478316</v>
      </c>
      <c r="S220" s="25" t="s">
        <v>1254</v>
      </c>
      <c r="T220" s="164" t="s">
        <v>57</v>
      </c>
      <c r="U220" s="23">
        <v>865356065729816</v>
      </c>
      <c r="V220" s="27" t="s">
        <v>183</v>
      </c>
      <c r="W220" s="20" t="s">
        <v>129</v>
      </c>
      <c r="X220" s="20" t="s">
        <v>130</v>
      </c>
      <c r="Y220" s="20" t="s">
        <v>130</v>
      </c>
      <c r="Z220" s="20" t="s">
        <v>60</v>
      </c>
      <c r="AA220" s="20" t="s">
        <v>61</v>
      </c>
      <c r="AB220" s="20" t="s">
        <v>96</v>
      </c>
      <c r="AC220" s="28">
        <v>369.83</v>
      </c>
      <c r="AD220" s="28">
        <f>SUM(BASE[[#This Row],[MONTO DE RENTA ]]*1.16)</f>
        <v>429.00279999999998</v>
      </c>
      <c r="AE220" s="28" t="s">
        <v>63</v>
      </c>
      <c r="AF220" s="28">
        <v>369.82758620689657</v>
      </c>
      <c r="AG220" s="28">
        <v>429</v>
      </c>
      <c r="AH220" s="56" t="s">
        <v>116</v>
      </c>
      <c r="AI220" s="165">
        <v>45511</v>
      </c>
      <c r="AJ220" s="63">
        <v>46040</v>
      </c>
      <c r="AK2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220" s="51">
        <v>18848061</v>
      </c>
      <c r="AM220" s="58"/>
      <c r="AN220" s="20" t="s">
        <v>99</v>
      </c>
      <c r="AP220" s="20" t="s">
        <v>84</v>
      </c>
      <c r="AQ220" s="20" t="s">
        <v>100</v>
      </c>
    </row>
    <row r="221" spans="1:43" ht="16">
      <c r="A221" s="20">
        <v>6646286355</v>
      </c>
      <c r="B221" s="48">
        <v>825270</v>
      </c>
      <c r="C221" s="20" t="s">
        <v>1255</v>
      </c>
      <c r="D221" s="20" t="s">
        <v>247</v>
      </c>
      <c r="E221" s="20" t="s">
        <v>1256</v>
      </c>
      <c r="F221" s="20" t="s">
        <v>587</v>
      </c>
      <c r="G221" s="20" t="s">
        <v>248</v>
      </c>
      <c r="H221" s="20" t="s">
        <v>48</v>
      </c>
      <c r="I221" s="20" t="s">
        <v>587</v>
      </c>
      <c r="J221" s="54" t="s">
        <v>1257</v>
      </c>
      <c r="K221" s="54" t="s">
        <v>1257</v>
      </c>
      <c r="L221" s="23" t="s">
        <v>1252</v>
      </c>
      <c r="M221" s="24" t="s">
        <v>7745</v>
      </c>
      <c r="N221" s="23">
        <v>14038000</v>
      </c>
      <c r="O221" s="25" t="s">
        <v>126</v>
      </c>
      <c r="P221" s="25" t="s">
        <v>53</v>
      </c>
      <c r="Q221" s="20" t="s">
        <v>1258</v>
      </c>
      <c r="R221" s="20">
        <v>12515841</v>
      </c>
      <c r="S221" s="25" t="s">
        <v>1259</v>
      </c>
      <c r="T221" s="39" t="s">
        <v>77</v>
      </c>
      <c r="U221" s="23">
        <v>865356065672354</v>
      </c>
      <c r="V221" s="27" t="s">
        <v>183</v>
      </c>
      <c r="W221" s="20" t="s">
        <v>129</v>
      </c>
      <c r="X221" s="20" t="s">
        <v>130</v>
      </c>
      <c r="Y221" s="20" t="s">
        <v>130</v>
      </c>
      <c r="Z221" s="20" t="s">
        <v>131</v>
      </c>
      <c r="AA221" s="20" t="s">
        <v>132</v>
      </c>
      <c r="AB221" s="20" t="s">
        <v>82</v>
      </c>
      <c r="AC221" s="28">
        <v>559.48</v>
      </c>
      <c r="AD221" s="28">
        <f>SUM(BASE[[#This Row],[MONTO DE RENTA ]]*1.16)</f>
        <v>648.99680000000001</v>
      </c>
      <c r="AE221" s="28" t="s">
        <v>63</v>
      </c>
      <c r="AF221" s="28">
        <v>369.82758620689657</v>
      </c>
      <c r="AG221" s="28">
        <v>429</v>
      </c>
      <c r="AH221" s="22" t="s">
        <v>116</v>
      </c>
      <c r="AI221" s="63">
        <v>45455</v>
      </c>
      <c r="AJ221" s="63">
        <v>46040</v>
      </c>
      <c r="AK22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221" s="63">
        <v>46185</v>
      </c>
      <c r="AM221" s="30"/>
      <c r="AN221" s="20" t="s">
        <v>99</v>
      </c>
      <c r="AP221" s="20" t="s">
        <v>118</v>
      </c>
      <c r="AQ221" s="20" t="s">
        <v>100</v>
      </c>
    </row>
    <row r="222" spans="1:43" ht="16">
      <c r="A222">
        <v>6646281697</v>
      </c>
      <c r="B222" s="49">
        <v>1011576</v>
      </c>
      <c r="C222" s="20" t="s">
        <v>1260</v>
      </c>
      <c r="D222" s="20" t="s">
        <v>358</v>
      </c>
      <c r="E222" s="20" t="s">
        <v>376</v>
      </c>
      <c r="F222" s="20" t="s">
        <v>257</v>
      </c>
      <c r="G222" s="20" t="s">
        <v>257</v>
      </c>
      <c r="H222" s="20" t="s">
        <v>48</v>
      </c>
      <c r="I222" s="20" t="s">
        <v>257</v>
      </c>
      <c r="J222" s="54" t="s">
        <v>1261</v>
      </c>
      <c r="K222" s="54" t="s">
        <v>1261</v>
      </c>
      <c r="L222" s="23" t="s">
        <v>1252</v>
      </c>
      <c r="M222" s="24" t="s">
        <v>7745</v>
      </c>
      <c r="N222" s="23">
        <v>14038000</v>
      </c>
      <c r="O222" s="25" t="s">
        <v>126</v>
      </c>
      <c r="P222" s="25" t="s">
        <v>53</v>
      </c>
      <c r="Q222" s="20" t="s">
        <v>1262</v>
      </c>
      <c r="R222" s="20">
        <v>12510060</v>
      </c>
      <c r="S222" s="25" t="s">
        <v>1263</v>
      </c>
      <c r="T222" s="39" t="s">
        <v>57</v>
      </c>
      <c r="U222" s="23">
        <v>860478060660724</v>
      </c>
      <c r="V222" s="45" t="s">
        <v>110</v>
      </c>
      <c r="W222" s="20" t="s">
        <v>302</v>
      </c>
      <c r="X222" s="20" t="s">
        <v>303</v>
      </c>
      <c r="Y222" s="20" t="s">
        <v>303</v>
      </c>
      <c r="Z222" s="20" t="s">
        <v>60</v>
      </c>
      <c r="AA222" s="20" t="s">
        <v>61</v>
      </c>
      <c r="AB222" s="20" t="s">
        <v>62</v>
      </c>
      <c r="AC222" s="28">
        <v>197.41</v>
      </c>
      <c r="AD222" s="28">
        <f>SUM(BASE[[#This Row],[MONTO DE RENTA ]]*1.16)</f>
        <v>228.99559999999997</v>
      </c>
      <c r="AE222" s="28" t="s">
        <v>97</v>
      </c>
      <c r="AF222" s="28">
        <v>473.27586206896552</v>
      </c>
      <c r="AG222" s="28">
        <v>549</v>
      </c>
      <c r="AH222" s="22" t="s">
        <v>64</v>
      </c>
      <c r="AI222" s="63">
        <v>45713</v>
      </c>
      <c r="AJ222" s="63">
        <v>46433</v>
      </c>
      <c r="AK2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222" s="63">
        <v>46150</v>
      </c>
      <c r="AM222" s="30"/>
      <c r="AN222" s="20" t="s">
        <v>99</v>
      </c>
      <c r="AP222" s="20" t="s">
        <v>66</v>
      </c>
      <c r="AQ222" s="20" t="s">
        <v>100</v>
      </c>
    </row>
    <row r="223" spans="1:43" ht="16">
      <c r="A223" s="20">
        <v>6646281696</v>
      </c>
      <c r="B223" s="140">
        <v>997839</v>
      </c>
      <c r="C223" s="20" t="s">
        <v>1264</v>
      </c>
      <c r="D223" s="20" t="s">
        <v>1265</v>
      </c>
      <c r="E223" s="20" t="s">
        <v>1266</v>
      </c>
      <c r="F223" s="20" t="s">
        <v>104</v>
      </c>
      <c r="G223" s="20" t="s">
        <v>104</v>
      </c>
      <c r="H223" s="20" t="s">
        <v>48</v>
      </c>
      <c r="I223" s="20" t="s">
        <v>104</v>
      </c>
      <c r="J223" s="54" t="s">
        <v>1267</v>
      </c>
      <c r="K223" s="54" t="s">
        <v>1267</v>
      </c>
      <c r="L223" s="23" t="s">
        <v>1252</v>
      </c>
      <c r="M223" s="24" t="s">
        <v>7745</v>
      </c>
      <c r="N223" s="23">
        <v>14038000</v>
      </c>
      <c r="O223" s="25" t="s">
        <v>126</v>
      </c>
      <c r="P223" s="25" t="s">
        <v>53</v>
      </c>
      <c r="Q223" s="20" t="s">
        <v>1268</v>
      </c>
      <c r="R223" s="20">
        <v>12510059</v>
      </c>
      <c r="S223" s="25" t="s">
        <v>1269</v>
      </c>
      <c r="T223" s="39" t="s">
        <v>57</v>
      </c>
      <c r="U223" s="23">
        <v>860478060660948</v>
      </c>
      <c r="V223" s="45" t="s">
        <v>110</v>
      </c>
      <c r="W223" s="20" t="s">
        <v>302</v>
      </c>
      <c r="X223" s="20" t="s">
        <v>303</v>
      </c>
      <c r="Y223" s="20" t="s">
        <v>303</v>
      </c>
      <c r="Z223" s="20" t="s">
        <v>131</v>
      </c>
      <c r="AA223" s="20" t="s">
        <v>132</v>
      </c>
      <c r="AB223" s="20" t="s">
        <v>96</v>
      </c>
      <c r="AC223" s="28">
        <v>369.83</v>
      </c>
      <c r="AD223" s="28">
        <f>SUM(BASE[[#This Row],[MONTO DE RENTA ]]*1.16)</f>
        <v>429.00279999999998</v>
      </c>
      <c r="AE223" s="28" t="s">
        <v>97</v>
      </c>
      <c r="AF223" s="28">
        <v>473.27586206896552</v>
      </c>
      <c r="AG223" s="28">
        <v>549</v>
      </c>
      <c r="AH223" s="22" t="s">
        <v>64</v>
      </c>
      <c r="AI223" s="63">
        <v>45420</v>
      </c>
      <c r="AJ223" s="63">
        <v>46433</v>
      </c>
      <c r="AK2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23" s="30"/>
      <c r="AN223" s="20" t="s">
        <v>99</v>
      </c>
      <c r="AP223" s="20" t="s">
        <v>66</v>
      </c>
      <c r="AQ223" s="20" t="s">
        <v>100</v>
      </c>
    </row>
    <row r="224" spans="1:43" ht="16">
      <c r="A224" s="20">
        <v>6646281698</v>
      </c>
      <c r="B224" s="48">
        <v>1066237</v>
      </c>
      <c r="C224" s="20" t="s">
        <v>1270</v>
      </c>
      <c r="D224" s="20" t="s">
        <v>1271</v>
      </c>
      <c r="E224" s="20" t="s">
        <v>1272</v>
      </c>
      <c r="F224" s="20" t="s">
        <v>384</v>
      </c>
      <c r="G224" s="20" t="s">
        <v>104</v>
      </c>
      <c r="H224" s="20" t="s">
        <v>48</v>
      </c>
      <c r="I224" s="20" t="s">
        <v>384</v>
      </c>
      <c r="J224" s="54" t="s">
        <v>1273</v>
      </c>
      <c r="K224" s="54" t="s">
        <v>1273</v>
      </c>
      <c r="L224" s="23" t="s">
        <v>1252</v>
      </c>
      <c r="M224" s="24" t="s">
        <v>7745</v>
      </c>
      <c r="N224" s="23">
        <v>14038000</v>
      </c>
      <c r="O224" s="25" t="s">
        <v>126</v>
      </c>
      <c r="P224" s="25" t="s">
        <v>53</v>
      </c>
      <c r="Q224" s="20" t="s">
        <v>1274</v>
      </c>
      <c r="R224" s="20">
        <v>12510061</v>
      </c>
      <c r="S224" s="25" t="s">
        <v>1275</v>
      </c>
      <c r="T224" s="39" t="s">
        <v>57</v>
      </c>
      <c r="U224" s="23">
        <v>860478060660963</v>
      </c>
      <c r="V224" s="45" t="s">
        <v>110</v>
      </c>
      <c r="W224" s="20" t="s">
        <v>302</v>
      </c>
      <c r="X224" s="20" t="s">
        <v>303</v>
      </c>
      <c r="Y224" s="20" t="s">
        <v>303</v>
      </c>
      <c r="Z224" s="20" t="s">
        <v>131</v>
      </c>
      <c r="AA224" s="20" t="s">
        <v>132</v>
      </c>
      <c r="AB224" s="20" t="s">
        <v>96</v>
      </c>
      <c r="AC224" s="28">
        <v>369.83</v>
      </c>
      <c r="AD224" s="28">
        <f>SUM(BASE[[#This Row],[MONTO DE RENTA ]]*1.16)</f>
        <v>429.00279999999998</v>
      </c>
      <c r="AE224" s="28" t="s">
        <v>97</v>
      </c>
      <c r="AF224" s="28">
        <v>473.27586206896552</v>
      </c>
      <c r="AG224" s="28">
        <v>549</v>
      </c>
      <c r="AH224" s="22" t="s">
        <v>64</v>
      </c>
      <c r="AI224" s="63">
        <v>45420</v>
      </c>
      <c r="AJ224" s="63">
        <v>46433</v>
      </c>
      <c r="AK2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24" s="30"/>
      <c r="AN224" s="20" t="s">
        <v>99</v>
      </c>
      <c r="AP224" s="20" t="s">
        <v>66</v>
      </c>
      <c r="AQ224" s="20" t="s">
        <v>100</v>
      </c>
    </row>
    <row r="225" spans="1:43" ht="16">
      <c r="A225" s="166">
        <v>6861982972</v>
      </c>
      <c r="B225" s="167">
        <v>850079</v>
      </c>
      <c r="C225" s="20" t="s">
        <v>663</v>
      </c>
      <c r="D225" s="20" t="s">
        <v>1276</v>
      </c>
      <c r="E225" s="20" t="s">
        <v>1277</v>
      </c>
      <c r="F225" s="20" t="s">
        <v>70</v>
      </c>
      <c r="G225" s="20" t="s">
        <v>70</v>
      </c>
      <c r="H225" s="20" t="s">
        <v>48</v>
      </c>
      <c r="I225" s="20" t="s">
        <v>70</v>
      </c>
      <c r="J225" s="119" t="s">
        <v>1278</v>
      </c>
      <c r="K225" s="119" t="s">
        <v>1278</v>
      </c>
      <c r="L225" s="168" t="s">
        <v>1252</v>
      </c>
      <c r="M225" s="24" t="s">
        <v>7745</v>
      </c>
      <c r="N225" s="23">
        <v>14038000</v>
      </c>
      <c r="O225" s="25" t="s">
        <v>126</v>
      </c>
      <c r="P225" s="25" t="s">
        <v>53</v>
      </c>
      <c r="Q225" s="20" t="s">
        <v>1279</v>
      </c>
      <c r="R225" s="20">
        <v>12493463</v>
      </c>
      <c r="S225" s="25" t="s">
        <v>55</v>
      </c>
      <c r="T225" s="39" t="s">
        <v>56</v>
      </c>
      <c r="U225" s="23">
        <v>357654176595406</v>
      </c>
      <c r="V225" s="27" t="s">
        <v>78</v>
      </c>
      <c r="W225" s="20" t="s">
        <v>95</v>
      </c>
      <c r="X225" s="20" t="s">
        <v>95</v>
      </c>
      <c r="Y225" s="20" t="s">
        <v>95</v>
      </c>
      <c r="Z225" s="20" t="s">
        <v>60</v>
      </c>
      <c r="AA225" s="20" t="s">
        <v>61</v>
      </c>
      <c r="AB225" s="20" t="s">
        <v>82</v>
      </c>
      <c r="AC225" s="28">
        <v>559.48</v>
      </c>
      <c r="AD225" s="120">
        <f>SUM(BASE[[#This Row],[MONTO DE RENTA ]]*1.16)</f>
        <v>648.99680000000001</v>
      </c>
      <c r="AE225" s="28" t="s">
        <v>83</v>
      </c>
      <c r="AF225" s="28">
        <v>559.48275862068965</v>
      </c>
      <c r="AG225" s="120">
        <v>649</v>
      </c>
      <c r="AH225" s="121" t="s">
        <v>116</v>
      </c>
      <c r="AI225" s="122">
        <v>45377</v>
      </c>
      <c r="AJ225" s="122">
        <v>45742</v>
      </c>
      <c r="AK225" s="123">
        <f ca="1">IFERROR(IF(BASE[[#This Row],[FECHA DE RENOVACION ]]&gt;TODAY(), DATEDIF(TODAY(),BASE[[#This Row],[FECHA DE RENOVACION ]],"M"), -DATEDIF(BASE[[#This Row],[FECHA DE RENOVACION ]],TODAY(),"M")), "Sin fecha")</f>
        <v>-11</v>
      </c>
      <c r="AL225" s="83"/>
      <c r="AM225" s="123"/>
      <c r="AN225" s="20" t="s">
        <v>99</v>
      </c>
      <c r="AP225" s="20" t="s">
        <v>84</v>
      </c>
      <c r="AQ225" s="20" t="s">
        <v>100</v>
      </c>
    </row>
    <row r="226" spans="1:43" ht="16">
      <c r="A226" s="20">
        <v>6241299074</v>
      </c>
      <c r="B226" s="49">
        <v>710188</v>
      </c>
      <c r="C226" s="20" t="s">
        <v>1280</v>
      </c>
      <c r="D226" s="20" t="s">
        <v>1281</v>
      </c>
      <c r="E226" s="20" t="s">
        <v>1282</v>
      </c>
      <c r="F226" s="20" t="s">
        <v>257</v>
      </c>
      <c r="G226" s="20" t="s">
        <v>257</v>
      </c>
      <c r="H226" s="20" t="s">
        <v>48</v>
      </c>
      <c r="I226" s="20" t="s">
        <v>257</v>
      </c>
      <c r="J226" s="169" t="s">
        <v>1283</v>
      </c>
      <c r="K226" s="54" t="s">
        <v>1283</v>
      </c>
      <c r="L226" s="91" t="s">
        <v>1284</v>
      </c>
      <c r="M226" s="24" t="s">
        <v>7740</v>
      </c>
      <c r="N226" s="23">
        <v>14051000</v>
      </c>
      <c r="O226" s="25" t="s">
        <v>126</v>
      </c>
      <c r="P226" s="25" t="s">
        <v>53</v>
      </c>
      <c r="Q226" s="20" t="s">
        <v>1285</v>
      </c>
      <c r="R226" s="20">
        <v>12552987</v>
      </c>
      <c r="S226" s="25" t="s">
        <v>1286</v>
      </c>
      <c r="T226" s="44" t="s">
        <v>57</v>
      </c>
      <c r="U226" s="23">
        <v>861383070408974</v>
      </c>
      <c r="V226" s="45" t="s">
        <v>110</v>
      </c>
      <c r="W226" s="20" t="s">
        <v>111</v>
      </c>
      <c r="X226" s="20" t="s">
        <v>112</v>
      </c>
      <c r="Y226" s="20" t="s">
        <v>112</v>
      </c>
      <c r="Z226" s="20" t="s">
        <v>113</v>
      </c>
      <c r="AA226" s="20" t="s">
        <v>114</v>
      </c>
      <c r="AB226" s="20" t="s">
        <v>115</v>
      </c>
      <c r="AC226" s="28">
        <v>559.48</v>
      </c>
      <c r="AD226" s="28">
        <f>SUM(BASE[[#This Row],[MONTO DE RENTA ]]*1.16)</f>
        <v>648.99680000000001</v>
      </c>
      <c r="AE226" s="28" t="s">
        <v>83</v>
      </c>
      <c r="AF226" s="28">
        <v>559.48275862068965</v>
      </c>
      <c r="AG226" s="28">
        <v>649</v>
      </c>
      <c r="AH226" s="22" t="s">
        <v>116</v>
      </c>
      <c r="AI226" s="29">
        <v>45931</v>
      </c>
      <c r="AJ226" s="29">
        <v>46661</v>
      </c>
      <c r="AK226" s="30">
        <f ca="1">IFERROR(IF(BASE[[#This Row],[FECHA DE RENOVACION ]]&gt;TODAY(), DATEDIF(TODAY(),BASE[[#This Row],[FECHA DE RENOVACION ]],"M"), -DATEDIF(BASE[[#This Row],[FECHA DE RENOVACION ]],TODAY(),"M")), "Sin fecha")</f>
        <v>18</v>
      </c>
      <c r="AL226" s="20" t="s">
        <v>1287</v>
      </c>
      <c r="AM226" s="30"/>
      <c r="AN226" s="20" t="s">
        <v>65</v>
      </c>
      <c r="AP226" s="20" t="s">
        <v>84</v>
      </c>
    </row>
    <row r="227" spans="1:43" ht="16">
      <c r="A227" s="20">
        <v>6241081391</v>
      </c>
      <c r="B227" s="106">
        <v>670031</v>
      </c>
      <c r="C227" s="20" t="s">
        <v>1288</v>
      </c>
      <c r="D227" s="20" t="s">
        <v>1289</v>
      </c>
      <c r="E227" s="20" t="s">
        <v>477</v>
      </c>
      <c r="F227" s="20" t="s">
        <v>70</v>
      </c>
      <c r="G227" s="20" t="s">
        <v>70</v>
      </c>
      <c r="H227" s="20" t="s">
        <v>48</v>
      </c>
      <c r="I227" s="20" t="s">
        <v>70</v>
      </c>
      <c r="J227" s="22" t="s">
        <v>1290</v>
      </c>
      <c r="K227" s="22" t="s">
        <v>1290</v>
      </c>
      <c r="L227" s="23" t="s">
        <v>1284</v>
      </c>
      <c r="M227" s="24" t="s">
        <v>7740</v>
      </c>
      <c r="N227" s="23">
        <v>14051000</v>
      </c>
      <c r="O227" s="25" t="s">
        <v>126</v>
      </c>
      <c r="P227" s="25" t="s">
        <v>53</v>
      </c>
      <c r="Q227" s="20" t="s">
        <v>1291</v>
      </c>
      <c r="R227" s="20">
        <v>12552985</v>
      </c>
      <c r="S227" s="25" t="s">
        <v>1292</v>
      </c>
      <c r="T227" s="44" t="s">
        <v>77</v>
      </c>
      <c r="U227" s="23">
        <v>356638832073362</v>
      </c>
      <c r="V227" s="27" t="s">
        <v>78</v>
      </c>
      <c r="W227" s="20" t="s">
        <v>214</v>
      </c>
      <c r="X227" s="20" t="s">
        <v>214</v>
      </c>
      <c r="Y227" s="20" t="s">
        <v>214</v>
      </c>
      <c r="Z227" s="20" t="s">
        <v>113</v>
      </c>
      <c r="AA227" s="20" t="s">
        <v>114</v>
      </c>
      <c r="AB227" s="20" t="s">
        <v>115</v>
      </c>
      <c r="AC227" s="28">
        <v>559.48</v>
      </c>
      <c r="AD227" s="28">
        <f>SUM(BASE[[#This Row],[MONTO DE RENTA ]]*1.16)</f>
        <v>648.99680000000001</v>
      </c>
      <c r="AE227" s="28" t="s">
        <v>83</v>
      </c>
      <c r="AF227" s="28">
        <v>559.48275862068965</v>
      </c>
      <c r="AG227" s="28">
        <v>649</v>
      </c>
      <c r="AH227" s="22" t="s">
        <v>116</v>
      </c>
      <c r="AI227" s="63">
        <v>45855</v>
      </c>
      <c r="AJ227" s="63">
        <v>46753</v>
      </c>
      <c r="AK227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227" s="170">
        <v>14051000</v>
      </c>
      <c r="AM227" s="30" t="s">
        <v>1293</v>
      </c>
      <c r="AN227" s="20" t="s">
        <v>65</v>
      </c>
      <c r="AP227" s="20" t="s">
        <v>84</v>
      </c>
    </row>
    <row r="228" spans="1:43" ht="16">
      <c r="A228" s="20">
        <v>8123552582</v>
      </c>
      <c r="B228" s="49">
        <v>1021435</v>
      </c>
      <c r="C228" s="20" t="s">
        <v>1294</v>
      </c>
      <c r="D228" s="20" t="s">
        <v>172</v>
      </c>
      <c r="E228" s="20" t="s">
        <v>1295</v>
      </c>
      <c r="F228" s="20" t="s">
        <v>1296</v>
      </c>
      <c r="G228" s="20" t="s">
        <v>1296</v>
      </c>
      <c r="H228" s="20" t="s">
        <v>48</v>
      </c>
      <c r="I228" s="20" t="s">
        <v>1296</v>
      </c>
      <c r="J228" s="32" t="s">
        <v>1297</v>
      </c>
      <c r="K228" s="32" t="s">
        <v>1297</v>
      </c>
      <c r="L228" s="91" t="s">
        <v>1298</v>
      </c>
      <c r="M228" s="24" t="s">
        <v>7752</v>
      </c>
      <c r="N228" s="23">
        <v>18061000</v>
      </c>
      <c r="O228" s="25" t="s">
        <v>74</v>
      </c>
      <c r="P228" s="25" t="s">
        <v>53</v>
      </c>
      <c r="Q228" s="20" t="s">
        <v>1299</v>
      </c>
      <c r="R228" s="20">
        <v>43090271</v>
      </c>
      <c r="S228" s="25" t="s">
        <v>1300</v>
      </c>
      <c r="T228" s="26" t="s">
        <v>57</v>
      </c>
      <c r="U228" s="23">
        <v>860900062335286</v>
      </c>
      <c r="V228" s="27" t="s">
        <v>57</v>
      </c>
      <c r="W228" s="20" t="s">
        <v>58</v>
      </c>
      <c r="X228" s="20" t="s">
        <v>59</v>
      </c>
      <c r="Y228" s="20" t="s">
        <v>59</v>
      </c>
      <c r="Z228" s="20" t="s">
        <v>167</v>
      </c>
      <c r="AA228" s="20" t="s">
        <v>168</v>
      </c>
      <c r="AB228" s="20" t="s">
        <v>96</v>
      </c>
      <c r="AC228" s="28">
        <v>369.83</v>
      </c>
      <c r="AD228" s="28">
        <f>SUM(BASE[[#This Row],[MONTO DE RENTA ]]*1.16)</f>
        <v>429.00279999999998</v>
      </c>
      <c r="AE228" s="28" t="s">
        <v>63</v>
      </c>
      <c r="AF228" s="28">
        <v>369.82758620689657</v>
      </c>
      <c r="AG228" s="28">
        <v>429</v>
      </c>
      <c r="AH228" s="22" t="s">
        <v>64</v>
      </c>
      <c r="AI228" s="63">
        <v>45713</v>
      </c>
      <c r="AJ228" s="63">
        <v>46433</v>
      </c>
      <c r="AK2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28" s="30"/>
      <c r="AN228" s="20" t="s">
        <v>65</v>
      </c>
      <c r="AO228" s="20" t="s">
        <v>141</v>
      </c>
      <c r="AP228" s="20" t="s">
        <v>84</v>
      </c>
      <c r="AQ228" s="20" t="s">
        <v>100</v>
      </c>
    </row>
    <row r="229" spans="1:43" ht="16">
      <c r="A229" s="20">
        <v>8122017014</v>
      </c>
      <c r="B229" s="21">
        <v>6296</v>
      </c>
      <c r="C229" s="20" t="s">
        <v>1301</v>
      </c>
      <c r="D229" s="20" t="s">
        <v>1302</v>
      </c>
      <c r="E229" s="20" t="s">
        <v>1303</v>
      </c>
      <c r="F229" s="20" t="s">
        <v>1304</v>
      </c>
      <c r="G229" s="20" t="s">
        <v>1304</v>
      </c>
      <c r="H229" s="20" t="s">
        <v>48</v>
      </c>
      <c r="I229" s="20" t="s">
        <v>1304</v>
      </c>
      <c r="J229" s="22" t="s">
        <v>1305</v>
      </c>
      <c r="K229" s="22" t="s">
        <v>1305</v>
      </c>
      <c r="L229" s="23" t="s">
        <v>1298</v>
      </c>
      <c r="M229" s="24" t="s">
        <v>7752</v>
      </c>
      <c r="N229" s="23">
        <v>18061000</v>
      </c>
      <c r="O229" s="25" t="s">
        <v>74</v>
      </c>
      <c r="P229" s="25" t="s">
        <v>53</v>
      </c>
      <c r="Q229" s="20" t="s">
        <v>1306</v>
      </c>
      <c r="R229" s="20">
        <v>43173586</v>
      </c>
      <c r="S229" s="25" t="s">
        <v>1307</v>
      </c>
      <c r="T229" s="26" t="s">
        <v>57</v>
      </c>
      <c r="U229" s="23">
        <v>860900062335120</v>
      </c>
      <c r="V229" s="27" t="s">
        <v>57</v>
      </c>
      <c r="W229" s="20" t="s">
        <v>58</v>
      </c>
      <c r="X229" s="20" t="s">
        <v>59</v>
      </c>
      <c r="Y229" s="20" t="s">
        <v>59</v>
      </c>
      <c r="Z229" s="20" t="s">
        <v>167</v>
      </c>
      <c r="AA229" s="20" t="s">
        <v>168</v>
      </c>
      <c r="AB229" s="20" t="s">
        <v>96</v>
      </c>
      <c r="AC229" s="28">
        <v>369.83</v>
      </c>
      <c r="AD229" s="28">
        <f>SUM(BASE[[#This Row],[MONTO DE RENTA ]]*1.16)</f>
        <v>429.00279999999998</v>
      </c>
      <c r="AE229" s="28" t="s">
        <v>63</v>
      </c>
      <c r="AF229" s="28">
        <v>369.82758620689657</v>
      </c>
      <c r="AG229" s="28">
        <v>429</v>
      </c>
      <c r="AH229" s="22" t="s">
        <v>64</v>
      </c>
      <c r="AI229" s="29">
        <v>45703</v>
      </c>
      <c r="AJ229" s="29">
        <v>46433</v>
      </c>
      <c r="AK2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29" s="30"/>
      <c r="AN229" s="20" t="s">
        <v>65</v>
      </c>
      <c r="AO229" s="20" t="s">
        <v>141</v>
      </c>
      <c r="AP229" s="20" t="s">
        <v>84</v>
      </c>
      <c r="AQ229" s="20" t="s">
        <v>100</v>
      </c>
    </row>
    <row r="230" spans="1:43" ht="16">
      <c r="A230" s="20">
        <v>8112052567</v>
      </c>
      <c r="B230" s="21">
        <v>1053751</v>
      </c>
      <c r="C230" s="20" t="s">
        <v>1308</v>
      </c>
      <c r="D230" s="20" t="s">
        <v>1309</v>
      </c>
      <c r="E230" s="20" t="s">
        <v>280</v>
      </c>
      <c r="F230" s="20" t="s">
        <v>1310</v>
      </c>
      <c r="G230" s="20" t="s">
        <v>1310</v>
      </c>
      <c r="H230" s="20" t="s">
        <v>48</v>
      </c>
      <c r="I230" s="20" t="s">
        <v>1310</v>
      </c>
      <c r="J230" s="22" t="s">
        <v>1311</v>
      </c>
      <c r="K230" s="22" t="s">
        <v>1311</v>
      </c>
      <c r="L230" s="23" t="s">
        <v>1298</v>
      </c>
      <c r="M230" s="24" t="s">
        <v>7752</v>
      </c>
      <c r="N230" s="23">
        <v>18061000</v>
      </c>
      <c r="O230" s="25" t="s">
        <v>74</v>
      </c>
      <c r="P230" s="25" t="s">
        <v>53</v>
      </c>
      <c r="Q230" s="20" t="s">
        <v>1312</v>
      </c>
      <c r="R230" s="20">
        <v>43133483</v>
      </c>
      <c r="S230" s="25" t="s">
        <v>1313</v>
      </c>
      <c r="T230" s="26" t="s">
        <v>57</v>
      </c>
      <c r="U230" s="23">
        <v>860900062336078</v>
      </c>
      <c r="V230" s="27" t="s">
        <v>57</v>
      </c>
      <c r="W230" s="20" t="s">
        <v>58</v>
      </c>
      <c r="X230" s="20" t="s">
        <v>59</v>
      </c>
      <c r="Y230" s="20" t="s">
        <v>59</v>
      </c>
      <c r="Z230" s="20" t="s">
        <v>167</v>
      </c>
      <c r="AA230" s="20" t="s">
        <v>168</v>
      </c>
      <c r="AB230" s="20" t="s">
        <v>96</v>
      </c>
      <c r="AC230" s="28">
        <v>369.83</v>
      </c>
      <c r="AD230" s="28">
        <f>SUM(BASE[[#This Row],[MONTO DE RENTA ]]*1.16)</f>
        <v>429.00279999999998</v>
      </c>
      <c r="AE230" s="28" t="s">
        <v>63</v>
      </c>
      <c r="AF230" s="28">
        <v>369.82758620689657</v>
      </c>
      <c r="AG230" s="28">
        <v>429</v>
      </c>
      <c r="AH230" s="22" t="s">
        <v>64</v>
      </c>
      <c r="AI230" s="63">
        <v>45703</v>
      </c>
      <c r="AJ230" s="63">
        <v>46433</v>
      </c>
      <c r="AK2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0" s="30"/>
      <c r="AN230" s="20" t="s">
        <v>65</v>
      </c>
      <c r="AO230" s="20" t="s">
        <v>141</v>
      </c>
      <c r="AP230" s="20" t="s">
        <v>84</v>
      </c>
      <c r="AQ230" s="20" t="s">
        <v>100</v>
      </c>
    </row>
    <row r="231" spans="1:43" ht="16">
      <c r="A231" s="20">
        <v>8112580481</v>
      </c>
      <c r="B231" s="21">
        <v>700552</v>
      </c>
      <c r="C231" s="20" t="s">
        <v>1314</v>
      </c>
      <c r="D231" s="20" t="s">
        <v>456</v>
      </c>
      <c r="E231" s="20" t="s">
        <v>598</v>
      </c>
      <c r="F231" s="20" t="s">
        <v>1315</v>
      </c>
      <c r="G231" s="20" t="s">
        <v>1315</v>
      </c>
      <c r="H231" s="20" t="s">
        <v>48</v>
      </c>
      <c r="I231" s="20" t="s">
        <v>1315</v>
      </c>
      <c r="J231" s="22" t="s">
        <v>1316</v>
      </c>
      <c r="K231" s="22" t="s">
        <v>1316</v>
      </c>
      <c r="L231" s="23" t="s">
        <v>1298</v>
      </c>
      <c r="M231" s="24" t="s">
        <v>7752</v>
      </c>
      <c r="N231" s="23">
        <v>18061000</v>
      </c>
      <c r="O231" s="25" t="s">
        <v>74</v>
      </c>
      <c r="P231" s="25" t="s">
        <v>53</v>
      </c>
      <c r="Q231" s="20" t="s">
        <v>1317</v>
      </c>
      <c r="R231" s="20">
        <v>43133182</v>
      </c>
      <c r="S231" s="25" t="s">
        <v>1318</v>
      </c>
      <c r="T231" s="26" t="s">
        <v>57</v>
      </c>
      <c r="U231" s="23">
        <v>860900062335591</v>
      </c>
      <c r="V231" s="27" t="s">
        <v>57</v>
      </c>
      <c r="W231" s="20" t="s">
        <v>58</v>
      </c>
      <c r="X231" s="20" t="s">
        <v>59</v>
      </c>
      <c r="Y231" s="20" t="s">
        <v>59</v>
      </c>
      <c r="Z231" s="20" t="s">
        <v>167</v>
      </c>
      <c r="AA231" s="20" t="s">
        <v>168</v>
      </c>
      <c r="AB231" s="20" t="s">
        <v>96</v>
      </c>
      <c r="AC231" s="28">
        <v>369.83</v>
      </c>
      <c r="AD231" s="28">
        <f>SUM(BASE[[#This Row],[MONTO DE RENTA ]]*1.16)</f>
        <v>429.00279999999998</v>
      </c>
      <c r="AE231" s="28" t="s">
        <v>63</v>
      </c>
      <c r="AF231" s="28">
        <v>369.82758620689657</v>
      </c>
      <c r="AG231" s="28">
        <v>429</v>
      </c>
      <c r="AH231" s="22" t="s">
        <v>64</v>
      </c>
      <c r="AI231" s="63">
        <v>45703</v>
      </c>
      <c r="AJ231" s="63">
        <v>46433</v>
      </c>
      <c r="AK2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1" s="30"/>
      <c r="AN231" s="20" t="s">
        <v>65</v>
      </c>
      <c r="AO231" s="20" t="s">
        <v>141</v>
      </c>
      <c r="AP231" s="20" t="s">
        <v>84</v>
      </c>
      <c r="AQ231" s="20" t="s">
        <v>100</v>
      </c>
    </row>
    <row r="232" spans="1:43" ht="16">
      <c r="A232" s="171">
        <v>8135515315</v>
      </c>
      <c r="B232" s="147">
        <v>1001461</v>
      </c>
      <c r="C232" s="20" t="s">
        <v>1319</v>
      </c>
      <c r="D232" s="20" t="s">
        <v>187</v>
      </c>
      <c r="E232" s="20" t="s">
        <v>143</v>
      </c>
      <c r="F232" s="20" t="s">
        <v>1320</v>
      </c>
      <c r="G232" s="20" t="s">
        <v>1320</v>
      </c>
      <c r="H232" s="20" t="s">
        <v>48</v>
      </c>
      <c r="I232" s="20" t="s">
        <v>1320</v>
      </c>
      <c r="J232" s="172" t="s">
        <v>1321</v>
      </c>
      <c r="K232" s="172" t="s">
        <v>1321</v>
      </c>
      <c r="L232" s="23" t="s">
        <v>1298</v>
      </c>
      <c r="M232" s="24" t="s">
        <v>7752</v>
      </c>
      <c r="N232" s="23">
        <v>18061000</v>
      </c>
      <c r="O232" s="25" t="s">
        <v>74</v>
      </c>
      <c r="P232" s="25" t="s">
        <v>53</v>
      </c>
      <c r="Q232" s="20" t="s">
        <v>1322</v>
      </c>
      <c r="R232" s="20">
        <v>44918955</v>
      </c>
      <c r="S232" s="25" t="s">
        <v>55</v>
      </c>
      <c r="T232" s="173" t="s">
        <v>56</v>
      </c>
      <c r="U232" s="23">
        <v>860900062730833</v>
      </c>
      <c r="V232" s="174" t="s">
        <v>57</v>
      </c>
      <c r="W232" s="20" t="s">
        <v>58</v>
      </c>
      <c r="X232" s="20" t="s">
        <v>59</v>
      </c>
      <c r="Y232" s="20" t="s">
        <v>59</v>
      </c>
      <c r="Z232" s="20" t="s">
        <v>60</v>
      </c>
      <c r="AA232" s="20" t="s">
        <v>61</v>
      </c>
      <c r="AB232" s="20" t="s">
        <v>96</v>
      </c>
      <c r="AC232" s="28">
        <v>369.83</v>
      </c>
      <c r="AD232" s="28">
        <f>SUM(BASE[[#This Row],[MONTO DE RENTA ]]*1.16)</f>
        <v>429.00279999999998</v>
      </c>
      <c r="AE232" s="28" t="s">
        <v>63</v>
      </c>
      <c r="AF232" s="28">
        <v>369.82758620689657</v>
      </c>
      <c r="AG232" s="28">
        <v>429</v>
      </c>
      <c r="AH232" s="175" t="s">
        <v>253</v>
      </c>
      <c r="AI232" s="176">
        <v>45666</v>
      </c>
      <c r="AJ232" s="176">
        <v>46396</v>
      </c>
      <c r="AK23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232" s="171"/>
      <c r="AM232" s="177" t="s">
        <v>1323</v>
      </c>
      <c r="AN232" s="20" t="s">
        <v>65</v>
      </c>
      <c r="AO232" s="20" t="s">
        <v>141</v>
      </c>
      <c r="AP232" s="20" t="s">
        <v>84</v>
      </c>
      <c r="AQ232" s="20" t="s">
        <v>100</v>
      </c>
    </row>
    <row r="233" spans="1:43" ht="16">
      <c r="A233" s="20">
        <v>8116086372</v>
      </c>
      <c r="B233" s="21">
        <v>700753</v>
      </c>
      <c r="C233" s="20" t="s">
        <v>1324</v>
      </c>
      <c r="D233" s="20" t="s">
        <v>187</v>
      </c>
      <c r="E233" s="20" t="s">
        <v>172</v>
      </c>
      <c r="F233" s="20" t="s">
        <v>1325</v>
      </c>
      <c r="G233" s="20" t="s">
        <v>47</v>
      </c>
      <c r="H233" s="20" t="s">
        <v>48</v>
      </c>
      <c r="I233" s="20" t="s">
        <v>1325</v>
      </c>
      <c r="J233" s="97" t="s">
        <v>1326</v>
      </c>
      <c r="K233" s="97" t="s">
        <v>1326</v>
      </c>
      <c r="L233" s="23" t="s">
        <v>1298</v>
      </c>
      <c r="M233" s="24" t="s">
        <v>7752</v>
      </c>
      <c r="N233" s="23">
        <v>18061000</v>
      </c>
      <c r="O233" s="25" t="s">
        <v>74</v>
      </c>
      <c r="P233" s="25" t="s">
        <v>53</v>
      </c>
      <c r="Q233" s="20" t="s">
        <v>1327</v>
      </c>
      <c r="R233" s="20">
        <v>43149861</v>
      </c>
      <c r="S233" s="25" t="s">
        <v>1328</v>
      </c>
      <c r="T233" s="26" t="s">
        <v>57</v>
      </c>
      <c r="U233" s="23">
        <v>860900062338140</v>
      </c>
      <c r="V233" s="27" t="s">
        <v>57</v>
      </c>
      <c r="W233" s="20" t="s">
        <v>58</v>
      </c>
      <c r="X233" s="20" t="s">
        <v>59</v>
      </c>
      <c r="Y233" s="20" t="s">
        <v>59</v>
      </c>
      <c r="Z233" s="20" t="s">
        <v>167</v>
      </c>
      <c r="AA233" s="20" t="s">
        <v>168</v>
      </c>
      <c r="AB233" s="20" t="s">
        <v>96</v>
      </c>
      <c r="AC233" s="28">
        <v>369.83</v>
      </c>
      <c r="AD233" s="28">
        <f>SUM(BASE[[#This Row],[MONTO DE RENTA ]]*1.16)</f>
        <v>429.00279999999998</v>
      </c>
      <c r="AE233" s="28" t="s">
        <v>63</v>
      </c>
      <c r="AF233" s="28">
        <v>369.82758620689657</v>
      </c>
      <c r="AG233" s="28">
        <v>429</v>
      </c>
      <c r="AH233" s="22" t="s">
        <v>64</v>
      </c>
      <c r="AI233" s="63">
        <v>45703</v>
      </c>
      <c r="AJ233" s="63">
        <v>46433</v>
      </c>
      <c r="AK2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3" s="30"/>
      <c r="AN233" s="20" t="s">
        <v>65</v>
      </c>
      <c r="AO233" s="20" t="s">
        <v>141</v>
      </c>
      <c r="AP233" s="20" t="s">
        <v>84</v>
      </c>
      <c r="AQ233" s="20" t="s">
        <v>100</v>
      </c>
    </row>
    <row r="234" spans="1:43" ht="16">
      <c r="A234" s="20">
        <v>8111307952</v>
      </c>
      <c r="B234" s="21">
        <v>1054720</v>
      </c>
      <c r="C234" s="20" t="s">
        <v>1329</v>
      </c>
      <c r="D234" s="20" t="s">
        <v>823</v>
      </c>
      <c r="E234" s="20" t="s">
        <v>1330</v>
      </c>
      <c r="F234" s="20" t="s">
        <v>1331</v>
      </c>
      <c r="G234" s="20" t="s">
        <v>47</v>
      </c>
      <c r="H234" s="20" t="s">
        <v>48</v>
      </c>
      <c r="I234" s="20" t="s">
        <v>1331</v>
      </c>
      <c r="J234" s="32" t="s">
        <v>1332</v>
      </c>
      <c r="K234" s="32" t="s">
        <v>1332</v>
      </c>
      <c r="L234" s="23" t="s">
        <v>1298</v>
      </c>
      <c r="M234" s="24" t="s">
        <v>7752</v>
      </c>
      <c r="N234" s="23">
        <v>18061000</v>
      </c>
      <c r="O234" s="25" t="s">
        <v>74</v>
      </c>
      <c r="P234" s="25" t="s">
        <v>53</v>
      </c>
      <c r="Q234" s="20" t="s">
        <v>1333</v>
      </c>
      <c r="R234" s="20">
        <v>43131886</v>
      </c>
      <c r="S234" s="25" t="s">
        <v>1334</v>
      </c>
      <c r="T234" s="26" t="s">
        <v>57</v>
      </c>
      <c r="U234" s="23">
        <v>860900062335971</v>
      </c>
      <c r="V234" s="27" t="s">
        <v>57</v>
      </c>
      <c r="W234" s="20" t="s">
        <v>58</v>
      </c>
      <c r="X234" s="20" t="s">
        <v>59</v>
      </c>
      <c r="Y234" s="20" t="s">
        <v>59</v>
      </c>
      <c r="Z234" s="20" t="s">
        <v>167</v>
      </c>
      <c r="AA234" s="20" t="s">
        <v>168</v>
      </c>
      <c r="AB234" s="20" t="s">
        <v>96</v>
      </c>
      <c r="AC234" s="28">
        <v>369.83</v>
      </c>
      <c r="AD234" s="28">
        <f>SUM(BASE[[#This Row],[MONTO DE RENTA ]]*1.16)</f>
        <v>429.00279999999998</v>
      </c>
      <c r="AE234" s="28" t="s">
        <v>63</v>
      </c>
      <c r="AF234" s="28">
        <v>369.82758620689657</v>
      </c>
      <c r="AG234" s="28">
        <v>429</v>
      </c>
      <c r="AH234" s="22" t="s">
        <v>64</v>
      </c>
      <c r="AI234" s="63">
        <v>45703</v>
      </c>
      <c r="AJ234" s="63">
        <v>46433</v>
      </c>
      <c r="AK2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4" s="30"/>
      <c r="AN234" s="20" t="s">
        <v>65</v>
      </c>
      <c r="AO234" s="20" t="s">
        <v>141</v>
      </c>
      <c r="AP234" s="20" t="s">
        <v>84</v>
      </c>
      <c r="AQ234" s="20" t="s">
        <v>100</v>
      </c>
    </row>
    <row r="235" spans="1:43" ht="16">
      <c r="A235" s="20">
        <v>8112077822</v>
      </c>
      <c r="B235" s="21">
        <v>1054720</v>
      </c>
      <c r="C235" s="20" t="s">
        <v>1329</v>
      </c>
      <c r="D235" s="20" t="s">
        <v>823</v>
      </c>
      <c r="E235" s="20" t="s">
        <v>1330</v>
      </c>
      <c r="F235" s="20" t="s">
        <v>1331</v>
      </c>
      <c r="G235" s="20" t="s">
        <v>1331</v>
      </c>
      <c r="H235" s="20" t="s">
        <v>48</v>
      </c>
      <c r="I235" s="20" t="s">
        <v>1331</v>
      </c>
      <c r="J235" s="22" t="s">
        <v>1335</v>
      </c>
      <c r="K235" s="22" t="s">
        <v>1335</v>
      </c>
      <c r="L235" s="23" t="s">
        <v>1298</v>
      </c>
      <c r="M235" s="24" t="s">
        <v>7752</v>
      </c>
      <c r="N235" s="23">
        <v>18061000</v>
      </c>
      <c r="O235" s="25" t="s">
        <v>74</v>
      </c>
      <c r="P235" s="25" t="s">
        <v>53</v>
      </c>
      <c r="Q235" s="20" t="s">
        <v>1336</v>
      </c>
      <c r="R235" s="20">
        <v>43131858</v>
      </c>
      <c r="S235" s="25" t="s">
        <v>1337</v>
      </c>
      <c r="T235" s="26" t="s">
        <v>57</v>
      </c>
      <c r="U235" s="23">
        <v>860900062336235</v>
      </c>
      <c r="V235" s="27" t="s">
        <v>57</v>
      </c>
      <c r="W235" s="20" t="s">
        <v>58</v>
      </c>
      <c r="X235" s="20" t="s">
        <v>59</v>
      </c>
      <c r="Y235" s="20" t="s">
        <v>59</v>
      </c>
      <c r="Z235" s="20" t="s">
        <v>167</v>
      </c>
      <c r="AA235" s="20" t="s">
        <v>168</v>
      </c>
      <c r="AB235" s="20" t="s">
        <v>96</v>
      </c>
      <c r="AC235" s="28">
        <v>369.83</v>
      </c>
      <c r="AD235" s="28">
        <f>SUM(BASE[[#This Row],[MONTO DE RENTA ]]*1.16)</f>
        <v>429.00279999999998</v>
      </c>
      <c r="AE235" s="28" t="s">
        <v>63</v>
      </c>
      <c r="AF235" s="28">
        <v>369.82758620689657</v>
      </c>
      <c r="AG235" s="28">
        <v>429</v>
      </c>
      <c r="AH235" s="22" t="s">
        <v>64</v>
      </c>
      <c r="AI235" s="63">
        <v>45703</v>
      </c>
      <c r="AJ235" s="63">
        <v>46433</v>
      </c>
      <c r="AK2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5" s="30"/>
      <c r="AN235" s="20" t="s">
        <v>65</v>
      </c>
      <c r="AO235" s="20" t="s">
        <v>141</v>
      </c>
      <c r="AP235" s="20" t="s">
        <v>84</v>
      </c>
      <c r="AQ235" s="20" t="s">
        <v>100</v>
      </c>
    </row>
    <row r="236" spans="1:43" ht="16">
      <c r="A236" s="20">
        <v>8118211200</v>
      </c>
      <c r="B236" s="49">
        <v>1061102</v>
      </c>
      <c r="C236" s="20" t="s">
        <v>959</v>
      </c>
      <c r="D236" s="20" t="s">
        <v>229</v>
      </c>
      <c r="E236" s="20" t="s">
        <v>461</v>
      </c>
      <c r="F236" s="20" t="s">
        <v>717</v>
      </c>
      <c r="G236" s="20" t="s">
        <v>717</v>
      </c>
      <c r="H236" s="20" t="s">
        <v>48</v>
      </c>
      <c r="I236" s="20" t="s">
        <v>717</v>
      </c>
      <c r="J236" s="32" t="s">
        <v>1338</v>
      </c>
      <c r="K236" s="32" t="s">
        <v>1338</v>
      </c>
      <c r="L236" s="23" t="s">
        <v>1298</v>
      </c>
      <c r="M236" s="24" t="s">
        <v>7752</v>
      </c>
      <c r="N236" s="23">
        <v>11318000</v>
      </c>
      <c r="O236" s="25" t="s">
        <v>74</v>
      </c>
      <c r="P236" s="25" t="s">
        <v>53</v>
      </c>
      <c r="Q236" s="20" t="s">
        <v>1339</v>
      </c>
      <c r="R236" s="20">
        <v>45142613</v>
      </c>
      <c r="S236" s="25" t="s">
        <v>916</v>
      </c>
      <c r="T236" s="26" t="s">
        <v>57</v>
      </c>
      <c r="U236" s="23">
        <v>860900062336540</v>
      </c>
      <c r="V236" s="27" t="s">
        <v>57</v>
      </c>
      <c r="W236" s="20" t="s">
        <v>58</v>
      </c>
      <c r="X236" s="20" t="s">
        <v>59</v>
      </c>
      <c r="Y236" s="20" t="s">
        <v>59</v>
      </c>
      <c r="Z236" s="20" t="s">
        <v>131</v>
      </c>
      <c r="AA236" s="20" t="s">
        <v>132</v>
      </c>
      <c r="AB236" s="20" t="s">
        <v>96</v>
      </c>
      <c r="AC236" s="28">
        <v>369.83</v>
      </c>
      <c r="AD236" s="28">
        <f>SUM(BASE[[#This Row],[MONTO DE RENTA ]]*1.16)</f>
        <v>429.00279999999998</v>
      </c>
      <c r="AE236" s="28" t="s">
        <v>63</v>
      </c>
      <c r="AF236" s="28">
        <v>369.82758620689657</v>
      </c>
      <c r="AG236" s="28">
        <v>429</v>
      </c>
      <c r="AH236" s="22" t="s">
        <v>448</v>
      </c>
      <c r="AI236" s="29">
        <v>45755</v>
      </c>
      <c r="AJ236" s="29">
        <v>46485</v>
      </c>
      <c r="AK236" s="30">
        <f ca="1">IFERROR(IF(BASE[[#This Row],[FECHA DE RENOVACION ]]&gt;TODAY(), DATEDIF(TODAY(),BASE[[#This Row],[FECHA DE RENOVACION ]],"M"), -DATEDIF(BASE[[#This Row],[FECHA DE RENOVACION ]],TODAY(),"M")), "Sin fecha")</f>
        <v>13</v>
      </c>
      <c r="AM236" s="30"/>
      <c r="AN236" s="20" t="s">
        <v>65</v>
      </c>
      <c r="AO236" s="20" t="s">
        <v>141</v>
      </c>
      <c r="AP236" s="20" t="s">
        <v>84</v>
      </c>
      <c r="AQ236" s="20" t="s">
        <v>100</v>
      </c>
    </row>
    <row r="237" spans="1:43" ht="16">
      <c r="A237" s="20">
        <v>8118211717</v>
      </c>
      <c r="B237" s="86">
        <v>615149</v>
      </c>
      <c r="C237" s="20" t="s">
        <v>1340</v>
      </c>
      <c r="D237" s="20" t="s">
        <v>437</v>
      </c>
      <c r="E237" s="20" t="s">
        <v>711</v>
      </c>
      <c r="F237" s="20" t="s">
        <v>1341</v>
      </c>
      <c r="G237" s="20" t="s">
        <v>1341</v>
      </c>
      <c r="H237" s="20" t="s">
        <v>48</v>
      </c>
      <c r="I237" s="20" t="s">
        <v>1341</v>
      </c>
      <c r="J237" s="22" t="s">
        <v>1342</v>
      </c>
      <c r="K237" s="22" t="s">
        <v>1342</v>
      </c>
      <c r="L237" s="23" t="s">
        <v>1298</v>
      </c>
      <c r="M237" s="24" t="s">
        <v>7752</v>
      </c>
      <c r="N237" s="23">
        <v>18061000</v>
      </c>
      <c r="O237" s="25" t="s">
        <v>74</v>
      </c>
      <c r="P237" s="25" t="s">
        <v>53</v>
      </c>
      <c r="Q237" s="20" t="s">
        <v>1343</v>
      </c>
      <c r="R237" s="20">
        <v>43920560</v>
      </c>
      <c r="S237" s="25" t="s">
        <v>55</v>
      </c>
      <c r="T237" s="44" t="s">
        <v>56</v>
      </c>
      <c r="U237" s="23" t="s">
        <v>193</v>
      </c>
      <c r="V237" s="27" t="s">
        <v>183</v>
      </c>
      <c r="W237" s="20" t="s">
        <v>194</v>
      </c>
      <c r="X237" s="20" t="s">
        <v>194</v>
      </c>
      <c r="Y237" s="20" t="s">
        <v>194</v>
      </c>
      <c r="Z237" s="20" t="s">
        <v>60</v>
      </c>
      <c r="AA237" s="20" t="s">
        <v>61</v>
      </c>
      <c r="AB237" s="20" t="s">
        <v>96</v>
      </c>
      <c r="AC237" s="28">
        <v>369.83</v>
      </c>
      <c r="AD237" s="28">
        <f>SUM(BASE[[#This Row],[MONTO DE RENTA ]]*1.16)</f>
        <v>429.00279999999998</v>
      </c>
      <c r="AE237" s="28" t="s">
        <v>63</v>
      </c>
      <c r="AF237" s="28">
        <v>369.82758620689657</v>
      </c>
      <c r="AG237" s="28">
        <v>429</v>
      </c>
      <c r="AI237" s="63">
        <v>44937</v>
      </c>
      <c r="AJ237" s="73">
        <v>46043</v>
      </c>
      <c r="AK2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37" s="30" t="s">
        <v>1344</v>
      </c>
      <c r="AN237" s="20" t="s">
        <v>99</v>
      </c>
      <c r="AP237" s="20" t="s">
        <v>84</v>
      </c>
      <c r="AQ237" s="20" t="s">
        <v>100</v>
      </c>
    </row>
    <row r="238" spans="1:43" ht="16">
      <c r="A238" s="20">
        <v>8138624477</v>
      </c>
      <c r="B238" s="21">
        <v>1084083</v>
      </c>
      <c r="C238" s="20" t="s">
        <v>1345</v>
      </c>
      <c r="D238" s="20" t="s">
        <v>1346</v>
      </c>
      <c r="E238" s="20" t="s">
        <v>756</v>
      </c>
      <c r="F238" s="20" t="s">
        <v>824</v>
      </c>
      <c r="G238" s="20" t="s">
        <v>824</v>
      </c>
      <c r="H238" s="20" t="s">
        <v>48</v>
      </c>
      <c r="I238" s="20" t="s">
        <v>824</v>
      </c>
      <c r="J238" s="22" t="s">
        <v>1347</v>
      </c>
      <c r="K238" s="22" t="s">
        <v>1347</v>
      </c>
      <c r="L238" s="23" t="s">
        <v>1298</v>
      </c>
      <c r="M238" s="24" t="s">
        <v>7752</v>
      </c>
      <c r="N238" s="23">
        <v>18061000</v>
      </c>
      <c r="O238" s="25" t="s">
        <v>74</v>
      </c>
      <c r="P238" s="25" t="s">
        <v>53</v>
      </c>
      <c r="Q238" s="20" t="s">
        <v>1348</v>
      </c>
      <c r="R238" s="20">
        <v>43056263</v>
      </c>
      <c r="S238" s="25" t="s">
        <v>1349</v>
      </c>
      <c r="T238" s="26" t="s">
        <v>57</v>
      </c>
      <c r="U238" s="23">
        <v>860900062335906</v>
      </c>
      <c r="V238" s="27" t="s">
        <v>57</v>
      </c>
      <c r="W238" s="20" t="s">
        <v>58</v>
      </c>
      <c r="X238" s="20" t="s">
        <v>59</v>
      </c>
      <c r="Y238" s="20" t="s">
        <v>59</v>
      </c>
      <c r="Z238" s="20" t="s">
        <v>167</v>
      </c>
      <c r="AA238" s="20" t="s">
        <v>168</v>
      </c>
      <c r="AB238" s="20" t="s">
        <v>96</v>
      </c>
      <c r="AC238" s="28">
        <v>369.83</v>
      </c>
      <c r="AD238" s="28">
        <f>SUM(BASE[[#This Row],[MONTO DE RENTA ]]*1.16)</f>
        <v>429.00279999999998</v>
      </c>
      <c r="AE238" s="28" t="s">
        <v>63</v>
      </c>
      <c r="AF238" s="28">
        <v>369.82758620689657</v>
      </c>
      <c r="AG238" s="28">
        <v>429</v>
      </c>
      <c r="AH238" s="22" t="s">
        <v>64</v>
      </c>
      <c r="AI238" s="63">
        <v>45703</v>
      </c>
      <c r="AJ238" s="63">
        <v>46433</v>
      </c>
      <c r="AK2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8" s="30"/>
      <c r="AN238" s="20" t="s">
        <v>65</v>
      </c>
      <c r="AO238" s="20" t="s">
        <v>141</v>
      </c>
      <c r="AP238" s="20" t="s">
        <v>84</v>
      </c>
      <c r="AQ238" s="20" t="s">
        <v>100</v>
      </c>
    </row>
    <row r="239" spans="1:43" ht="32">
      <c r="A239" s="20">
        <v>8115621920</v>
      </c>
      <c r="B239" s="178">
        <v>1054097</v>
      </c>
      <c r="C239" s="20" t="s">
        <v>1350</v>
      </c>
      <c r="D239" s="20" t="s">
        <v>1351</v>
      </c>
      <c r="E239" s="20" t="s">
        <v>1352</v>
      </c>
      <c r="F239" s="20" t="s">
        <v>1353</v>
      </c>
      <c r="G239" s="20" t="s">
        <v>1353</v>
      </c>
      <c r="H239" s="20" t="s">
        <v>48</v>
      </c>
      <c r="I239" s="20" t="s">
        <v>1353</v>
      </c>
      <c r="J239" s="97" t="s">
        <v>1354</v>
      </c>
      <c r="K239" s="22" t="s">
        <v>1355</v>
      </c>
      <c r="L239" s="23" t="s">
        <v>1298</v>
      </c>
      <c r="M239" s="24" t="s">
        <v>7752</v>
      </c>
      <c r="N239" s="23">
        <v>18061000</v>
      </c>
      <c r="O239" s="25" t="s">
        <v>74</v>
      </c>
      <c r="P239" s="25" t="s">
        <v>53</v>
      </c>
      <c r="Q239" s="20" t="s">
        <v>1356</v>
      </c>
      <c r="R239" s="20">
        <v>43133163</v>
      </c>
      <c r="S239" s="25" t="s">
        <v>1357</v>
      </c>
      <c r="T239" s="26" t="s">
        <v>57</v>
      </c>
      <c r="U239" s="23">
        <v>860900062338256</v>
      </c>
      <c r="V239" s="27" t="s">
        <v>57</v>
      </c>
      <c r="W239" s="20" t="s">
        <v>58</v>
      </c>
      <c r="X239" s="20" t="s">
        <v>59</v>
      </c>
      <c r="Y239" s="20" t="s">
        <v>59</v>
      </c>
      <c r="Z239" s="20" t="s">
        <v>167</v>
      </c>
      <c r="AA239" s="20" t="s">
        <v>168</v>
      </c>
      <c r="AB239" s="20" t="s">
        <v>96</v>
      </c>
      <c r="AC239" s="28">
        <v>369.83</v>
      </c>
      <c r="AD239" s="28">
        <f>SUM(BASE[[#This Row],[MONTO DE RENTA ]]*1.16)</f>
        <v>429.00279999999998</v>
      </c>
      <c r="AE239" s="28" t="s">
        <v>63</v>
      </c>
      <c r="AF239" s="28">
        <v>369.82758620689657</v>
      </c>
      <c r="AG239" s="28">
        <v>429</v>
      </c>
      <c r="AH239" s="22" t="s">
        <v>64</v>
      </c>
      <c r="AI239" s="63">
        <v>45703</v>
      </c>
      <c r="AJ239" s="63">
        <v>46433</v>
      </c>
      <c r="AK2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39" s="30"/>
      <c r="AN239" s="20" t="s">
        <v>65</v>
      </c>
      <c r="AO239" s="20" t="s">
        <v>141</v>
      </c>
      <c r="AP239" s="20" t="s">
        <v>84</v>
      </c>
      <c r="AQ239" s="20" t="s">
        <v>100</v>
      </c>
    </row>
    <row r="240" spans="1:43" ht="16">
      <c r="A240" s="20">
        <v>8115724397</v>
      </c>
      <c r="B240" s="49">
        <v>1044748</v>
      </c>
      <c r="C240" s="20" t="s">
        <v>1358</v>
      </c>
      <c r="D240" s="20" t="s">
        <v>657</v>
      </c>
      <c r="E240" s="20" t="s">
        <v>519</v>
      </c>
      <c r="F240" s="20" t="s">
        <v>1018</v>
      </c>
      <c r="G240" s="20" t="s">
        <v>1018</v>
      </c>
      <c r="H240" s="20" t="s">
        <v>48</v>
      </c>
      <c r="I240" s="20" t="s">
        <v>1018</v>
      </c>
      <c r="J240" s="22" t="s">
        <v>1359</v>
      </c>
      <c r="K240" s="22" t="s">
        <v>1359</v>
      </c>
      <c r="L240" s="23" t="s">
        <v>1298</v>
      </c>
      <c r="M240" s="24" t="s">
        <v>7752</v>
      </c>
      <c r="N240" s="23">
        <v>18061000</v>
      </c>
      <c r="O240" s="25" t="s">
        <v>74</v>
      </c>
      <c r="P240" s="25" t="s">
        <v>53</v>
      </c>
      <c r="Q240" s="20" t="s">
        <v>1360</v>
      </c>
      <c r="R240" s="20">
        <v>42997050</v>
      </c>
      <c r="S240" s="25" t="s">
        <v>55</v>
      </c>
      <c r="T240" s="26" t="s">
        <v>56</v>
      </c>
      <c r="U240" s="23">
        <v>860900062271119</v>
      </c>
      <c r="V240" s="27" t="s">
        <v>183</v>
      </c>
      <c r="W240" s="20" t="s">
        <v>58</v>
      </c>
      <c r="X240" s="20" t="s">
        <v>59</v>
      </c>
      <c r="Y240" s="20" t="s">
        <v>59</v>
      </c>
      <c r="Z240" s="20" t="s">
        <v>60</v>
      </c>
      <c r="AA240" s="20" t="s">
        <v>61</v>
      </c>
      <c r="AB240" s="20" t="s">
        <v>96</v>
      </c>
      <c r="AC240" s="28">
        <v>369.83</v>
      </c>
      <c r="AD240" s="28">
        <f>SUM(BASE[[#This Row],[MONTO DE RENTA ]]*1.16)</f>
        <v>429.00279999999998</v>
      </c>
      <c r="AE240" s="28" t="s">
        <v>63</v>
      </c>
      <c r="AF240" s="28">
        <v>369.82758620689657</v>
      </c>
      <c r="AG240" s="28">
        <v>429</v>
      </c>
      <c r="AH240" s="36" t="s">
        <v>64</v>
      </c>
      <c r="AI240" s="84">
        <v>45323</v>
      </c>
      <c r="AJ240" s="84">
        <v>46054</v>
      </c>
      <c r="AK24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40" s="30"/>
      <c r="AN240" s="20" t="s">
        <v>99</v>
      </c>
      <c r="AP240" s="20" t="s">
        <v>84</v>
      </c>
      <c r="AQ240" s="20" t="s">
        <v>100</v>
      </c>
    </row>
    <row r="241" spans="1:43" ht="16">
      <c r="A241" s="20">
        <v>8113199286</v>
      </c>
      <c r="B241" s="49">
        <v>1045686</v>
      </c>
      <c r="C241" s="20" t="s">
        <v>1361</v>
      </c>
      <c r="D241" s="20" t="s">
        <v>1362</v>
      </c>
      <c r="E241" s="20" t="s">
        <v>442</v>
      </c>
      <c r="F241" s="20" t="s">
        <v>1018</v>
      </c>
      <c r="G241" s="20" t="s">
        <v>1018</v>
      </c>
      <c r="H241" s="20" t="s">
        <v>48</v>
      </c>
      <c r="I241" s="20" t="s">
        <v>1018</v>
      </c>
      <c r="J241" s="22" t="s">
        <v>1359</v>
      </c>
      <c r="K241" s="22" t="s">
        <v>1359</v>
      </c>
      <c r="L241" s="23" t="s">
        <v>1298</v>
      </c>
      <c r="M241" s="24" t="s">
        <v>7752</v>
      </c>
      <c r="N241" s="23">
        <v>18061000</v>
      </c>
      <c r="O241" s="25" t="s">
        <v>74</v>
      </c>
      <c r="P241" s="25" t="s">
        <v>53</v>
      </c>
      <c r="Q241" s="20" t="s">
        <v>1363</v>
      </c>
      <c r="R241" s="20">
        <v>42997051</v>
      </c>
      <c r="S241" s="25" t="s">
        <v>55</v>
      </c>
      <c r="T241" s="26" t="s">
        <v>56</v>
      </c>
      <c r="U241" s="23">
        <v>860900062271119</v>
      </c>
      <c r="V241" s="27" t="s">
        <v>183</v>
      </c>
      <c r="W241" s="20" t="s">
        <v>58</v>
      </c>
      <c r="X241" s="20" t="s">
        <v>59</v>
      </c>
      <c r="Y241" s="20" t="s">
        <v>59</v>
      </c>
      <c r="Z241" s="20" t="s">
        <v>60</v>
      </c>
      <c r="AA241" s="20" t="s">
        <v>61</v>
      </c>
      <c r="AB241" s="20" t="s">
        <v>96</v>
      </c>
      <c r="AC241" s="28">
        <v>369.83</v>
      </c>
      <c r="AD241" s="28">
        <f>SUM(BASE[[#This Row],[MONTO DE RENTA ]]*1.16)</f>
        <v>429.00279999999998</v>
      </c>
      <c r="AE241" s="28" t="s">
        <v>63</v>
      </c>
      <c r="AF241" s="28">
        <v>369.82758620689657</v>
      </c>
      <c r="AG241" s="28">
        <v>429</v>
      </c>
      <c r="AH241" s="36" t="s">
        <v>64</v>
      </c>
      <c r="AI241" s="84">
        <v>45323</v>
      </c>
      <c r="AJ241" s="84">
        <v>46054</v>
      </c>
      <c r="AK2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41" s="30"/>
      <c r="AN241" s="20" t="s">
        <v>99</v>
      </c>
      <c r="AP241" s="20" t="s">
        <v>84</v>
      </c>
      <c r="AQ241" s="20" t="s">
        <v>100</v>
      </c>
    </row>
    <row r="242" spans="1:43" ht="16">
      <c r="A242" s="20">
        <v>8112200583</v>
      </c>
      <c r="B242" s="21">
        <v>1075274</v>
      </c>
      <c r="C242" s="20" t="s">
        <v>170</v>
      </c>
      <c r="D242" s="20" t="s">
        <v>187</v>
      </c>
      <c r="E242" s="20" t="s">
        <v>1364</v>
      </c>
      <c r="F242" s="20" t="s">
        <v>1018</v>
      </c>
      <c r="G242" s="20" t="s">
        <v>1018</v>
      </c>
      <c r="H242" s="20" t="s">
        <v>48</v>
      </c>
      <c r="I242" s="20" t="s">
        <v>1018</v>
      </c>
      <c r="J242" s="158" t="s">
        <v>1359</v>
      </c>
      <c r="K242" s="32" t="s">
        <v>1359</v>
      </c>
      <c r="L242" s="23" t="s">
        <v>1298</v>
      </c>
      <c r="M242" s="24" t="s">
        <v>7752</v>
      </c>
      <c r="N242" s="23">
        <v>18061000</v>
      </c>
      <c r="O242" s="25" t="s">
        <v>74</v>
      </c>
      <c r="P242" s="25" t="s">
        <v>53</v>
      </c>
      <c r="Q242" s="20" t="s">
        <v>1365</v>
      </c>
      <c r="R242" s="20">
        <v>43133140</v>
      </c>
      <c r="S242" s="25" t="s">
        <v>1269</v>
      </c>
      <c r="T242" s="26" t="s">
        <v>57</v>
      </c>
      <c r="U242" s="23">
        <v>860900062271119</v>
      </c>
      <c r="V242" s="27" t="s">
        <v>57</v>
      </c>
      <c r="W242" s="20" t="s">
        <v>58</v>
      </c>
      <c r="X242" s="20" t="s">
        <v>59</v>
      </c>
      <c r="Y242" s="20" t="s">
        <v>59</v>
      </c>
      <c r="Z242" s="20" t="s">
        <v>167</v>
      </c>
      <c r="AA242" s="20" t="s">
        <v>168</v>
      </c>
      <c r="AB242" s="20" t="s">
        <v>96</v>
      </c>
      <c r="AC242" s="28">
        <v>369.83</v>
      </c>
      <c r="AD242" s="28">
        <f>SUM(BASE[[#This Row],[MONTO DE RENTA ]]*1.16)</f>
        <v>429.00279999999998</v>
      </c>
      <c r="AE242" s="28" t="s">
        <v>63</v>
      </c>
      <c r="AF242" s="28">
        <v>369.82758620689657</v>
      </c>
      <c r="AG242" s="28">
        <v>429</v>
      </c>
      <c r="AH242" s="22" t="s">
        <v>448</v>
      </c>
      <c r="AI242" s="63">
        <v>45868</v>
      </c>
      <c r="AJ242" s="63">
        <v>46598</v>
      </c>
      <c r="AK242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242" s="20">
        <v>18061000</v>
      </c>
      <c r="AM242" s="29">
        <v>45868</v>
      </c>
      <c r="AN242" s="20" t="s">
        <v>65</v>
      </c>
      <c r="AO242" s="20" t="s">
        <v>141</v>
      </c>
      <c r="AP242" s="20" t="s">
        <v>84</v>
      </c>
      <c r="AQ242" s="20" t="s">
        <v>100</v>
      </c>
    </row>
    <row r="243" spans="1:43" ht="16">
      <c r="A243" s="20">
        <v>8115676643</v>
      </c>
      <c r="B243" s="21">
        <v>1070236</v>
      </c>
      <c r="C243" s="20" t="s">
        <v>1366</v>
      </c>
      <c r="D243" s="20" t="s">
        <v>1367</v>
      </c>
      <c r="E243" s="20" t="s">
        <v>1368</v>
      </c>
      <c r="F243" s="20" t="s">
        <v>1018</v>
      </c>
      <c r="G243" s="20" t="s">
        <v>1018</v>
      </c>
      <c r="H243" s="20" t="s">
        <v>48</v>
      </c>
      <c r="I243" s="20" t="s">
        <v>1018</v>
      </c>
      <c r="J243" s="32" t="s">
        <v>1369</v>
      </c>
      <c r="K243" s="32" t="s">
        <v>1369</v>
      </c>
      <c r="L243" s="91" t="s">
        <v>1298</v>
      </c>
      <c r="M243" s="24" t="s">
        <v>7752</v>
      </c>
      <c r="N243" s="23">
        <v>18061000</v>
      </c>
      <c r="O243" s="25" t="s">
        <v>74</v>
      </c>
      <c r="P243" s="25" t="s">
        <v>53</v>
      </c>
      <c r="Q243" s="20" t="s">
        <v>1370</v>
      </c>
      <c r="R243" s="20">
        <v>43133179</v>
      </c>
      <c r="S243" s="25" t="s">
        <v>1371</v>
      </c>
      <c r="T243" s="26" t="s">
        <v>57</v>
      </c>
      <c r="U243" s="23">
        <v>860900062271119</v>
      </c>
      <c r="V243" s="27" t="s">
        <v>57</v>
      </c>
      <c r="W243" s="20" t="s">
        <v>58</v>
      </c>
      <c r="X243" s="20" t="s">
        <v>59</v>
      </c>
      <c r="Y243" s="20" t="s">
        <v>59</v>
      </c>
      <c r="Z243" s="20" t="s">
        <v>167</v>
      </c>
      <c r="AA243" s="20" t="s">
        <v>168</v>
      </c>
      <c r="AB243" s="20" t="s">
        <v>96</v>
      </c>
      <c r="AC243" s="28">
        <v>369.83</v>
      </c>
      <c r="AD243" s="28">
        <f>SUM(BASE[[#This Row],[MONTO DE RENTA ]]*1.16)</f>
        <v>429.00279999999998</v>
      </c>
      <c r="AE243" s="28" t="s">
        <v>63</v>
      </c>
      <c r="AF243" s="28">
        <v>369.82758620689657</v>
      </c>
      <c r="AG243" s="28">
        <v>429</v>
      </c>
      <c r="AI243" s="63">
        <v>44937</v>
      </c>
      <c r="AJ243" s="84">
        <v>46681</v>
      </c>
      <c r="AK24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43" s="30"/>
      <c r="AN243" s="20" t="s">
        <v>65</v>
      </c>
      <c r="AO243" s="20" t="s">
        <v>141</v>
      </c>
      <c r="AP243" s="20" t="s">
        <v>84</v>
      </c>
      <c r="AQ243" s="20" t="s">
        <v>100</v>
      </c>
    </row>
    <row r="244" spans="1:43" ht="16">
      <c r="A244" s="20">
        <v>8113951647</v>
      </c>
      <c r="B244" s="21">
        <v>11489</v>
      </c>
      <c r="C244" s="20" t="s">
        <v>1372</v>
      </c>
      <c r="D244" s="20" t="s">
        <v>636</v>
      </c>
      <c r="E244" s="20" t="s">
        <v>281</v>
      </c>
      <c r="F244" s="20" t="s">
        <v>1373</v>
      </c>
      <c r="G244" s="20" t="s">
        <v>1373</v>
      </c>
      <c r="H244" s="20" t="s">
        <v>48</v>
      </c>
      <c r="I244" s="20" t="s">
        <v>1373</v>
      </c>
      <c r="J244" s="22" t="s">
        <v>1374</v>
      </c>
      <c r="K244" s="22" t="s">
        <v>1374</v>
      </c>
      <c r="L244" s="23" t="s">
        <v>1298</v>
      </c>
      <c r="M244" s="24" t="s">
        <v>7752</v>
      </c>
      <c r="N244" s="23">
        <v>18061000</v>
      </c>
      <c r="O244" s="25" t="s">
        <v>74</v>
      </c>
      <c r="P244" s="25" t="s">
        <v>53</v>
      </c>
      <c r="Q244" s="20" t="s">
        <v>1375</v>
      </c>
      <c r="R244" s="20">
        <v>43131859</v>
      </c>
      <c r="S244" s="25" t="s">
        <v>1376</v>
      </c>
      <c r="T244" s="26" t="s">
        <v>57</v>
      </c>
      <c r="U244" s="23">
        <v>860900062338041</v>
      </c>
      <c r="V244" s="27" t="s">
        <v>57</v>
      </c>
      <c r="W244" s="20" t="s">
        <v>58</v>
      </c>
      <c r="X244" s="20" t="s">
        <v>59</v>
      </c>
      <c r="Y244" s="20" t="s">
        <v>59</v>
      </c>
      <c r="Z244" s="20" t="s">
        <v>167</v>
      </c>
      <c r="AA244" s="20" t="s">
        <v>168</v>
      </c>
      <c r="AB244" s="20" t="s">
        <v>96</v>
      </c>
      <c r="AC244" s="28">
        <v>369.83</v>
      </c>
      <c r="AD244" s="28">
        <f>SUM(BASE[[#This Row],[MONTO DE RENTA ]]*1.16)</f>
        <v>429.00279999999998</v>
      </c>
      <c r="AE244" s="28" t="s">
        <v>63</v>
      </c>
      <c r="AF244" s="28">
        <v>369.82758620689657</v>
      </c>
      <c r="AG244" s="28">
        <v>429</v>
      </c>
      <c r="AH244" s="22" t="s">
        <v>64</v>
      </c>
      <c r="AI244" s="63">
        <v>45703</v>
      </c>
      <c r="AJ244" s="63">
        <v>46433</v>
      </c>
      <c r="AK2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44" s="30"/>
      <c r="AN244" s="20" t="s">
        <v>65</v>
      </c>
      <c r="AO244" s="20" t="s">
        <v>141</v>
      </c>
      <c r="AP244" s="20" t="s">
        <v>84</v>
      </c>
      <c r="AQ244" s="20" t="s">
        <v>100</v>
      </c>
    </row>
    <row r="245" spans="1:43" ht="16">
      <c r="A245" s="20">
        <v>8180174432</v>
      </c>
      <c r="B245" s="49">
        <v>1056002</v>
      </c>
      <c r="C245" s="20" t="s">
        <v>1377</v>
      </c>
      <c r="D245" s="20" t="s">
        <v>358</v>
      </c>
      <c r="E245" s="20" t="s">
        <v>187</v>
      </c>
      <c r="F245" s="20" t="s">
        <v>824</v>
      </c>
      <c r="G245" s="20" t="s">
        <v>824</v>
      </c>
      <c r="H245" s="20" t="s">
        <v>48</v>
      </c>
      <c r="I245" s="20" t="s">
        <v>824</v>
      </c>
      <c r="J245" s="22" t="s">
        <v>1378</v>
      </c>
      <c r="K245" s="32" t="s">
        <v>1379</v>
      </c>
      <c r="L245" s="23" t="s">
        <v>1298</v>
      </c>
      <c r="M245" s="24" t="s">
        <v>7752</v>
      </c>
      <c r="N245" s="23">
        <v>18061000</v>
      </c>
      <c r="O245" s="25" t="s">
        <v>74</v>
      </c>
      <c r="P245" s="25" t="s">
        <v>53</v>
      </c>
      <c r="Q245" s="20" t="s">
        <v>1380</v>
      </c>
      <c r="R245" s="20">
        <v>45142609</v>
      </c>
      <c r="S245" s="25" t="s">
        <v>1381</v>
      </c>
      <c r="T245" s="26" t="s">
        <v>57</v>
      </c>
      <c r="U245" s="23">
        <v>860900062335807</v>
      </c>
      <c r="V245" s="27" t="s">
        <v>57</v>
      </c>
      <c r="W245" s="20" t="s">
        <v>58</v>
      </c>
      <c r="X245" s="20" t="s">
        <v>59</v>
      </c>
      <c r="Y245" s="20" t="s">
        <v>59</v>
      </c>
      <c r="Z245" s="20" t="s">
        <v>167</v>
      </c>
      <c r="AA245" s="20" t="s">
        <v>168</v>
      </c>
      <c r="AB245" s="20" t="s">
        <v>96</v>
      </c>
      <c r="AC245" s="28">
        <v>369.83</v>
      </c>
      <c r="AD245" s="28">
        <f>SUM(BASE[[#This Row],[MONTO DE RENTA ]]*1.16)</f>
        <v>429.00279999999998</v>
      </c>
      <c r="AE245" s="28" t="s">
        <v>63</v>
      </c>
      <c r="AF245" s="28">
        <v>369.82758620689657</v>
      </c>
      <c r="AG245" s="28">
        <v>429</v>
      </c>
      <c r="AI245" s="63">
        <v>44937</v>
      </c>
      <c r="AJ245" s="84">
        <v>46681</v>
      </c>
      <c r="AK245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45" s="30"/>
      <c r="AN245" s="20" t="s">
        <v>65</v>
      </c>
      <c r="AO245" s="20" t="s">
        <v>141</v>
      </c>
      <c r="AP245" s="20" t="s">
        <v>84</v>
      </c>
      <c r="AQ245" s="20" t="s">
        <v>100</v>
      </c>
    </row>
    <row r="246" spans="1:43" ht="16">
      <c r="A246" s="20">
        <v>8115679867</v>
      </c>
      <c r="B246" s="21">
        <v>1021435</v>
      </c>
      <c r="C246" s="20" t="s">
        <v>1294</v>
      </c>
      <c r="D246" s="20" t="s">
        <v>172</v>
      </c>
      <c r="E246" s="20" t="s">
        <v>1295</v>
      </c>
      <c r="F246" s="20" t="s">
        <v>1296</v>
      </c>
      <c r="G246" s="20" t="s">
        <v>1296</v>
      </c>
      <c r="H246" s="20" t="s">
        <v>48</v>
      </c>
      <c r="I246" s="20" t="s">
        <v>1296</v>
      </c>
      <c r="J246" s="22" t="s">
        <v>1382</v>
      </c>
      <c r="K246" s="32" t="s">
        <v>1383</v>
      </c>
      <c r="L246" s="91" t="s">
        <v>1298</v>
      </c>
      <c r="M246" s="24" t="s">
        <v>7752</v>
      </c>
      <c r="N246" s="23">
        <v>18061000</v>
      </c>
      <c r="O246" s="25" t="s">
        <v>74</v>
      </c>
      <c r="P246" s="25" t="s">
        <v>53</v>
      </c>
      <c r="Q246" s="20" t="s">
        <v>1384</v>
      </c>
      <c r="R246" s="20">
        <v>43131869</v>
      </c>
      <c r="S246" s="25" t="s">
        <v>1385</v>
      </c>
      <c r="T246" s="26" t="s">
        <v>57</v>
      </c>
      <c r="U246" s="23">
        <v>865356065670382</v>
      </c>
      <c r="V246" s="27" t="s">
        <v>57</v>
      </c>
      <c r="W246" s="20" t="s">
        <v>129</v>
      </c>
      <c r="X246" s="20" t="s">
        <v>130</v>
      </c>
      <c r="Y246" s="20" t="s">
        <v>130</v>
      </c>
      <c r="Z246" s="20" t="s">
        <v>167</v>
      </c>
      <c r="AA246" s="20" t="s">
        <v>168</v>
      </c>
      <c r="AB246" s="20" t="s">
        <v>96</v>
      </c>
      <c r="AC246" s="28">
        <v>369.83</v>
      </c>
      <c r="AD246" s="28">
        <f>SUM(BASE[[#This Row],[MONTO DE RENTA ]]*1.16)</f>
        <v>429.00279999999998</v>
      </c>
      <c r="AE246" s="28" t="s">
        <v>63</v>
      </c>
      <c r="AF246" s="28">
        <v>369.82758620689657</v>
      </c>
      <c r="AG246" s="28">
        <v>429</v>
      </c>
      <c r="AI246" s="63">
        <v>44937</v>
      </c>
      <c r="AJ246" s="84">
        <v>46681</v>
      </c>
      <c r="AK24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46" s="30"/>
      <c r="AN246" s="20" t="s">
        <v>65</v>
      </c>
      <c r="AO246" s="20" t="s">
        <v>141</v>
      </c>
      <c r="AP246" s="20" t="s">
        <v>84</v>
      </c>
      <c r="AQ246" s="20" t="s">
        <v>100</v>
      </c>
    </row>
    <row r="247" spans="1:43" ht="16">
      <c r="A247" s="20">
        <v>8115717405</v>
      </c>
      <c r="B247" s="21">
        <v>1057604</v>
      </c>
      <c r="C247" s="20" t="s">
        <v>1386</v>
      </c>
      <c r="D247" s="20" t="s">
        <v>1387</v>
      </c>
      <c r="E247" s="20" t="s">
        <v>247</v>
      </c>
      <c r="F247" s="20" t="s">
        <v>1388</v>
      </c>
      <c r="G247" s="20" t="s">
        <v>1388</v>
      </c>
      <c r="H247" s="20" t="s">
        <v>48</v>
      </c>
      <c r="I247" s="20" t="s">
        <v>1388</v>
      </c>
      <c r="J247" s="22" t="s">
        <v>1389</v>
      </c>
      <c r="K247" s="22" t="s">
        <v>1389</v>
      </c>
      <c r="L247" s="91" t="s">
        <v>1298</v>
      </c>
      <c r="M247" s="24" t="s">
        <v>7752</v>
      </c>
      <c r="N247" s="23">
        <v>18061000</v>
      </c>
      <c r="O247" s="25" t="s">
        <v>74</v>
      </c>
      <c r="P247" s="25" t="s">
        <v>53</v>
      </c>
      <c r="Q247" s="20" t="s">
        <v>1390</v>
      </c>
      <c r="R247" s="20">
        <v>43131894</v>
      </c>
      <c r="S247" s="25" t="s">
        <v>1391</v>
      </c>
      <c r="T247" s="26" t="s">
        <v>57</v>
      </c>
      <c r="U247" s="23">
        <v>860900062336094</v>
      </c>
      <c r="V247" s="27" t="s">
        <v>57</v>
      </c>
      <c r="W247" s="20" t="s">
        <v>58</v>
      </c>
      <c r="X247" s="20" t="s">
        <v>59</v>
      </c>
      <c r="Y247" s="20" t="s">
        <v>59</v>
      </c>
      <c r="Z247" s="20" t="s">
        <v>167</v>
      </c>
      <c r="AA247" s="20" t="s">
        <v>168</v>
      </c>
      <c r="AB247" s="20" t="s">
        <v>96</v>
      </c>
      <c r="AC247" s="28">
        <v>369.83</v>
      </c>
      <c r="AD247" s="28">
        <f>SUM(BASE[[#This Row],[MONTO DE RENTA ]]*1.16)</f>
        <v>429.00279999999998</v>
      </c>
      <c r="AE247" s="28" t="s">
        <v>63</v>
      </c>
      <c r="AF247" s="28">
        <v>369.82758620689657</v>
      </c>
      <c r="AG247" s="28">
        <v>429</v>
      </c>
      <c r="AH247" s="22" t="s">
        <v>64</v>
      </c>
      <c r="AI247" s="63">
        <v>45703</v>
      </c>
      <c r="AJ247" s="63">
        <v>46433</v>
      </c>
      <c r="AK2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47" s="30"/>
      <c r="AN247" s="20" t="s">
        <v>65</v>
      </c>
      <c r="AO247" s="20" t="s">
        <v>141</v>
      </c>
      <c r="AP247" s="20" t="s">
        <v>84</v>
      </c>
      <c r="AQ247" s="20" t="s">
        <v>100</v>
      </c>
    </row>
    <row r="248" spans="1:43" ht="16">
      <c r="A248" s="20">
        <v>8116224052</v>
      </c>
      <c r="B248" s="21">
        <v>1039675</v>
      </c>
      <c r="C248" s="20" t="s">
        <v>1392</v>
      </c>
      <c r="D248" s="20" t="s">
        <v>1393</v>
      </c>
      <c r="E248" s="20" t="s">
        <v>357</v>
      </c>
      <c r="F248" s="20" t="s">
        <v>1394</v>
      </c>
      <c r="G248" s="20" t="s">
        <v>1394</v>
      </c>
      <c r="H248" s="20" t="s">
        <v>48</v>
      </c>
      <c r="I248" s="20" t="s">
        <v>1394</v>
      </c>
      <c r="J248" s="22" t="s">
        <v>1395</v>
      </c>
      <c r="K248" s="32" t="s">
        <v>1396</v>
      </c>
      <c r="L248" s="23" t="s">
        <v>1298</v>
      </c>
      <c r="M248" s="24" t="s">
        <v>7752</v>
      </c>
      <c r="N248" s="23">
        <v>18061000</v>
      </c>
      <c r="O248" s="25" t="s">
        <v>74</v>
      </c>
      <c r="P248" s="25" t="s">
        <v>53</v>
      </c>
      <c r="Q248" s="20" t="s">
        <v>1397</v>
      </c>
      <c r="R248" s="20">
        <v>43133185</v>
      </c>
      <c r="S248" s="25" t="s">
        <v>1398</v>
      </c>
      <c r="T248" s="26" t="s">
        <v>57</v>
      </c>
      <c r="U248" s="23">
        <v>860900062335856</v>
      </c>
      <c r="V248" s="27" t="s">
        <v>57</v>
      </c>
      <c r="W248" s="20" t="s">
        <v>58</v>
      </c>
      <c r="X248" s="20" t="s">
        <v>59</v>
      </c>
      <c r="Y248" s="20" t="s">
        <v>59</v>
      </c>
      <c r="Z248" s="20" t="s">
        <v>167</v>
      </c>
      <c r="AA248" s="20" t="s">
        <v>168</v>
      </c>
      <c r="AB248" s="20" t="s">
        <v>96</v>
      </c>
      <c r="AC248" s="28">
        <v>369.83</v>
      </c>
      <c r="AD248" s="28">
        <f>SUM(BASE[[#This Row],[MONTO DE RENTA ]]*1.16)</f>
        <v>429.00279999999998</v>
      </c>
      <c r="AE248" s="28" t="s">
        <v>63</v>
      </c>
      <c r="AF248" s="28">
        <v>369.82758620689657</v>
      </c>
      <c r="AG248" s="28">
        <v>429</v>
      </c>
      <c r="AI248" s="63">
        <v>44937</v>
      </c>
      <c r="AJ248" s="84">
        <v>46681</v>
      </c>
      <c r="AK248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48" s="30"/>
      <c r="AN248" s="20" t="s">
        <v>65</v>
      </c>
      <c r="AO248" s="20" t="s">
        <v>141</v>
      </c>
      <c r="AP248" s="20" t="s">
        <v>84</v>
      </c>
      <c r="AQ248" s="20" t="s">
        <v>100</v>
      </c>
    </row>
    <row r="249" spans="1:43" ht="16">
      <c r="A249" s="20">
        <v>8116118395</v>
      </c>
      <c r="B249" s="48">
        <v>1059702</v>
      </c>
      <c r="C249" s="20" t="s">
        <v>1399</v>
      </c>
      <c r="D249" s="20" t="s">
        <v>1012</v>
      </c>
      <c r="E249" s="20" t="s">
        <v>1104</v>
      </c>
      <c r="F249" s="20" t="s">
        <v>1394</v>
      </c>
      <c r="G249" s="20" t="s">
        <v>1394</v>
      </c>
      <c r="H249" s="20" t="s">
        <v>48</v>
      </c>
      <c r="I249" s="20" t="s">
        <v>1394</v>
      </c>
      <c r="J249" s="32" t="s">
        <v>1400</v>
      </c>
      <c r="K249" s="32" t="s">
        <v>1400</v>
      </c>
      <c r="L249" s="23" t="s">
        <v>1298</v>
      </c>
      <c r="M249" s="24" t="s">
        <v>7752</v>
      </c>
      <c r="N249" s="23">
        <v>18061000</v>
      </c>
      <c r="O249" s="25" t="s">
        <v>74</v>
      </c>
      <c r="P249" s="25" t="s">
        <v>53</v>
      </c>
      <c r="Q249" s="20" t="s">
        <v>1401</v>
      </c>
      <c r="R249" s="20">
        <v>43090236</v>
      </c>
      <c r="S249" s="25" t="s">
        <v>1402</v>
      </c>
      <c r="T249" s="26" t="s">
        <v>57</v>
      </c>
      <c r="U249" s="23">
        <v>860900062334891</v>
      </c>
      <c r="V249" s="27" t="s">
        <v>183</v>
      </c>
      <c r="W249" s="20" t="s">
        <v>58</v>
      </c>
      <c r="X249" s="20" t="s">
        <v>59</v>
      </c>
      <c r="Y249" s="20" t="s">
        <v>59</v>
      </c>
      <c r="Z249" s="20" t="s">
        <v>167</v>
      </c>
      <c r="AA249" s="20" t="s">
        <v>168</v>
      </c>
      <c r="AB249" s="20" t="s">
        <v>96</v>
      </c>
      <c r="AC249" s="28">
        <v>369.83</v>
      </c>
      <c r="AD249" s="28">
        <f>SUM(BASE[[#This Row],[MONTO DE RENTA ]]*1.16)</f>
        <v>429.00279999999998</v>
      </c>
      <c r="AE249" s="28" t="s">
        <v>63</v>
      </c>
      <c r="AF249" s="28">
        <v>369.82758620689657</v>
      </c>
      <c r="AG249" s="28">
        <v>429</v>
      </c>
      <c r="AH249" s="22" t="s">
        <v>64</v>
      </c>
      <c r="AI249" s="63">
        <v>45703</v>
      </c>
      <c r="AJ249" s="63">
        <v>46433</v>
      </c>
      <c r="AK2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49" s="30"/>
      <c r="AN249" s="20" t="s">
        <v>65</v>
      </c>
      <c r="AO249" s="20" t="s">
        <v>141</v>
      </c>
      <c r="AP249" s="20" t="s">
        <v>84</v>
      </c>
      <c r="AQ249" s="20" t="s">
        <v>100</v>
      </c>
    </row>
    <row r="250" spans="1:43" ht="16">
      <c r="A250" s="179">
        <v>8116119113</v>
      </c>
      <c r="B250" s="180">
        <v>1027153</v>
      </c>
      <c r="C250" s="20" t="s">
        <v>1403</v>
      </c>
      <c r="D250" s="20" t="s">
        <v>1404</v>
      </c>
      <c r="E250" s="20" t="s">
        <v>405</v>
      </c>
      <c r="F250" s="20" t="s">
        <v>1405</v>
      </c>
      <c r="G250" s="20" t="s">
        <v>1405</v>
      </c>
      <c r="H250" s="20" t="s">
        <v>199</v>
      </c>
      <c r="I250" s="20" t="s">
        <v>1405</v>
      </c>
      <c r="J250" s="32" t="s">
        <v>1406</v>
      </c>
      <c r="K250" s="32" t="s">
        <v>1406</v>
      </c>
      <c r="L250" s="23" t="s">
        <v>1298</v>
      </c>
      <c r="M250" s="24" t="s">
        <v>7752</v>
      </c>
      <c r="N250" s="23">
        <v>18848078</v>
      </c>
      <c r="O250" s="25" t="s">
        <v>74</v>
      </c>
      <c r="P250" s="25" t="s">
        <v>53</v>
      </c>
      <c r="Q250" s="20" t="s">
        <v>1407</v>
      </c>
      <c r="R250" s="20">
        <v>43514481</v>
      </c>
      <c r="S250" s="25" t="s">
        <v>1408</v>
      </c>
      <c r="T250" s="26" t="s">
        <v>57</v>
      </c>
      <c r="U250" s="23">
        <v>865356065729949</v>
      </c>
      <c r="V250" s="27" t="s">
        <v>183</v>
      </c>
      <c r="W250" s="20" t="s">
        <v>129</v>
      </c>
      <c r="X250" s="20" t="s">
        <v>130</v>
      </c>
      <c r="Y250" s="20" t="s">
        <v>130</v>
      </c>
      <c r="Z250" s="20" t="s">
        <v>167</v>
      </c>
      <c r="AA250" s="20" t="s">
        <v>168</v>
      </c>
      <c r="AB250" s="20" t="s">
        <v>96</v>
      </c>
      <c r="AC250" s="28">
        <v>369.83</v>
      </c>
      <c r="AD250" s="28">
        <f>SUM(BASE[[#This Row],[MONTO DE RENTA ]]*1.16)</f>
        <v>429.00279999999998</v>
      </c>
      <c r="AE250" s="28" t="s">
        <v>63</v>
      </c>
      <c r="AF250" s="28">
        <v>369.82758620689657</v>
      </c>
      <c r="AG250" s="28">
        <v>429</v>
      </c>
      <c r="AI250" s="63">
        <v>44937</v>
      </c>
      <c r="AJ250" s="84">
        <v>46054</v>
      </c>
      <c r="AK2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50" s="30"/>
      <c r="AN250" s="20" t="s">
        <v>99</v>
      </c>
      <c r="AP250" s="20" t="s">
        <v>84</v>
      </c>
      <c r="AQ250" s="20" t="s">
        <v>100</v>
      </c>
    </row>
    <row r="251" spans="1:43" ht="16">
      <c r="A251" s="20">
        <v>8113992572</v>
      </c>
      <c r="B251" s="21">
        <v>1006190</v>
      </c>
      <c r="C251" s="20" t="s">
        <v>1409</v>
      </c>
      <c r="D251" s="20" t="s">
        <v>566</v>
      </c>
      <c r="E251" s="20" t="s">
        <v>1410</v>
      </c>
      <c r="F251" s="20" t="s">
        <v>1353</v>
      </c>
      <c r="G251" s="20" t="s">
        <v>1353</v>
      </c>
      <c r="H251" s="20" t="s">
        <v>48</v>
      </c>
      <c r="I251" s="20" t="s">
        <v>1353</v>
      </c>
      <c r="J251" s="32" t="s">
        <v>1411</v>
      </c>
      <c r="K251" s="97" t="s">
        <v>1412</v>
      </c>
      <c r="L251" s="23" t="s">
        <v>1298</v>
      </c>
      <c r="M251" s="24" t="s">
        <v>7752</v>
      </c>
      <c r="N251" s="23">
        <v>18061000</v>
      </c>
      <c r="O251" s="25" t="s">
        <v>74</v>
      </c>
      <c r="P251" s="25" t="s">
        <v>53</v>
      </c>
      <c r="Q251" s="20" t="s">
        <v>1413</v>
      </c>
      <c r="R251" s="20">
        <v>43131867</v>
      </c>
      <c r="S251" s="25" t="s">
        <v>1414</v>
      </c>
      <c r="T251" s="26" t="s">
        <v>57</v>
      </c>
      <c r="U251" s="23" t="s">
        <v>193</v>
      </c>
      <c r="V251" s="27" t="s">
        <v>57</v>
      </c>
      <c r="W251" s="20" t="s">
        <v>194</v>
      </c>
      <c r="X251" s="20" t="s">
        <v>194</v>
      </c>
      <c r="Y251" s="20" t="s">
        <v>194</v>
      </c>
      <c r="Z251" s="20" t="s">
        <v>167</v>
      </c>
      <c r="AA251" s="20" t="s">
        <v>168</v>
      </c>
      <c r="AB251" s="20" t="s">
        <v>96</v>
      </c>
      <c r="AC251" s="28">
        <v>369.83</v>
      </c>
      <c r="AD251" s="28">
        <f>SUM(BASE[[#This Row],[MONTO DE RENTA ]]*1.16)</f>
        <v>429.00279999999998</v>
      </c>
      <c r="AE251" s="28" t="s">
        <v>63</v>
      </c>
      <c r="AF251" s="28">
        <v>369.82758620689657</v>
      </c>
      <c r="AG251" s="28">
        <v>429</v>
      </c>
      <c r="AI251" s="29">
        <v>44937</v>
      </c>
      <c r="AJ251" s="46">
        <v>46681</v>
      </c>
      <c r="AK251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51" s="30"/>
      <c r="AN251" s="20" t="s">
        <v>65</v>
      </c>
      <c r="AO251" s="20" t="s">
        <v>141</v>
      </c>
      <c r="AP251" s="20" t="s">
        <v>84</v>
      </c>
      <c r="AQ251" s="20" t="s">
        <v>100</v>
      </c>
    </row>
    <row r="252" spans="1:43" ht="16">
      <c r="A252" s="20">
        <v>8110460681</v>
      </c>
      <c r="B252" s="48">
        <v>1067926</v>
      </c>
      <c r="C252" s="20" t="s">
        <v>1415</v>
      </c>
      <c r="D252" s="20" t="s">
        <v>1416</v>
      </c>
      <c r="E252" s="20" t="s">
        <v>187</v>
      </c>
      <c r="F252" s="20" t="s">
        <v>1417</v>
      </c>
      <c r="G252" s="20" t="s">
        <v>1417</v>
      </c>
      <c r="H252" s="20" t="s">
        <v>48</v>
      </c>
      <c r="I252" s="20" t="s">
        <v>1417</v>
      </c>
      <c r="J252" s="32" t="s">
        <v>1418</v>
      </c>
      <c r="K252" s="32" t="s">
        <v>1419</v>
      </c>
      <c r="L252" s="23" t="s">
        <v>1298</v>
      </c>
      <c r="M252" s="24" t="s">
        <v>7752</v>
      </c>
      <c r="N252" s="23">
        <v>18061000</v>
      </c>
      <c r="O252" s="25" t="s">
        <v>74</v>
      </c>
      <c r="P252" s="25" t="s">
        <v>53</v>
      </c>
      <c r="Q252" s="20" t="s">
        <v>1420</v>
      </c>
      <c r="R252" s="20">
        <v>43610196</v>
      </c>
      <c r="S252" s="25" t="s">
        <v>55</v>
      </c>
      <c r="T252" s="26" t="s">
        <v>56</v>
      </c>
      <c r="U252" s="23">
        <v>865356065669756</v>
      </c>
      <c r="V252" s="27" t="s">
        <v>183</v>
      </c>
      <c r="W252" s="20" t="s">
        <v>129</v>
      </c>
      <c r="X252" s="20" t="s">
        <v>130</v>
      </c>
      <c r="Y252" s="20" t="s">
        <v>130</v>
      </c>
      <c r="Z252" s="20" t="s">
        <v>60</v>
      </c>
      <c r="AA252" s="20" t="s">
        <v>61</v>
      </c>
      <c r="AB252" s="20" t="s">
        <v>96</v>
      </c>
      <c r="AC252" s="28">
        <v>369.83</v>
      </c>
      <c r="AD252" s="28">
        <f>SUM(BASE[[#This Row],[MONTO DE RENTA ]]*1.16)</f>
        <v>429.00279999999998</v>
      </c>
      <c r="AE252" s="28" t="s">
        <v>63</v>
      </c>
      <c r="AF252" s="28">
        <v>369.82758620689657</v>
      </c>
      <c r="AG252" s="28">
        <v>429</v>
      </c>
      <c r="AI252" s="63">
        <v>44937</v>
      </c>
      <c r="AJ252" s="73">
        <v>46043</v>
      </c>
      <c r="AK2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52" s="30"/>
      <c r="AN252" s="20" t="s">
        <v>99</v>
      </c>
      <c r="AP252" s="20" t="s">
        <v>84</v>
      </c>
      <c r="AQ252" s="20" t="s">
        <v>100</v>
      </c>
    </row>
    <row r="253" spans="1:43" ht="16">
      <c r="A253" s="20">
        <v>8123207091</v>
      </c>
      <c r="B253" s="49">
        <v>1014334</v>
      </c>
      <c r="C253" s="20" t="s">
        <v>1421</v>
      </c>
      <c r="D253" s="20" t="s">
        <v>1422</v>
      </c>
      <c r="E253" s="20" t="s">
        <v>1423</v>
      </c>
      <c r="F253" s="20" t="s">
        <v>1424</v>
      </c>
      <c r="G253" s="20" t="s">
        <v>1424</v>
      </c>
      <c r="H253" s="20" t="s">
        <v>48</v>
      </c>
      <c r="I253" s="20" t="s">
        <v>1424</v>
      </c>
      <c r="J253" s="22" t="s">
        <v>1425</v>
      </c>
      <c r="K253" s="22" t="s">
        <v>1425</v>
      </c>
      <c r="L253" s="23" t="s">
        <v>1298</v>
      </c>
      <c r="M253" s="24" t="s">
        <v>7752</v>
      </c>
      <c r="N253" s="23">
        <v>18061000</v>
      </c>
      <c r="O253" s="25" t="s">
        <v>74</v>
      </c>
      <c r="P253" s="25" t="s">
        <v>53</v>
      </c>
      <c r="Q253" s="20" t="s">
        <v>1426</v>
      </c>
      <c r="R253" s="20">
        <v>43544594</v>
      </c>
      <c r="S253" s="25" t="s">
        <v>55</v>
      </c>
      <c r="T253" s="26" t="s">
        <v>56</v>
      </c>
      <c r="U253" s="23">
        <v>865356065670382</v>
      </c>
      <c r="V253" s="27" t="s">
        <v>183</v>
      </c>
      <c r="W253" s="20" t="s">
        <v>129</v>
      </c>
      <c r="X253" s="20" t="s">
        <v>130</v>
      </c>
      <c r="Y253" s="20" t="s">
        <v>130</v>
      </c>
      <c r="Z253" s="20" t="s">
        <v>60</v>
      </c>
      <c r="AA253" s="20" t="s">
        <v>61</v>
      </c>
      <c r="AB253" s="20" t="s">
        <v>96</v>
      </c>
      <c r="AC253" s="28">
        <v>369.83</v>
      </c>
      <c r="AD253" s="28">
        <f>SUM(BASE[[#This Row],[MONTO DE RENTA ]]*1.16)</f>
        <v>429.00279999999998</v>
      </c>
      <c r="AE253" s="28" t="s">
        <v>63</v>
      </c>
      <c r="AF253" s="28">
        <v>369.82758620689657</v>
      </c>
      <c r="AG253" s="28">
        <v>429</v>
      </c>
      <c r="AI253" s="29">
        <v>44937</v>
      </c>
      <c r="AJ253" s="50">
        <v>46043</v>
      </c>
      <c r="AK25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53" s="30"/>
      <c r="AN253" s="20" t="s">
        <v>99</v>
      </c>
      <c r="AP253" s="20" t="s">
        <v>84</v>
      </c>
      <c r="AQ253" s="20" t="s">
        <v>100</v>
      </c>
    </row>
    <row r="254" spans="1:43" ht="16">
      <c r="A254" s="20">
        <v>8120399801</v>
      </c>
      <c r="B254" s="21">
        <v>6498</v>
      </c>
      <c r="C254" s="20" t="s">
        <v>1308</v>
      </c>
      <c r="D254" s="20" t="s">
        <v>462</v>
      </c>
      <c r="E254" s="20" t="s">
        <v>187</v>
      </c>
      <c r="F254" s="20" t="s">
        <v>1427</v>
      </c>
      <c r="G254" s="20" t="s">
        <v>1427</v>
      </c>
      <c r="H254" s="20" t="s">
        <v>48</v>
      </c>
      <c r="I254" s="20" t="s">
        <v>1427</v>
      </c>
      <c r="J254" s="32" t="s">
        <v>1428</v>
      </c>
      <c r="K254" s="32" t="s">
        <v>1428</v>
      </c>
      <c r="L254" s="23" t="s">
        <v>1298</v>
      </c>
      <c r="M254" s="24" t="s">
        <v>7752</v>
      </c>
      <c r="N254" s="23">
        <v>18061000</v>
      </c>
      <c r="O254" s="25" t="s">
        <v>74</v>
      </c>
      <c r="P254" s="25" t="s">
        <v>53</v>
      </c>
      <c r="Q254" s="20" t="s">
        <v>1429</v>
      </c>
      <c r="R254" s="20">
        <v>45132936</v>
      </c>
      <c r="S254" s="25" t="s">
        <v>1430</v>
      </c>
      <c r="T254" s="26" t="s">
        <v>57</v>
      </c>
      <c r="U254" s="23">
        <v>860900062335666</v>
      </c>
      <c r="V254" s="27" t="s">
        <v>57</v>
      </c>
      <c r="W254" s="20" t="s">
        <v>58</v>
      </c>
      <c r="X254" s="20" t="s">
        <v>59</v>
      </c>
      <c r="Y254" s="20" t="s">
        <v>59</v>
      </c>
      <c r="Z254" s="20" t="s">
        <v>167</v>
      </c>
      <c r="AA254" s="20" t="s">
        <v>168</v>
      </c>
      <c r="AB254" s="20" t="s">
        <v>96</v>
      </c>
      <c r="AC254" s="28">
        <v>369.83</v>
      </c>
      <c r="AD254" s="28">
        <f>SUM(BASE[[#This Row],[MONTO DE RENTA ]]*1.16)</f>
        <v>429.00279999999998</v>
      </c>
      <c r="AE254" s="28" t="s">
        <v>63</v>
      </c>
      <c r="AF254" s="28">
        <v>369.82758620689657</v>
      </c>
      <c r="AG254" s="28">
        <v>429</v>
      </c>
      <c r="AI254" s="63">
        <v>44937</v>
      </c>
      <c r="AJ254" s="84">
        <v>46681</v>
      </c>
      <c r="AK25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54" s="30"/>
      <c r="AN254" s="20" t="s">
        <v>65</v>
      </c>
      <c r="AO254" s="20" t="s">
        <v>141</v>
      </c>
      <c r="AP254" s="20" t="s">
        <v>84</v>
      </c>
      <c r="AQ254" s="20" t="s">
        <v>100</v>
      </c>
    </row>
    <row r="255" spans="1:43" s="83" customFormat="1" ht="16">
      <c r="A255" s="20">
        <v>8122017022</v>
      </c>
      <c r="B255" s="21">
        <v>6481</v>
      </c>
      <c r="C255" s="20" t="s">
        <v>1431</v>
      </c>
      <c r="D255" s="20" t="s">
        <v>1432</v>
      </c>
      <c r="E255" s="20" t="s">
        <v>1433</v>
      </c>
      <c r="F255" s="20" t="s">
        <v>1434</v>
      </c>
      <c r="G255" s="20" t="s">
        <v>1434</v>
      </c>
      <c r="H255" s="20" t="s">
        <v>48</v>
      </c>
      <c r="I255" s="20" t="s">
        <v>1434</v>
      </c>
      <c r="J255" s="22" t="s">
        <v>1435</v>
      </c>
      <c r="K255" s="22" t="s">
        <v>1435</v>
      </c>
      <c r="L255" s="23" t="s">
        <v>1298</v>
      </c>
      <c r="M255" s="24" t="s">
        <v>7752</v>
      </c>
      <c r="N255" s="23">
        <v>18061000</v>
      </c>
      <c r="O255" s="25" t="s">
        <v>74</v>
      </c>
      <c r="P255" s="25" t="s">
        <v>53</v>
      </c>
      <c r="Q255" s="20" t="s">
        <v>1436</v>
      </c>
      <c r="R255" s="20">
        <v>43173605</v>
      </c>
      <c r="S255" s="25" t="s">
        <v>1437</v>
      </c>
      <c r="T255" s="26" t="s">
        <v>57</v>
      </c>
      <c r="U255" s="23">
        <v>860900062335864</v>
      </c>
      <c r="V255" s="27" t="s">
        <v>57</v>
      </c>
      <c r="W255" s="20" t="s">
        <v>58</v>
      </c>
      <c r="X255" s="20" t="s">
        <v>59</v>
      </c>
      <c r="Y255" s="20" t="s">
        <v>59</v>
      </c>
      <c r="Z255" s="20" t="s">
        <v>167</v>
      </c>
      <c r="AA255" s="20" t="s">
        <v>168</v>
      </c>
      <c r="AB255" s="20" t="s">
        <v>96</v>
      </c>
      <c r="AC255" s="28">
        <v>369.83</v>
      </c>
      <c r="AD255" s="28">
        <f>SUM(BASE[[#This Row],[MONTO DE RENTA ]]*1.16)</f>
        <v>429.00279999999998</v>
      </c>
      <c r="AE255" s="28" t="s">
        <v>63</v>
      </c>
      <c r="AF255" s="28">
        <v>369.82758620689657</v>
      </c>
      <c r="AG255" s="28">
        <v>429</v>
      </c>
      <c r="AH255" s="22" t="s">
        <v>64</v>
      </c>
      <c r="AI255" s="63">
        <v>45703</v>
      </c>
      <c r="AJ255" s="63">
        <v>46433</v>
      </c>
      <c r="AK2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255" s="20"/>
      <c r="AM255" s="30"/>
      <c r="AN255" s="20" t="s">
        <v>65</v>
      </c>
      <c r="AO255" s="20" t="s">
        <v>141</v>
      </c>
      <c r="AP255" s="20" t="s">
        <v>84</v>
      </c>
      <c r="AQ255" s="20" t="s">
        <v>100</v>
      </c>
    </row>
    <row r="256" spans="1:43" ht="16">
      <c r="A256" s="20">
        <v>8181610135</v>
      </c>
      <c r="B256" s="59">
        <v>6296</v>
      </c>
      <c r="C256" s="20" t="s">
        <v>1301</v>
      </c>
      <c r="D256" s="20" t="s">
        <v>1302</v>
      </c>
      <c r="E256" s="20" t="s">
        <v>1303</v>
      </c>
      <c r="F256" s="20" t="s">
        <v>1304</v>
      </c>
      <c r="G256" s="20" t="s">
        <v>1304</v>
      </c>
      <c r="H256" s="20" t="s">
        <v>48</v>
      </c>
      <c r="I256" s="20" t="s">
        <v>1304</v>
      </c>
      <c r="J256" s="32" t="s">
        <v>1438</v>
      </c>
      <c r="K256" s="32" t="s">
        <v>1428</v>
      </c>
      <c r="L256" s="91" t="s">
        <v>1298</v>
      </c>
      <c r="M256" s="24" t="s">
        <v>7752</v>
      </c>
      <c r="N256" s="23">
        <v>18061000</v>
      </c>
      <c r="O256" s="25" t="s">
        <v>74</v>
      </c>
      <c r="P256" s="25" t="s">
        <v>53</v>
      </c>
      <c r="Q256" s="20" t="s">
        <v>1439</v>
      </c>
      <c r="R256" s="20">
        <v>43149895</v>
      </c>
      <c r="S256" s="25" t="s">
        <v>1440</v>
      </c>
      <c r="T256" s="26" t="s">
        <v>57</v>
      </c>
      <c r="U256" s="23">
        <v>860900062335666</v>
      </c>
      <c r="V256" s="27" t="s">
        <v>57</v>
      </c>
      <c r="W256" s="20" t="s">
        <v>58</v>
      </c>
      <c r="X256" s="20" t="s">
        <v>59</v>
      </c>
      <c r="Y256" s="20" t="s">
        <v>59</v>
      </c>
      <c r="Z256" s="20" t="s">
        <v>167</v>
      </c>
      <c r="AA256" s="20" t="s">
        <v>168</v>
      </c>
      <c r="AB256" s="20" t="s">
        <v>96</v>
      </c>
      <c r="AC256" s="28">
        <v>369.83</v>
      </c>
      <c r="AD256" s="28">
        <f>SUM(BASE[[#This Row],[MONTO DE RENTA ]]*1.16)</f>
        <v>429.00279999999998</v>
      </c>
      <c r="AE256" s="28" t="s">
        <v>63</v>
      </c>
      <c r="AF256" s="28">
        <v>369.82758620689657</v>
      </c>
      <c r="AG256" s="28">
        <v>429</v>
      </c>
      <c r="AH256" s="22" t="s">
        <v>64</v>
      </c>
      <c r="AI256" s="63">
        <v>45721</v>
      </c>
      <c r="AJ256" s="63">
        <v>46433</v>
      </c>
      <c r="AK2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256" s="20">
        <v>18061000</v>
      </c>
      <c r="AM256" s="30"/>
      <c r="AN256" s="20" t="s">
        <v>65</v>
      </c>
      <c r="AO256" s="20" t="s">
        <v>141</v>
      </c>
      <c r="AP256" s="20" t="s">
        <v>84</v>
      </c>
      <c r="AQ256" s="20" t="s">
        <v>100</v>
      </c>
    </row>
    <row r="257" spans="1:43" ht="16">
      <c r="A257" s="20">
        <v>8122017020</v>
      </c>
      <c r="B257" s="21">
        <v>1027480</v>
      </c>
      <c r="C257" s="20" t="s">
        <v>1441</v>
      </c>
      <c r="D257" s="20" t="s">
        <v>1442</v>
      </c>
      <c r="E257" s="20" t="s">
        <v>1443</v>
      </c>
      <c r="F257" s="20" t="s">
        <v>1341</v>
      </c>
      <c r="G257" s="20" t="s">
        <v>1341</v>
      </c>
      <c r="H257" s="20" t="s">
        <v>48</v>
      </c>
      <c r="I257" s="20" t="s">
        <v>1341</v>
      </c>
      <c r="J257" s="22" t="s">
        <v>1438</v>
      </c>
      <c r="K257" s="22" t="s">
        <v>1438</v>
      </c>
      <c r="L257" s="23" t="s">
        <v>1298</v>
      </c>
      <c r="M257" s="24" t="s">
        <v>7752</v>
      </c>
      <c r="N257" s="23">
        <v>18061000</v>
      </c>
      <c r="O257" s="25" t="s">
        <v>74</v>
      </c>
      <c r="P257" s="25" t="s">
        <v>53</v>
      </c>
      <c r="Q257" s="20" t="s">
        <v>1444</v>
      </c>
      <c r="R257" s="20">
        <v>43173601</v>
      </c>
      <c r="S257" s="25" t="s">
        <v>1445</v>
      </c>
      <c r="T257" s="26" t="s">
        <v>57</v>
      </c>
      <c r="U257" s="23">
        <v>860900062335666</v>
      </c>
      <c r="V257" s="27" t="s">
        <v>57</v>
      </c>
      <c r="W257" s="20" t="s">
        <v>58</v>
      </c>
      <c r="X257" s="20" t="s">
        <v>59</v>
      </c>
      <c r="Y257" s="20" t="s">
        <v>59</v>
      </c>
      <c r="Z257" s="20" t="s">
        <v>167</v>
      </c>
      <c r="AA257" s="20" t="s">
        <v>168</v>
      </c>
      <c r="AB257" s="20" t="s">
        <v>96</v>
      </c>
      <c r="AC257" s="28">
        <v>369.83</v>
      </c>
      <c r="AD257" s="28">
        <f>SUM(BASE[[#This Row],[MONTO DE RENTA ]]*1.16)</f>
        <v>429.00279999999998</v>
      </c>
      <c r="AE257" s="28" t="s">
        <v>63</v>
      </c>
      <c r="AF257" s="28">
        <v>369.82758620689657</v>
      </c>
      <c r="AG257" s="28">
        <v>429</v>
      </c>
      <c r="AH257" s="22" t="s">
        <v>64</v>
      </c>
      <c r="AI257" s="63">
        <v>45703</v>
      </c>
      <c r="AJ257" s="63">
        <v>46433</v>
      </c>
      <c r="AK2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57" s="30"/>
      <c r="AN257" s="20" t="s">
        <v>65</v>
      </c>
      <c r="AO257" s="20" t="s">
        <v>141</v>
      </c>
      <c r="AP257" s="20" t="s">
        <v>84</v>
      </c>
      <c r="AQ257" s="20" t="s">
        <v>100</v>
      </c>
    </row>
    <row r="258" spans="1:43" ht="16">
      <c r="A258" s="20">
        <v>6611065815</v>
      </c>
      <c r="B258" s="21">
        <v>825216</v>
      </c>
      <c r="C258" s="20" t="s">
        <v>1446</v>
      </c>
      <c r="D258" s="20" t="s">
        <v>324</v>
      </c>
      <c r="E258" s="20" t="s">
        <v>1100</v>
      </c>
      <c r="F258" s="20" t="s">
        <v>104</v>
      </c>
      <c r="G258" s="20" t="s">
        <v>104</v>
      </c>
      <c r="H258" s="20" t="s">
        <v>48</v>
      </c>
      <c r="I258" s="20" t="s">
        <v>104</v>
      </c>
      <c r="J258" s="32" t="s">
        <v>1447</v>
      </c>
      <c r="K258" s="32" t="s">
        <v>1447</v>
      </c>
      <c r="L258" s="23" t="s">
        <v>1448</v>
      </c>
      <c r="M258" s="24" t="s">
        <v>7745</v>
      </c>
      <c r="N258" s="23">
        <v>18082000</v>
      </c>
      <c r="O258" s="25" t="s">
        <v>126</v>
      </c>
      <c r="P258" s="25" t="s">
        <v>53</v>
      </c>
      <c r="Q258" s="20" t="s">
        <v>1449</v>
      </c>
      <c r="R258" s="20">
        <v>11591814</v>
      </c>
      <c r="S258" s="25" t="s">
        <v>1450</v>
      </c>
      <c r="T258" s="26" t="s">
        <v>57</v>
      </c>
      <c r="U258" s="23">
        <v>860478064863175</v>
      </c>
      <c r="V258" s="45" t="s">
        <v>110</v>
      </c>
      <c r="W258" s="20" t="s">
        <v>302</v>
      </c>
      <c r="X258" s="20" t="s">
        <v>303</v>
      </c>
      <c r="Y258" s="20" t="s">
        <v>303</v>
      </c>
      <c r="Z258" s="20" t="s">
        <v>80</v>
      </c>
      <c r="AA258" s="20" t="s">
        <v>81</v>
      </c>
      <c r="AB258" s="20" t="s">
        <v>82</v>
      </c>
      <c r="AC258" s="28">
        <v>559.48</v>
      </c>
      <c r="AD258" s="28">
        <f>SUM(BASE[[#This Row],[MONTO DE RENTA ]]*1.16)</f>
        <v>648.99680000000001</v>
      </c>
      <c r="AE258" s="28" t="s">
        <v>83</v>
      </c>
      <c r="AF258" s="28">
        <v>559.48275862068965</v>
      </c>
      <c r="AG258" s="28">
        <v>649</v>
      </c>
      <c r="AH258" s="22" t="s">
        <v>64</v>
      </c>
      <c r="AI258" s="63">
        <v>45703</v>
      </c>
      <c r="AJ258" s="63">
        <v>46433</v>
      </c>
      <c r="AK2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58" s="30"/>
      <c r="AN258" s="20" t="s">
        <v>65</v>
      </c>
      <c r="AP258" s="20" t="s">
        <v>84</v>
      </c>
    </row>
    <row r="259" spans="1:43" ht="16">
      <c r="A259" s="20">
        <v>8113952893</v>
      </c>
      <c r="B259" s="21">
        <v>1056673</v>
      </c>
      <c r="C259" s="20" t="s">
        <v>663</v>
      </c>
      <c r="D259" s="20" t="s">
        <v>1433</v>
      </c>
      <c r="E259" s="20" t="s">
        <v>427</v>
      </c>
      <c r="F259" s="20" t="s">
        <v>1341</v>
      </c>
      <c r="G259" s="20" t="s">
        <v>1341</v>
      </c>
      <c r="H259" s="20" t="s">
        <v>48</v>
      </c>
      <c r="I259" s="20" t="s">
        <v>1341</v>
      </c>
      <c r="J259" s="22" t="s">
        <v>1451</v>
      </c>
      <c r="K259" s="22" t="s">
        <v>1451</v>
      </c>
      <c r="L259" s="23" t="s">
        <v>1298</v>
      </c>
      <c r="M259" s="24" t="s">
        <v>7752</v>
      </c>
      <c r="N259" s="23">
        <v>18061000</v>
      </c>
      <c r="O259" s="25" t="s">
        <v>74</v>
      </c>
      <c r="P259" s="25" t="s">
        <v>53</v>
      </c>
      <c r="Q259" s="20" t="s">
        <v>1452</v>
      </c>
      <c r="R259" s="20">
        <v>43131862</v>
      </c>
      <c r="S259" s="25" t="s">
        <v>1453</v>
      </c>
      <c r="T259" s="26" t="s">
        <v>57</v>
      </c>
      <c r="U259" s="23" t="s">
        <v>193</v>
      </c>
      <c r="V259" s="27" t="s">
        <v>57</v>
      </c>
      <c r="W259" s="20" t="s">
        <v>194</v>
      </c>
      <c r="X259" s="20" t="s">
        <v>194</v>
      </c>
      <c r="Y259" s="20" t="s">
        <v>194</v>
      </c>
      <c r="Z259" s="20" t="s">
        <v>167</v>
      </c>
      <c r="AA259" s="20" t="s">
        <v>168</v>
      </c>
      <c r="AB259" s="20" t="s">
        <v>96</v>
      </c>
      <c r="AC259" s="28">
        <v>369.83</v>
      </c>
      <c r="AD259" s="28">
        <f>SUM(BASE[[#This Row],[MONTO DE RENTA ]]*1.16)</f>
        <v>429.00279999999998</v>
      </c>
      <c r="AE259" s="28" t="s">
        <v>63</v>
      </c>
      <c r="AF259" s="28">
        <v>369.82758620689657</v>
      </c>
      <c r="AG259" s="28">
        <v>429</v>
      </c>
      <c r="AI259" s="63">
        <v>44937</v>
      </c>
      <c r="AJ259" s="84">
        <v>46681</v>
      </c>
      <c r="AK259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259" s="30"/>
      <c r="AN259" s="20" t="s">
        <v>65</v>
      </c>
      <c r="AO259" s="20" t="s">
        <v>141</v>
      </c>
      <c r="AP259" s="20" t="s">
        <v>84</v>
      </c>
      <c r="AQ259" s="20" t="s">
        <v>100</v>
      </c>
    </row>
    <row r="260" spans="1:43" ht="16">
      <c r="A260" s="20">
        <v>6611018841</v>
      </c>
      <c r="B260" s="21">
        <v>1009041</v>
      </c>
      <c r="C260" s="20" t="s">
        <v>1454</v>
      </c>
      <c r="D260" s="20" t="s">
        <v>358</v>
      </c>
      <c r="E260" s="20" t="s">
        <v>1455</v>
      </c>
      <c r="F260" s="20" t="s">
        <v>47</v>
      </c>
      <c r="G260" s="20" t="s">
        <v>47</v>
      </c>
      <c r="H260" s="20" t="s">
        <v>48</v>
      </c>
      <c r="I260" s="20" t="s">
        <v>47</v>
      </c>
      <c r="J260" s="22" t="s">
        <v>1456</v>
      </c>
      <c r="K260" s="22" t="s">
        <v>1456</v>
      </c>
      <c r="L260" s="23" t="s">
        <v>1448</v>
      </c>
      <c r="M260" s="24" t="s">
        <v>7745</v>
      </c>
      <c r="N260" s="23">
        <v>18082000</v>
      </c>
      <c r="O260" s="25" t="s">
        <v>126</v>
      </c>
      <c r="P260" s="25" t="s">
        <v>53</v>
      </c>
      <c r="Q260" s="20" t="s">
        <v>1457</v>
      </c>
      <c r="R260" s="20">
        <v>11595663</v>
      </c>
      <c r="S260" s="25" t="s">
        <v>1458</v>
      </c>
      <c r="T260" s="26" t="s">
        <v>57</v>
      </c>
      <c r="U260" s="23">
        <v>860900062337159</v>
      </c>
      <c r="V260" s="27" t="s">
        <v>57</v>
      </c>
      <c r="W260" s="20" t="s">
        <v>58</v>
      </c>
      <c r="X260" s="20" t="s">
        <v>59</v>
      </c>
      <c r="Y260" s="20" t="s">
        <v>59</v>
      </c>
      <c r="Z260" s="20" t="s">
        <v>60</v>
      </c>
      <c r="AA260" s="20" t="s">
        <v>61</v>
      </c>
      <c r="AB260" s="20" t="s">
        <v>96</v>
      </c>
      <c r="AC260" s="28">
        <v>369.83</v>
      </c>
      <c r="AD260" s="28">
        <f>SUM(BASE[[#This Row],[MONTO DE RENTA ]]*1.16)</f>
        <v>429.00279999999998</v>
      </c>
      <c r="AE260" s="28" t="s">
        <v>63</v>
      </c>
      <c r="AF260" s="28">
        <v>369.82758620689657</v>
      </c>
      <c r="AG260" s="28">
        <v>429</v>
      </c>
      <c r="AH260" s="22" t="s">
        <v>64</v>
      </c>
      <c r="AI260" s="63">
        <v>45703</v>
      </c>
      <c r="AJ260" s="63">
        <v>46433</v>
      </c>
      <c r="AK2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0" s="30"/>
      <c r="AN260" s="20" t="s">
        <v>65</v>
      </c>
      <c r="AO260" s="20" t="s">
        <v>141</v>
      </c>
      <c r="AP260" s="20" t="s">
        <v>84</v>
      </c>
      <c r="AQ260" s="20" t="s">
        <v>100</v>
      </c>
    </row>
    <row r="261" spans="1:43" ht="16">
      <c r="A261" s="20">
        <v>6611080221</v>
      </c>
      <c r="B261" s="21">
        <v>1011057</v>
      </c>
      <c r="C261" s="20" t="s">
        <v>1459</v>
      </c>
      <c r="D261" s="20" t="s">
        <v>186</v>
      </c>
      <c r="E261" s="20" t="s">
        <v>657</v>
      </c>
      <c r="F261" s="20" t="s">
        <v>451</v>
      </c>
      <c r="G261" s="20" t="s">
        <v>248</v>
      </c>
      <c r="H261" s="20" t="s">
        <v>48</v>
      </c>
      <c r="I261" s="20" t="s">
        <v>451</v>
      </c>
      <c r="J261" s="22" t="s">
        <v>1460</v>
      </c>
      <c r="K261" s="22" t="s">
        <v>1460</v>
      </c>
      <c r="L261" s="23" t="s">
        <v>1448</v>
      </c>
      <c r="M261" s="24" t="s">
        <v>7745</v>
      </c>
      <c r="N261" s="23">
        <v>18082000</v>
      </c>
      <c r="O261" s="25" t="s">
        <v>126</v>
      </c>
      <c r="P261" s="25" t="s">
        <v>53</v>
      </c>
      <c r="Q261" s="20" t="s">
        <v>1461</v>
      </c>
      <c r="R261" s="20">
        <v>11587065</v>
      </c>
      <c r="S261" s="25" t="s">
        <v>1462</v>
      </c>
      <c r="T261" s="26" t="s">
        <v>57</v>
      </c>
      <c r="U261" s="23">
        <v>860900062337928</v>
      </c>
      <c r="V261" s="27" t="s">
        <v>57</v>
      </c>
      <c r="W261" s="20" t="s">
        <v>58</v>
      </c>
      <c r="X261" s="20" t="s">
        <v>59</v>
      </c>
      <c r="Y261" s="20" t="s">
        <v>59</v>
      </c>
      <c r="Z261" s="20" t="s">
        <v>60</v>
      </c>
      <c r="AA261" s="20" t="s">
        <v>61</v>
      </c>
      <c r="AB261" s="20" t="s">
        <v>96</v>
      </c>
      <c r="AC261" s="28">
        <v>369.83</v>
      </c>
      <c r="AD261" s="28">
        <f>SUM(BASE[[#This Row],[MONTO DE RENTA ]]*1.16)</f>
        <v>429.00279999999998</v>
      </c>
      <c r="AE261" s="28" t="s">
        <v>63</v>
      </c>
      <c r="AF261" s="28">
        <v>369.82758620689657</v>
      </c>
      <c r="AG261" s="28">
        <v>429</v>
      </c>
      <c r="AH261" s="22" t="s">
        <v>64</v>
      </c>
      <c r="AI261" s="63">
        <v>45703</v>
      </c>
      <c r="AJ261" s="63">
        <v>46433</v>
      </c>
      <c r="AK2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1" s="30"/>
      <c r="AN261" s="20" t="s">
        <v>65</v>
      </c>
      <c r="AO261" s="20" t="s">
        <v>141</v>
      </c>
      <c r="AP261" s="20" t="s">
        <v>84</v>
      </c>
      <c r="AQ261" s="20" t="s">
        <v>100</v>
      </c>
    </row>
    <row r="262" spans="1:43" ht="16">
      <c r="A262" s="20">
        <v>6611068903</v>
      </c>
      <c r="B262" s="21">
        <v>60938</v>
      </c>
      <c r="C262" s="20" t="s">
        <v>742</v>
      </c>
      <c r="D262" s="20" t="s">
        <v>1463</v>
      </c>
      <c r="E262" s="20" t="s">
        <v>358</v>
      </c>
      <c r="F262" s="20" t="s">
        <v>257</v>
      </c>
      <c r="G262" s="20" t="s">
        <v>257</v>
      </c>
      <c r="H262" s="20" t="s">
        <v>48</v>
      </c>
      <c r="I262" s="20" t="s">
        <v>257</v>
      </c>
      <c r="J262" s="22" t="s">
        <v>1464</v>
      </c>
      <c r="K262" s="22" t="s">
        <v>1464</v>
      </c>
      <c r="L262" s="23" t="s">
        <v>1448</v>
      </c>
      <c r="M262" s="24" t="s">
        <v>7745</v>
      </c>
      <c r="N262" s="23">
        <v>18082000</v>
      </c>
      <c r="O262" s="25" t="s">
        <v>126</v>
      </c>
      <c r="P262" s="25" t="s">
        <v>53</v>
      </c>
      <c r="Q262" s="20" t="s">
        <v>1465</v>
      </c>
      <c r="R262" s="20">
        <v>11591817</v>
      </c>
      <c r="S262" s="25" t="s">
        <v>1466</v>
      </c>
      <c r="T262" s="26" t="s">
        <v>57</v>
      </c>
      <c r="U262" s="23">
        <v>860478064863241</v>
      </c>
      <c r="V262" s="45" t="s">
        <v>110</v>
      </c>
      <c r="W262" s="20" t="s">
        <v>302</v>
      </c>
      <c r="X262" s="20" t="s">
        <v>303</v>
      </c>
      <c r="Y262" s="20" t="s">
        <v>303</v>
      </c>
      <c r="Z262" s="20" t="s">
        <v>80</v>
      </c>
      <c r="AA262" s="20" t="s">
        <v>81</v>
      </c>
      <c r="AB262" s="20" t="s">
        <v>82</v>
      </c>
      <c r="AC262" s="28">
        <v>559.48</v>
      </c>
      <c r="AD262" s="28">
        <f>SUM(BASE[[#This Row],[MONTO DE RENTA ]]*1.16)</f>
        <v>648.99680000000001</v>
      </c>
      <c r="AE262" s="28" t="s">
        <v>83</v>
      </c>
      <c r="AF262" s="28">
        <v>559.48275862068965</v>
      </c>
      <c r="AG262" s="28">
        <v>649</v>
      </c>
      <c r="AH262" s="22" t="s">
        <v>64</v>
      </c>
      <c r="AI262" s="63">
        <v>45703</v>
      </c>
      <c r="AJ262" s="63">
        <v>46433</v>
      </c>
      <c r="AK2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2" s="30"/>
      <c r="AN262" s="20" t="s">
        <v>65</v>
      </c>
      <c r="AP262" s="20" t="s">
        <v>84</v>
      </c>
    </row>
    <row r="263" spans="1:43" ht="16">
      <c r="A263" s="20">
        <v>6611080641</v>
      </c>
      <c r="B263" s="21">
        <v>825094</v>
      </c>
      <c r="C263" s="20" t="s">
        <v>1467</v>
      </c>
      <c r="D263" s="20" t="s">
        <v>1468</v>
      </c>
      <c r="E263" s="20" t="s">
        <v>476</v>
      </c>
      <c r="F263" s="20" t="s">
        <v>104</v>
      </c>
      <c r="G263" s="20" t="s">
        <v>104</v>
      </c>
      <c r="H263" s="20" t="s">
        <v>48</v>
      </c>
      <c r="I263" s="20" t="s">
        <v>104</v>
      </c>
      <c r="J263" s="32" t="s">
        <v>1469</v>
      </c>
      <c r="K263" s="32" t="s">
        <v>1469</v>
      </c>
      <c r="L263" s="23" t="s">
        <v>1448</v>
      </c>
      <c r="M263" s="24" t="s">
        <v>7745</v>
      </c>
      <c r="N263" s="23">
        <v>18082000</v>
      </c>
      <c r="O263" s="25" t="s">
        <v>126</v>
      </c>
      <c r="P263" s="25" t="s">
        <v>53</v>
      </c>
      <c r="Q263" s="20" t="s">
        <v>1470</v>
      </c>
      <c r="R263" s="20">
        <v>11591818</v>
      </c>
      <c r="S263" s="25" t="s">
        <v>1471</v>
      </c>
      <c r="T263" s="26" t="s">
        <v>57</v>
      </c>
      <c r="U263" s="23">
        <v>860478064863159</v>
      </c>
      <c r="V263" s="45" t="s">
        <v>110</v>
      </c>
      <c r="W263" s="20" t="s">
        <v>302</v>
      </c>
      <c r="X263" s="20" t="s">
        <v>303</v>
      </c>
      <c r="Y263" s="20" t="s">
        <v>303</v>
      </c>
      <c r="Z263" s="20" t="s">
        <v>80</v>
      </c>
      <c r="AA263" s="20" t="s">
        <v>81</v>
      </c>
      <c r="AB263" s="20" t="s">
        <v>82</v>
      </c>
      <c r="AC263" s="28">
        <v>559.48</v>
      </c>
      <c r="AD263" s="28">
        <f>SUM(BASE[[#This Row],[MONTO DE RENTA ]]*1.16)</f>
        <v>648.99680000000001</v>
      </c>
      <c r="AE263" s="28" t="s">
        <v>83</v>
      </c>
      <c r="AF263" s="28">
        <v>559.48275862068965</v>
      </c>
      <c r="AG263" s="28">
        <v>649</v>
      </c>
      <c r="AH263" s="22" t="s">
        <v>64</v>
      </c>
      <c r="AI263" s="63">
        <v>45703</v>
      </c>
      <c r="AJ263" s="63">
        <v>46433</v>
      </c>
      <c r="AK2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3" s="30"/>
      <c r="AN263" s="20" t="s">
        <v>65</v>
      </c>
      <c r="AP263" s="20" t="s">
        <v>84</v>
      </c>
    </row>
    <row r="264" spans="1:43" ht="16">
      <c r="A264" s="20">
        <v>6611259402</v>
      </c>
      <c r="B264" s="49">
        <v>825085</v>
      </c>
      <c r="C264" s="20" t="s">
        <v>1472</v>
      </c>
      <c r="D264" s="20" t="s">
        <v>702</v>
      </c>
      <c r="E264" s="20" t="s">
        <v>216</v>
      </c>
      <c r="F264" s="20" t="s">
        <v>122</v>
      </c>
      <c r="G264" s="20" t="s">
        <v>122</v>
      </c>
      <c r="H264" s="20" t="s">
        <v>48</v>
      </c>
      <c r="I264" s="20" t="s">
        <v>122</v>
      </c>
      <c r="J264" s="22" t="s">
        <v>1473</v>
      </c>
      <c r="K264" s="22" t="s">
        <v>1473</v>
      </c>
      <c r="L264" s="23" t="s">
        <v>1448</v>
      </c>
      <c r="M264" s="24" t="s">
        <v>7745</v>
      </c>
      <c r="N264" s="23">
        <v>18082000</v>
      </c>
      <c r="O264" s="25" t="s">
        <v>126</v>
      </c>
      <c r="P264" s="25" t="s">
        <v>53</v>
      </c>
      <c r="Q264" s="20" t="s">
        <v>1474</v>
      </c>
      <c r="R264" s="20">
        <v>11794933</v>
      </c>
      <c r="S264" s="25" t="s">
        <v>55</v>
      </c>
      <c r="T264" s="26" t="s">
        <v>56</v>
      </c>
      <c r="U264" s="23">
        <v>865356065668378</v>
      </c>
      <c r="V264" s="27" t="s">
        <v>183</v>
      </c>
      <c r="W264" s="20" t="s">
        <v>129</v>
      </c>
      <c r="X264" s="20" t="s">
        <v>130</v>
      </c>
      <c r="Y264" s="20" t="s">
        <v>130</v>
      </c>
      <c r="Z264" s="20" t="s">
        <v>60</v>
      </c>
      <c r="AA264" s="20" t="s">
        <v>61</v>
      </c>
      <c r="AB264" s="20" t="s">
        <v>96</v>
      </c>
      <c r="AC264" s="28">
        <v>369.83</v>
      </c>
      <c r="AD264" s="28">
        <f>SUM(BASE[[#This Row],[MONTO DE RENTA ]]*1.16)</f>
        <v>429.00279999999998</v>
      </c>
      <c r="AE264" s="28" t="s">
        <v>63</v>
      </c>
      <c r="AF264" s="28">
        <v>369.82758620689657</v>
      </c>
      <c r="AG264" s="28">
        <v>429</v>
      </c>
      <c r="AH264" s="36" t="s">
        <v>64</v>
      </c>
      <c r="AI264" s="84">
        <v>45323</v>
      </c>
      <c r="AJ264" s="84">
        <v>46054</v>
      </c>
      <c r="AK26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64" s="30"/>
      <c r="AN264" s="20" t="s">
        <v>99</v>
      </c>
      <c r="AP264" s="20" t="s">
        <v>84</v>
      </c>
      <c r="AQ264" s="20" t="s">
        <v>100</v>
      </c>
    </row>
    <row r="265" spans="1:43" ht="16">
      <c r="A265" s="20">
        <v>6611170150</v>
      </c>
      <c r="B265" s="21">
        <v>825264</v>
      </c>
      <c r="C265" s="20" t="s">
        <v>1475</v>
      </c>
      <c r="D265" s="20" t="s">
        <v>172</v>
      </c>
      <c r="E265" s="20" t="s">
        <v>598</v>
      </c>
      <c r="F265" s="20" t="s">
        <v>104</v>
      </c>
      <c r="G265" s="20" t="s">
        <v>104</v>
      </c>
      <c r="H265" s="20" t="s">
        <v>48</v>
      </c>
      <c r="I265" s="20" t="s">
        <v>104</v>
      </c>
      <c r="J265" s="32" t="s">
        <v>1476</v>
      </c>
      <c r="K265" s="22" t="s">
        <v>1476</v>
      </c>
      <c r="L265" s="23" t="s">
        <v>1448</v>
      </c>
      <c r="M265" s="24" t="s">
        <v>7745</v>
      </c>
      <c r="N265" s="23">
        <v>18082000</v>
      </c>
      <c r="O265" s="25" t="s">
        <v>126</v>
      </c>
      <c r="P265" s="25" t="s">
        <v>53</v>
      </c>
      <c r="Q265" s="20" t="s">
        <v>1477</v>
      </c>
      <c r="R265" s="20">
        <v>12372964</v>
      </c>
      <c r="S265" s="25" t="s">
        <v>1478</v>
      </c>
      <c r="T265" s="26" t="s">
        <v>57</v>
      </c>
      <c r="U265" s="23">
        <v>860478063821877</v>
      </c>
      <c r="V265" s="45" t="s">
        <v>110</v>
      </c>
      <c r="W265" s="20" t="s">
        <v>302</v>
      </c>
      <c r="X265" s="20" t="s">
        <v>303</v>
      </c>
      <c r="Y265" s="20" t="s">
        <v>303</v>
      </c>
      <c r="Z265" s="20" t="s">
        <v>60</v>
      </c>
      <c r="AA265" s="20" t="s">
        <v>61</v>
      </c>
      <c r="AB265" s="20" t="s">
        <v>96</v>
      </c>
      <c r="AC265" s="28">
        <v>369.83</v>
      </c>
      <c r="AD265" s="28">
        <f>SUM(BASE[[#This Row],[MONTO DE RENTA ]]*1.16)</f>
        <v>429.00279999999998</v>
      </c>
      <c r="AE265" s="28" t="s">
        <v>97</v>
      </c>
      <c r="AF265" s="28">
        <v>473.27586206896552</v>
      </c>
      <c r="AG265" s="28">
        <v>549</v>
      </c>
      <c r="AH265" s="22" t="s">
        <v>64</v>
      </c>
      <c r="AI265" s="63">
        <v>45703</v>
      </c>
      <c r="AJ265" s="63">
        <v>46433</v>
      </c>
      <c r="AK2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5" s="30"/>
      <c r="AN265" s="20" t="s">
        <v>65</v>
      </c>
      <c r="AP265" s="20" t="s">
        <v>66</v>
      </c>
    </row>
    <row r="266" spans="1:43" ht="16">
      <c r="A266" s="20">
        <v>9211681437</v>
      </c>
      <c r="B266" s="21">
        <v>855043</v>
      </c>
      <c r="C266" s="20" t="s">
        <v>1479</v>
      </c>
      <c r="D266" s="20" t="s">
        <v>172</v>
      </c>
      <c r="E266" s="20" t="s">
        <v>1480</v>
      </c>
      <c r="F266" s="20" t="s">
        <v>509</v>
      </c>
      <c r="G266" s="20" t="s">
        <v>47</v>
      </c>
      <c r="H266" s="20" t="s">
        <v>48</v>
      </c>
      <c r="I266" s="20" t="s">
        <v>509</v>
      </c>
      <c r="J266" s="22" t="s">
        <v>1481</v>
      </c>
      <c r="K266" s="22" t="s">
        <v>1481</v>
      </c>
      <c r="L266" s="23" t="s">
        <v>1482</v>
      </c>
      <c r="M266" s="24" t="s">
        <v>7751</v>
      </c>
      <c r="N266" s="23">
        <v>18861000</v>
      </c>
      <c r="O266" s="25" t="s">
        <v>828</v>
      </c>
      <c r="P266" s="25" t="s">
        <v>53</v>
      </c>
      <c r="Q266" s="20" t="s">
        <v>1483</v>
      </c>
      <c r="R266" s="20">
        <v>73085112</v>
      </c>
      <c r="S266" s="25" t="s">
        <v>1484</v>
      </c>
      <c r="T266" s="26" t="s">
        <v>57</v>
      </c>
      <c r="U266" s="23">
        <v>860900062256508</v>
      </c>
      <c r="V266" s="27" t="s">
        <v>57</v>
      </c>
      <c r="W266" s="20" t="s">
        <v>58</v>
      </c>
      <c r="X266" s="20" t="s">
        <v>59</v>
      </c>
      <c r="Y266" s="20" t="s">
        <v>59</v>
      </c>
      <c r="Z266" s="20" t="s">
        <v>80</v>
      </c>
      <c r="AA266" s="20" t="s">
        <v>81</v>
      </c>
      <c r="AB266" s="20" t="s">
        <v>96</v>
      </c>
      <c r="AC266" s="28">
        <v>369.83</v>
      </c>
      <c r="AD266" s="28">
        <f>SUM(BASE[[#This Row],[MONTO DE RENTA ]]*1.16)</f>
        <v>429.00279999999998</v>
      </c>
      <c r="AE266" s="28" t="s">
        <v>63</v>
      </c>
      <c r="AF266" s="28">
        <v>369.82758620689657</v>
      </c>
      <c r="AG266" s="28">
        <v>429</v>
      </c>
      <c r="AH266" s="22" t="s">
        <v>64</v>
      </c>
      <c r="AI266" s="63">
        <v>45703</v>
      </c>
      <c r="AJ266" s="63">
        <v>46433</v>
      </c>
      <c r="AK2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6" s="30"/>
      <c r="AN266" s="20" t="s">
        <v>65</v>
      </c>
      <c r="AO266" s="20" t="s">
        <v>141</v>
      </c>
      <c r="AP266" s="20" t="s">
        <v>84</v>
      </c>
      <c r="AQ266" s="20" t="s">
        <v>100</v>
      </c>
    </row>
    <row r="267" spans="1:43" ht="16">
      <c r="A267" s="20">
        <v>6611165683</v>
      </c>
      <c r="B267" s="178">
        <v>1053402</v>
      </c>
      <c r="C267" s="20" t="s">
        <v>1485</v>
      </c>
      <c r="D267" s="20" t="s">
        <v>405</v>
      </c>
      <c r="E267" s="20" t="s">
        <v>1221</v>
      </c>
      <c r="F267" s="20" t="s">
        <v>122</v>
      </c>
      <c r="G267" s="20" t="s">
        <v>122</v>
      </c>
      <c r="H267" s="20" t="s">
        <v>48</v>
      </c>
      <c r="I267" s="20" t="s">
        <v>122</v>
      </c>
      <c r="J267" s="54" t="s">
        <v>1486</v>
      </c>
      <c r="K267" s="54" t="s">
        <v>1486</v>
      </c>
      <c r="L267" s="23" t="s">
        <v>1448</v>
      </c>
      <c r="M267" s="24" t="s">
        <v>7745</v>
      </c>
      <c r="N267" s="23">
        <v>18082000</v>
      </c>
      <c r="O267" s="25" t="s">
        <v>126</v>
      </c>
      <c r="P267" s="25" t="s">
        <v>53</v>
      </c>
      <c r="Q267" s="20" t="s">
        <v>1487</v>
      </c>
      <c r="R267" s="20">
        <v>12309749</v>
      </c>
      <c r="S267" s="25" t="s">
        <v>55</v>
      </c>
      <c r="T267" s="44" t="s">
        <v>56</v>
      </c>
      <c r="U267" s="23">
        <v>865356065668378</v>
      </c>
      <c r="V267" s="27" t="s">
        <v>183</v>
      </c>
      <c r="W267" s="20" t="s">
        <v>129</v>
      </c>
      <c r="X267" s="20" t="s">
        <v>130</v>
      </c>
      <c r="Y267" s="20" t="s">
        <v>130</v>
      </c>
      <c r="Z267" s="20" t="s">
        <v>60</v>
      </c>
      <c r="AA267" s="20" t="s">
        <v>61</v>
      </c>
      <c r="AB267" s="20" t="s">
        <v>96</v>
      </c>
      <c r="AC267" s="28">
        <v>369.83</v>
      </c>
      <c r="AD267" s="28">
        <f>SUM(BASE[[#This Row],[MONTO DE RENTA ]]*1.16)</f>
        <v>429.00279999999998</v>
      </c>
      <c r="AE267" s="28" t="s">
        <v>63</v>
      </c>
      <c r="AF267" s="28">
        <v>369.82758620689657</v>
      </c>
      <c r="AG267" s="28">
        <v>429</v>
      </c>
      <c r="AH267" s="36" t="s">
        <v>64</v>
      </c>
      <c r="AI267" s="84">
        <v>45323</v>
      </c>
      <c r="AJ267" s="84">
        <v>46054</v>
      </c>
      <c r="AK2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67" s="30"/>
      <c r="AN267" s="20" t="s">
        <v>99</v>
      </c>
      <c r="AP267" s="20" t="s">
        <v>84</v>
      </c>
      <c r="AQ267" s="20" t="s">
        <v>100</v>
      </c>
    </row>
    <row r="268" spans="1:43" ht="16">
      <c r="A268" s="20">
        <v>6611196517</v>
      </c>
      <c r="B268" s="49">
        <v>60002</v>
      </c>
      <c r="C268" s="20" t="s">
        <v>43</v>
      </c>
      <c r="D268" s="20" t="s">
        <v>1488</v>
      </c>
      <c r="E268" s="20" t="s">
        <v>1432</v>
      </c>
      <c r="F268" s="20" t="s">
        <v>70</v>
      </c>
      <c r="G268" s="20" t="s">
        <v>70</v>
      </c>
      <c r="H268" s="20" t="s">
        <v>48</v>
      </c>
      <c r="I268" s="20" t="s">
        <v>70</v>
      </c>
      <c r="J268" s="32" t="s">
        <v>1489</v>
      </c>
      <c r="K268" s="32" t="s">
        <v>1489</v>
      </c>
      <c r="L268" s="23" t="s">
        <v>1448</v>
      </c>
      <c r="M268" s="24" t="s">
        <v>7745</v>
      </c>
      <c r="N268" s="23">
        <v>18082000</v>
      </c>
      <c r="O268" s="25" t="s">
        <v>126</v>
      </c>
      <c r="P268" s="25" t="s">
        <v>53</v>
      </c>
      <c r="Q268" s="20" t="s">
        <v>1490</v>
      </c>
      <c r="R268" s="20">
        <v>11492259</v>
      </c>
      <c r="S268" s="25" t="s">
        <v>55</v>
      </c>
      <c r="T268" s="26" t="s">
        <v>56</v>
      </c>
      <c r="U268" s="23">
        <v>357654177516633</v>
      </c>
      <c r="V268" s="27" t="s">
        <v>78</v>
      </c>
      <c r="W268" s="20" t="s">
        <v>95</v>
      </c>
      <c r="X268" s="20" t="s">
        <v>95</v>
      </c>
      <c r="Y268" s="20" t="s">
        <v>95</v>
      </c>
      <c r="Z268" s="20" t="s">
        <v>60</v>
      </c>
      <c r="AA268" s="20" t="s">
        <v>61</v>
      </c>
      <c r="AB268" s="20" t="s">
        <v>82</v>
      </c>
      <c r="AC268" s="28">
        <v>559.48</v>
      </c>
      <c r="AD268" s="28">
        <f>SUM(BASE[[#This Row],[MONTO DE RENTA ]]*1.16)</f>
        <v>648.99680000000001</v>
      </c>
      <c r="AE268" s="28" t="s">
        <v>83</v>
      </c>
      <c r="AF268" s="28">
        <v>559.48275862068965</v>
      </c>
      <c r="AG268" s="28">
        <v>649</v>
      </c>
      <c r="AI268" s="63">
        <v>44937</v>
      </c>
      <c r="AJ268" s="73">
        <v>46043</v>
      </c>
      <c r="AK2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68" s="30"/>
      <c r="AN268" s="20" t="s">
        <v>99</v>
      </c>
      <c r="AP268" s="20" t="s">
        <v>84</v>
      </c>
      <c r="AQ268" s="20" t="s">
        <v>100</v>
      </c>
    </row>
    <row r="269" spans="1:43" ht="16">
      <c r="A269" s="20">
        <v>9211600315</v>
      </c>
      <c r="B269" s="21">
        <v>855043</v>
      </c>
      <c r="C269" s="20" t="s">
        <v>1479</v>
      </c>
      <c r="D269" s="20" t="s">
        <v>172</v>
      </c>
      <c r="E269" s="20" t="s">
        <v>1480</v>
      </c>
      <c r="F269" s="20" t="s">
        <v>509</v>
      </c>
      <c r="G269" s="20" t="s">
        <v>248</v>
      </c>
      <c r="H269" s="20" t="s">
        <v>48</v>
      </c>
      <c r="I269" s="20" t="s">
        <v>509</v>
      </c>
      <c r="J269" s="22" t="s">
        <v>1491</v>
      </c>
      <c r="K269" s="22" t="s">
        <v>1491</v>
      </c>
      <c r="L269" s="23" t="s">
        <v>1482</v>
      </c>
      <c r="M269" s="24" t="s">
        <v>7751</v>
      </c>
      <c r="N269" s="23">
        <v>18861000</v>
      </c>
      <c r="O269" s="25" t="s">
        <v>828</v>
      </c>
      <c r="P269" s="25" t="s">
        <v>53</v>
      </c>
      <c r="Q269" s="20" t="s">
        <v>1492</v>
      </c>
      <c r="R269" s="20">
        <v>73065665</v>
      </c>
      <c r="S269" s="25" t="s">
        <v>1493</v>
      </c>
      <c r="T269" s="26" t="s">
        <v>57</v>
      </c>
      <c r="U269" s="23">
        <v>860900062256466</v>
      </c>
      <c r="V269" s="27" t="s">
        <v>57</v>
      </c>
      <c r="W269" s="20" t="s">
        <v>58</v>
      </c>
      <c r="X269" s="20" t="s">
        <v>59</v>
      </c>
      <c r="Y269" s="20" t="s">
        <v>59</v>
      </c>
      <c r="Z269" s="20" t="s">
        <v>80</v>
      </c>
      <c r="AA269" s="20" t="s">
        <v>81</v>
      </c>
      <c r="AB269" s="20" t="s">
        <v>96</v>
      </c>
      <c r="AC269" s="28">
        <v>369.83</v>
      </c>
      <c r="AD269" s="28">
        <f>SUM(BASE[[#This Row],[MONTO DE RENTA ]]*1.16)</f>
        <v>429.00279999999998</v>
      </c>
      <c r="AE269" s="28" t="s">
        <v>63</v>
      </c>
      <c r="AF269" s="28">
        <v>369.82758620689657</v>
      </c>
      <c r="AG269" s="28">
        <v>429</v>
      </c>
      <c r="AH269" s="22" t="s">
        <v>64</v>
      </c>
      <c r="AI269" s="63">
        <v>45703</v>
      </c>
      <c r="AJ269" s="63">
        <v>46433</v>
      </c>
      <c r="AK2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69" s="30"/>
      <c r="AN269" s="20" t="s">
        <v>65</v>
      </c>
      <c r="AP269" s="20" t="s">
        <v>84</v>
      </c>
    </row>
    <row r="270" spans="1:43" ht="16">
      <c r="A270" s="20">
        <v>9211672507</v>
      </c>
      <c r="B270" s="21">
        <v>855177</v>
      </c>
      <c r="C270" s="20" t="s">
        <v>1494</v>
      </c>
      <c r="D270" s="20" t="s">
        <v>1495</v>
      </c>
      <c r="E270" s="20" t="s">
        <v>477</v>
      </c>
      <c r="F270" s="20" t="s">
        <v>104</v>
      </c>
      <c r="G270" s="20" t="s">
        <v>104</v>
      </c>
      <c r="H270" s="20" t="s">
        <v>48</v>
      </c>
      <c r="I270" s="20" t="s">
        <v>104</v>
      </c>
      <c r="J270" s="32" t="s">
        <v>1496</v>
      </c>
      <c r="K270" s="32" t="s">
        <v>1496</v>
      </c>
      <c r="L270" s="91" t="s">
        <v>1482</v>
      </c>
      <c r="M270" s="24" t="s">
        <v>7751</v>
      </c>
      <c r="N270" s="23">
        <v>18085000</v>
      </c>
      <c r="O270" s="25" t="s">
        <v>828</v>
      </c>
      <c r="P270" s="25" t="s">
        <v>53</v>
      </c>
      <c r="Q270" s="20" t="s">
        <v>1497</v>
      </c>
      <c r="R270" s="20">
        <v>73076102</v>
      </c>
      <c r="S270" s="25" t="s">
        <v>1498</v>
      </c>
      <c r="T270" s="26" t="s">
        <v>57</v>
      </c>
      <c r="U270" s="23">
        <v>860478064845255</v>
      </c>
      <c r="V270" s="45" t="s">
        <v>110</v>
      </c>
      <c r="W270" s="20" t="s">
        <v>302</v>
      </c>
      <c r="X270" s="20" t="s">
        <v>303</v>
      </c>
      <c r="Y270" s="20" t="s">
        <v>303</v>
      </c>
      <c r="Z270" s="20" t="s">
        <v>80</v>
      </c>
      <c r="AA270" s="20" t="s">
        <v>81</v>
      </c>
      <c r="AB270" s="20" t="s">
        <v>82</v>
      </c>
      <c r="AC270" s="28">
        <v>559.48</v>
      </c>
      <c r="AD270" s="28">
        <f>SUM(BASE[[#This Row],[MONTO DE RENTA ]]*1.16)</f>
        <v>648.99680000000001</v>
      </c>
      <c r="AE270" s="28" t="s">
        <v>83</v>
      </c>
      <c r="AF270" s="28">
        <v>559.48275862068965</v>
      </c>
      <c r="AG270" s="28">
        <v>649</v>
      </c>
      <c r="AH270" s="22" t="s">
        <v>64</v>
      </c>
      <c r="AI270" s="63">
        <v>45713</v>
      </c>
      <c r="AJ270" s="63">
        <v>46433</v>
      </c>
      <c r="AK2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0" s="30"/>
      <c r="AN270" s="20" t="s">
        <v>65</v>
      </c>
      <c r="AP270" s="20" t="s">
        <v>84</v>
      </c>
    </row>
    <row r="271" spans="1:43" ht="16">
      <c r="A271" s="20">
        <v>9211671817</v>
      </c>
      <c r="B271" s="21">
        <v>735055</v>
      </c>
      <c r="C271" s="20" t="s">
        <v>1499</v>
      </c>
      <c r="D271" s="20" t="s">
        <v>537</v>
      </c>
      <c r="E271" s="20" t="s">
        <v>340</v>
      </c>
      <c r="F271" s="20" t="s">
        <v>257</v>
      </c>
      <c r="G271" s="20" t="s">
        <v>257</v>
      </c>
      <c r="H271" s="20" t="s">
        <v>48</v>
      </c>
      <c r="I271" s="20" t="s">
        <v>257</v>
      </c>
      <c r="J271" s="22" t="s">
        <v>1500</v>
      </c>
      <c r="K271" s="22" t="s">
        <v>1500</v>
      </c>
      <c r="L271" s="23" t="s">
        <v>1482</v>
      </c>
      <c r="M271" s="24" t="s">
        <v>7751</v>
      </c>
      <c r="N271" s="23">
        <v>18085000</v>
      </c>
      <c r="O271" s="25" t="s">
        <v>828</v>
      </c>
      <c r="P271" s="25" t="s">
        <v>53</v>
      </c>
      <c r="Q271" s="20" t="s">
        <v>1501</v>
      </c>
      <c r="R271" s="20">
        <v>73076101</v>
      </c>
      <c r="S271" s="25" t="s">
        <v>1502</v>
      </c>
      <c r="T271" s="26" t="s">
        <v>57</v>
      </c>
      <c r="U271" s="23">
        <v>860478064862078</v>
      </c>
      <c r="V271" s="45" t="s">
        <v>110</v>
      </c>
      <c r="W271" s="20" t="s">
        <v>302</v>
      </c>
      <c r="X271" s="20" t="s">
        <v>303</v>
      </c>
      <c r="Y271" s="20" t="s">
        <v>303</v>
      </c>
      <c r="Z271" s="20" t="s">
        <v>80</v>
      </c>
      <c r="AA271" s="20" t="s">
        <v>81</v>
      </c>
      <c r="AB271" s="20" t="s">
        <v>82</v>
      </c>
      <c r="AC271" s="28">
        <v>559.48</v>
      </c>
      <c r="AD271" s="28">
        <f>SUM(BASE[[#This Row],[MONTO DE RENTA ]]*1.16)</f>
        <v>648.99680000000001</v>
      </c>
      <c r="AE271" s="28" t="s">
        <v>83</v>
      </c>
      <c r="AF271" s="28">
        <v>559.48275862068965</v>
      </c>
      <c r="AG271" s="28">
        <v>649</v>
      </c>
      <c r="AH271" s="22" t="s">
        <v>64</v>
      </c>
      <c r="AI271" s="63">
        <v>45713</v>
      </c>
      <c r="AJ271" s="63">
        <v>46433</v>
      </c>
      <c r="AK2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1" s="30"/>
      <c r="AN271" s="20" t="s">
        <v>65</v>
      </c>
      <c r="AP271" s="20" t="s">
        <v>84</v>
      </c>
    </row>
    <row r="272" spans="1:43" ht="16">
      <c r="A272" s="20">
        <v>9211681303</v>
      </c>
      <c r="B272" s="21">
        <v>855177</v>
      </c>
      <c r="C272" s="20" t="s">
        <v>1494</v>
      </c>
      <c r="D272" s="20" t="s">
        <v>1495</v>
      </c>
      <c r="E272" s="20" t="s">
        <v>477</v>
      </c>
      <c r="F272" s="20" t="s">
        <v>104</v>
      </c>
      <c r="G272" s="20" t="s">
        <v>104</v>
      </c>
      <c r="H272" s="20" t="s">
        <v>48</v>
      </c>
      <c r="I272" s="20" t="s">
        <v>104</v>
      </c>
      <c r="J272" s="32" t="s">
        <v>1503</v>
      </c>
      <c r="K272" s="32" t="s">
        <v>1503</v>
      </c>
      <c r="L272" s="23" t="s">
        <v>1482</v>
      </c>
      <c r="M272" s="24" t="s">
        <v>7751</v>
      </c>
      <c r="N272" s="23">
        <v>18085000</v>
      </c>
      <c r="O272" s="25" t="s">
        <v>828</v>
      </c>
      <c r="P272" s="25" t="s">
        <v>53</v>
      </c>
      <c r="Q272" s="20" t="s">
        <v>1504</v>
      </c>
      <c r="R272" s="20">
        <v>73076109</v>
      </c>
      <c r="S272" s="25" t="s">
        <v>1505</v>
      </c>
      <c r="T272" s="26" t="s">
        <v>57</v>
      </c>
      <c r="U272" s="23">
        <v>860478064845230</v>
      </c>
      <c r="V272" s="45" t="s">
        <v>110</v>
      </c>
      <c r="W272" s="20" t="s">
        <v>302</v>
      </c>
      <c r="X272" s="20" t="s">
        <v>303</v>
      </c>
      <c r="Y272" s="20" t="s">
        <v>303</v>
      </c>
      <c r="Z272" s="20" t="s">
        <v>80</v>
      </c>
      <c r="AA272" s="20" t="s">
        <v>81</v>
      </c>
      <c r="AB272" s="20" t="s">
        <v>82</v>
      </c>
      <c r="AC272" s="28">
        <v>559.48</v>
      </c>
      <c r="AD272" s="28">
        <f>SUM(BASE[[#This Row],[MONTO DE RENTA ]]*1.16)</f>
        <v>648.99680000000001</v>
      </c>
      <c r="AE272" s="28" t="s">
        <v>83</v>
      </c>
      <c r="AF272" s="28">
        <v>559.48275862068965</v>
      </c>
      <c r="AG272" s="28">
        <v>649</v>
      </c>
      <c r="AH272" s="22" t="s">
        <v>64</v>
      </c>
      <c r="AI272" s="63">
        <v>45713</v>
      </c>
      <c r="AJ272" s="63">
        <v>46433</v>
      </c>
      <c r="AK2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2" s="30"/>
      <c r="AN272" s="20" t="s">
        <v>65</v>
      </c>
      <c r="AP272" s="20" t="s">
        <v>84</v>
      </c>
    </row>
    <row r="273" spans="1:43" ht="16">
      <c r="A273" s="20">
        <v>4422810433</v>
      </c>
      <c r="B273" s="21">
        <v>1002413</v>
      </c>
      <c r="C273" s="20" t="s">
        <v>1506</v>
      </c>
      <c r="D273" s="20" t="s">
        <v>281</v>
      </c>
      <c r="E273" s="20" t="s">
        <v>45</v>
      </c>
      <c r="F273" s="20" t="s">
        <v>1004</v>
      </c>
      <c r="G273" s="20" t="s">
        <v>47</v>
      </c>
      <c r="H273" s="20" t="s">
        <v>48</v>
      </c>
      <c r="I273" s="20" t="s">
        <v>1004</v>
      </c>
      <c r="J273" s="32" t="s">
        <v>1507</v>
      </c>
      <c r="K273" s="22" t="s">
        <v>1507</v>
      </c>
      <c r="L273" s="23" t="s">
        <v>1508</v>
      </c>
      <c r="M273" s="24" t="s">
        <v>7742</v>
      </c>
      <c r="N273" s="23">
        <v>18088000</v>
      </c>
      <c r="O273" s="25" t="s">
        <v>93</v>
      </c>
      <c r="P273" s="25" t="s">
        <v>53</v>
      </c>
      <c r="Q273" s="20" t="s">
        <v>1509</v>
      </c>
      <c r="R273" s="20">
        <v>63447123</v>
      </c>
      <c r="S273" s="25" t="s">
        <v>1510</v>
      </c>
      <c r="T273" s="26" t="s">
        <v>57</v>
      </c>
      <c r="U273" s="23">
        <v>860900062336359</v>
      </c>
      <c r="V273" s="27" t="s">
        <v>57</v>
      </c>
      <c r="W273" s="20" t="s">
        <v>58</v>
      </c>
      <c r="X273" s="20" t="s">
        <v>59</v>
      </c>
      <c r="Y273" s="20" t="s">
        <v>59</v>
      </c>
      <c r="Z273" s="20" t="s">
        <v>131</v>
      </c>
      <c r="AA273" s="20" t="s">
        <v>132</v>
      </c>
      <c r="AB273" s="20" t="s">
        <v>96</v>
      </c>
      <c r="AC273" s="28">
        <v>369.83</v>
      </c>
      <c r="AD273" s="28">
        <f>SUM(BASE[[#This Row],[MONTO DE RENTA ]]*1.16)</f>
        <v>429.00279999999998</v>
      </c>
      <c r="AE273" s="28" t="s">
        <v>63</v>
      </c>
      <c r="AF273" s="28">
        <v>369.82758620689657</v>
      </c>
      <c r="AG273" s="28">
        <v>429</v>
      </c>
      <c r="AH273" s="22" t="s">
        <v>64</v>
      </c>
      <c r="AI273" s="63">
        <v>45703</v>
      </c>
      <c r="AJ273" s="63">
        <v>46433</v>
      </c>
      <c r="AK2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3" s="30"/>
      <c r="AN273" s="20" t="s">
        <v>65</v>
      </c>
      <c r="AP273" s="20" t="s">
        <v>84</v>
      </c>
    </row>
    <row r="274" spans="1:43" ht="16">
      <c r="A274" s="20">
        <v>9211672756</v>
      </c>
      <c r="B274" s="21">
        <v>855301</v>
      </c>
      <c r="C274" s="20" t="s">
        <v>1511</v>
      </c>
      <c r="D274" s="20" t="s">
        <v>172</v>
      </c>
      <c r="E274" s="20" t="s">
        <v>1277</v>
      </c>
      <c r="F274" s="20" t="s">
        <v>104</v>
      </c>
      <c r="G274" s="20" t="s">
        <v>104</v>
      </c>
      <c r="H274" s="20" t="s">
        <v>48</v>
      </c>
      <c r="I274" s="20" t="s">
        <v>104</v>
      </c>
      <c r="J274" s="32" t="s">
        <v>1512</v>
      </c>
      <c r="K274" s="32" t="s">
        <v>1512</v>
      </c>
      <c r="L274" s="23" t="s">
        <v>1482</v>
      </c>
      <c r="M274" s="24" t="s">
        <v>7751</v>
      </c>
      <c r="N274" s="23">
        <v>18085000</v>
      </c>
      <c r="O274" s="25" t="s">
        <v>828</v>
      </c>
      <c r="P274" s="25" t="s">
        <v>53</v>
      </c>
      <c r="Q274" s="20" t="s">
        <v>1513</v>
      </c>
      <c r="R274" s="20">
        <v>73076105</v>
      </c>
      <c r="S274" s="25" t="s">
        <v>1514</v>
      </c>
      <c r="T274" s="26" t="s">
        <v>57</v>
      </c>
      <c r="U274" s="23">
        <v>860478064952184</v>
      </c>
      <c r="V274" s="45" t="s">
        <v>110</v>
      </c>
      <c r="W274" s="20" t="s">
        <v>302</v>
      </c>
      <c r="X274" s="20" t="s">
        <v>303</v>
      </c>
      <c r="Y274" s="20" t="s">
        <v>303</v>
      </c>
      <c r="Z274" s="20" t="s">
        <v>80</v>
      </c>
      <c r="AA274" s="20" t="s">
        <v>81</v>
      </c>
      <c r="AB274" s="20" t="s">
        <v>82</v>
      </c>
      <c r="AC274" s="28">
        <v>559.48</v>
      </c>
      <c r="AD274" s="28">
        <f>SUM(BASE[[#This Row],[MONTO DE RENTA ]]*1.16)</f>
        <v>648.99680000000001</v>
      </c>
      <c r="AE274" s="28" t="s">
        <v>83</v>
      </c>
      <c r="AF274" s="28">
        <v>559.48275862068965</v>
      </c>
      <c r="AG274" s="28">
        <v>649</v>
      </c>
      <c r="AH274" s="22" t="s">
        <v>64</v>
      </c>
      <c r="AI274" s="63">
        <v>45713</v>
      </c>
      <c r="AJ274" s="63">
        <v>46433</v>
      </c>
      <c r="AK2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4" s="30"/>
      <c r="AN274" s="20" t="s">
        <v>65</v>
      </c>
      <c r="AP274" s="20" t="s">
        <v>84</v>
      </c>
    </row>
    <row r="275" spans="1:43" ht="16">
      <c r="A275" s="20">
        <v>9211098744</v>
      </c>
      <c r="B275" s="21">
        <v>855171</v>
      </c>
      <c r="C275" s="20" t="s">
        <v>1515</v>
      </c>
      <c r="D275" s="20" t="s">
        <v>1516</v>
      </c>
      <c r="E275" s="20" t="s">
        <v>1517</v>
      </c>
      <c r="F275" s="20" t="s">
        <v>122</v>
      </c>
      <c r="G275" s="20" t="s">
        <v>122</v>
      </c>
      <c r="H275" s="20" t="s">
        <v>48</v>
      </c>
      <c r="I275" s="20" t="s">
        <v>122</v>
      </c>
      <c r="J275" s="181" t="s">
        <v>1518</v>
      </c>
      <c r="K275" s="22" t="s">
        <v>1519</v>
      </c>
      <c r="L275" s="23" t="s">
        <v>1482</v>
      </c>
      <c r="M275" s="24" t="s">
        <v>7751</v>
      </c>
      <c r="N275" s="23">
        <v>18085000</v>
      </c>
      <c r="O275" s="25" t="s">
        <v>828</v>
      </c>
      <c r="P275" s="25" t="s">
        <v>53</v>
      </c>
      <c r="Q275" s="20" t="s">
        <v>1520</v>
      </c>
      <c r="R275" s="20">
        <v>73516151</v>
      </c>
      <c r="S275" s="25" t="s">
        <v>55</v>
      </c>
      <c r="T275" s="26" t="s">
        <v>56</v>
      </c>
      <c r="U275" s="23">
        <v>865356065688509</v>
      </c>
      <c r="V275" s="27" t="s">
        <v>183</v>
      </c>
      <c r="W275" s="20" t="s">
        <v>129</v>
      </c>
      <c r="X275" s="20" t="s">
        <v>130</v>
      </c>
      <c r="Y275" s="20" t="s">
        <v>130</v>
      </c>
      <c r="Z275" s="20" t="s">
        <v>60</v>
      </c>
      <c r="AA275" s="20" t="s">
        <v>61</v>
      </c>
      <c r="AB275" s="20" t="s">
        <v>96</v>
      </c>
      <c r="AC275" s="28">
        <v>369.83</v>
      </c>
      <c r="AD275" s="28">
        <f>SUM(BASE[[#This Row],[MONTO DE RENTA ]]*1.16)</f>
        <v>429.00279999999998</v>
      </c>
      <c r="AE275" s="28" t="s">
        <v>63</v>
      </c>
      <c r="AF275" s="28">
        <v>369.82758620689657</v>
      </c>
      <c r="AG275" s="28">
        <v>429</v>
      </c>
      <c r="AI275" s="63">
        <v>44937</v>
      </c>
      <c r="AJ275" s="73">
        <v>46043</v>
      </c>
      <c r="AK2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75" s="30"/>
      <c r="AN275" s="20" t="s">
        <v>99</v>
      </c>
      <c r="AP275" s="20" t="s">
        <v>84</v>
      </c>
      <c r="AQ275" s="20" t="s">
        <v>100</v>
      </c>
    </row>
    <row r="276" spans="1:43" ht="16">
      <c r="A276" s="20">
        <v>9211132863</v>
      </c>
      <c r="B276" s="49">
        <v>680043</v>
      </c>
      <c r="C276" s="20" t="s">
        <v>1521</v>
      </c>
      <c r="D276" s="20" t="s">
        <v>143</v>
      </c>
      <c r="E276" s="20" t="s">
        <v>462</v>
      </c>
      <c r="F276" s="20" t="s">
        <v>70</v>
      </c>
      <c r="G276" s="20" t="s">
        <v>70</v>
      </c>
      <c r="H276" s="20" t="s">
        <v>48</v>
      </c>
      <c r="I276" s="20" t="s">
        <v>70</v>
      </c>
      <c r="J276" s="22" t="s">
        <v>1522</v>
      </c>
      <c r="K276" s="22" t="s">
        <v>1522</v>
      </c>
      <c r="L276" s="23" t="s">
        <v>1482</v>
      </c>
      <c r="M276" s="24" t="s">
        <v>7751</v>
      </c>
      <c r="N276" s="23">
        <v>18085000</v>
      </c>
      <c r="O276" s="25" t="s">
        <v>828</v>
      </c>
      <c r="P276" s="25" t="s">
        <v>53</v>
      </c>
      <c r="Q276" s="20" t="s">
        <v>1523</v>
      </c>
      <c r="R276" s="20">
        <v>72922679</v>
      </c>
      <c r="S276" s="25" t="s">
        <v>55</v>
      </c>
      <c r="T276" s="26" t="s">
        <v>56</v>
      </c>
      <c r="U276" s="23">
        <v>357654178378652</v>
      </c>
      <c r="V276" s="27" t="s">
        <v>78</v>
      </c>
      <c r="W276" s="20" t="s">
        <v>95</v>
      </c>
      <c r="X276" s="20" t="s">
        <v>95</v>
      </c>
      <c r="Y276" s="20" t="s">
        <v>95</v>
      </c>
      <c r="Z276" s="20" t="s">
        <v>60</v>
      </c>
      <c r="AA276" s="20" t="s">
        <v>61</v>
      </c>
      <c r="AB276" s="20" t="s">
        <v>82</v>
      </c>
      <c r="AC276" s="28">
        <v>559.48</v>
      </c>
      <c r="AD276" s="28">
        <f>SUM(BASE[[#This Row],[MONTO DE RENTA ]]*1.16)</f>
        <v>648.99680000000001</v>
      </c>
      <c r="AE276" s="28" t="s">
        <v>83</v>
      </c>
      <c r="AF276" s="28">
        <v>559.48275862068965</v>
      </c>
      <c r="AG276" s="28">
        <v>649</v>
      </c>
      <c r="AI276" s="63">
        <v>44937</v>
      </c>
      <c r="AJ276" s="73">
        <v>46043</v>
      </c>
      <c r="AK2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76" s="30"/>
      <c r="AN276" s="20" t="s">
        <v>99</v>
      </c>
      <c r="AP276" s="20" t="s">
        <v>84</v>
      </c>
      <c r="AQ276" s="20" t="s">
        <v>100</v>
      </c>
    </row>
    <row r="277" spans="1:43" ht="16">
      <c r="A277" s="20">
        <v>7224539157</v>
      </c>
      <c r="B277" s="21">
        <v>1002073</v>
      </c>
      <c r="C277" s="20" t="s">
        <v>936</v>
      </c>
      <c r="D277" s="20" t="s">
        <v>652</v>
      </c>
      <c r="E277" s="20" t="s">
        <v>1524</v>
      </c>
      <c r="F277" s="20" t="s">
        <v>1525</v>
      </c>
      <c r="G277" s="20" t="s">
        <v>47</v>
      </c>
      <c r="H277" s="20" t="s">
        <v>48</v>
      </c>
      <c r="I277" s="20" t="s">
        <v>1525</v>
      </c>
      <c r="J277" s="22" t="s">
        <v>1526</v>
      </c>
      <c r="K277" s="22" t="s">
        <v>1526</v>
      </c>
      <c r="L277" s="23" t="s">
        <v>1527</v>
      </c>
      <c r="M277" s="24" t="s">
        <v>7741</v>
      </c>
      <c r="N277" s="23">
        <v>18086000</v>
      </c>
      <c r="O277" s="25" t="s">
        <v>52</v>
      </c>
      <c r="P277" s="25" t="s">
        <v>53</v>
      </c>
      <c r="Q277" s="20" t="s">
        <v>1528</v>
      </c>
      <c r="R277" s="20">
        <v>90182568</v>
      </c>
      <c r="S277" s="25" t="s">
        <v>1529</v>
      </c>
      <c r="T277" s="26" t="s">
        <v>57</v>
      </c>
      <c r="U277" s="23">
        <v>860900062323167</v>
      </c>
      <c r="V277" s="27" t="s">
        <v>57</v>
      </c>
      <c r="W277" s="20" t="s">
        <v>58</v>
      </c>
      <c r="X277" s="20" t="s">
        <v>59</v>
      </c>
      <c r="Y277" s="20" t="s">
        <v>59</v>
      </c>
      <c r="Z277" s="20" t="s">
        <v>60</v>
      </c>
      <c r="AA277" s="20" t="s">
        <v>61</v>
      </c>
      <c r="AB277" s="20" t="s">
        <v>96</v>
      </c>
      <c r="AC277" s="28">
        <v>369.83</v>
      </c>
      <c r="AD277" s="28">
        <f>SUM(BASE[[#This Row],[MONTO DE RENTA ]]*1.16)</f>
        <v>429.00279999999998</v>
      </c>
      <c r="AE277" s="28" t="s">
        <v>63</v>
      </c>
      <c r="AF277" s="28">
        <v>369.82758620689657</v>
      </c>
      <c r="AG277" s="28">
        <v>429</v>
      </c>
      <c r="AH277" s="22" t="s">
        <v>64</v>
      </c>
      <c r="AI277" s="63">
        <v>45703</v>
      </c>
      <c r="AJ277" s="63">
        <v>46433</v>
      </c>
      <c r="AK2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7" s="30"/>
      <c r="AN277" s="20" t="s">
        <v>65</v>
      </c>
      <c r="AP277" s="20" t="s">
        <v>84</v>
      </c>
    </row>
    <row r="278" spans="1:43" ht="16">
      <c r="A278" s="20">
        <v>7224332952</v>
      </c>
      <c r="B278" s="21">
        <v>865017</v>
      </c>
      <c r="C278" s="20" t="s">
        <v>1530</v>
      </c>
      <c r="D278" s="20" t="s">
        <v>1531</v>
      </c>
      <c r="E278" s="20" t="s">
        <v>895</v>
      </c>
      <c r="F278" s="20" t="s">
        <v>248</v>
      </c>
      <c r="G278" s="20" t="s">
        <v>248</v>
      </c>
      <c r="H278" s="20" t="s">
        <v>48</v>
      </c>
      <c r="I278" s="20" t="s">
        <v>248</v>
      </c>
      <c r="J278" s="22" t="s">
        <v>1532</v>
      </c>
      <c r="K278" s="22" t="s">
        <v>1532</v>
      </c>
      <c r="L278" s="23" t="s">
        <v>1527</v>
      </c>
      <c r="M278" s="24" t="s">
        <v>7741</v>
      </c>
      <c r="N278" s="23">
        <v>18086000</v>
      </c>
      <c r="O278" s="25" t="s">
        <v>52</v>
      </c>
      <c r="P278" s="25" t="s">
        <v>53</v>
      </c>
      <c r="Q278" s="20" t="s">
        <v>1533</v>
      </c>
      <c r="R278" s="20">
        <v>90136572</v>
      </c>
      <c r="S278" s="25" t="s">
        <v>1534</v>
      </c>
      <c r="T278" s="26" t="s">
        <v>57</v>
      </c>
      <c r="U278" s="23">
        <v>860900062323100</v>
      </c>
      <c r="V278" s="27" t="s">
        <v>57</v>
      </c>
      <c r="W278" s="20" t="s">
        <v>58</v>
      </c>
      <c r="X278" s="20" t="s">
        <v>59</v>
      </c>
      <c r="Y278" s="20" t="s">
        <v>59</v>
      </c>
      <c r="Z278" s="20" t="s">
        <v>60</v>
      </c>
      <c r="AA278" s="20" t="s">
        <v>61</v>
      </c>
      <c r="AB278" s="20" t="s">
        <v>96</v>
      </c>
      <c r="AC278" s="28">
        <v>369.83</v>
      </c>
      <c r="AD278" s="28">
        <f>SUM(BASE[[#This Row],[MONTO DE RENTA ]]*1.16)</f>
        <v>429.00279999999998</v>
      </c>
      <c r="AE278" s="28" t="s">
        <v>63</v>
      </c>
      <c r="AF278" s="28">
        <v>369.82758620689657</v>
      </c>
      <c r="AG278" s="28">
        <v>429</v>
      </c>
      <c r="AH278" s="22" t="s">
        <v>64</v>
      </c>
      <c r="AI278" s="63">
        <v>45703</v>
      </c>
      <c r="AJ278" s="63">
        <v>46433</v>
      </c>
      <c r="AK2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8" s="30"/>
      <c r="AN278" s="20" t="s">
        <v>65</v>
      </c>
      <c r="AP278" s="20" t="s">
        <v>84</v>
      </c>
    </row>
    <row r="279" spans="1:43" ht="16">
      <c r="A279" s="20">
        <v>7224539710</v>
      </c>
      <c r="B279" s="21">
        <v>880506</v>
      </c>
      <c r="C279" s="20" t="s">
        <v>1535</v>
      </c>
      <c r="D279" s="20" t="s">
        <v>1536</v>
      </c>
      <c r="E279" s="20" t="s">
        <v>1537</v>
      </c>
      <c r="F279" s="20" t="s">
        <v>257</v>
      </c>
      <c r="G279" s="20" t="s">
        <v>257</v>
      </c>
      <c r="H279" s="20" t="s">
        <v>48</v>
      </c>
      <c r="I279" s="20" t="s">
        <v>257</v>
      </c>
      <c r="J279" s="22" t="s">
        <v>1538</v>
      </c>
      <c r="K279" s="22" t="s">
        <v>1538</v>
      </c>
      <c r="L279" s="91" t="s">
        <v>1527</v>
      </c>
      <c r="M279" s="24" t="s">
        <v>7741</v>
      </c>
      <c r="N279" s="23">
        <v>18086000</v>
      </c>
      <c r="O279" s="25" t="s">
        <v>52</v>
      </c>
      <c r="P279" s="25" t="s">
        <v>53</v>
      </c>
      <c r="Q279" s="20" t="s">
        <v>1539</v>
      </c>
      <c r="R279" s="20">
        <v>90069604</v>
      </c>
      <c r="S279" s="25" t="s">
        <v>1540</v>
      </c>
      <c r="T279" s="26" t="s">
        <v>57</v>
      </c>
      <c r="U279" s="23">
        <v>860478062099343</v>
      </c>
      <c r="V279" s="45" t="s">
        <v>110</v>
      </c>
      <c r="W279" s="20" t="s">
        <v>302</v>
      </c>
      <c r="X279" s="20" t="s">
        <v>303</v>
      </c>
      <c r="Y279" s="20" t="s">
        <v>303</v>
      </c>
      <c r="Z279" s="20" t="s">
        <v>131</v>
      </c>
      <c r="AA279" s="20" t="s">
        <v>132</v>
      </c>
      <c r="AB279" s="20" t="s">
        <v>82</v>
      </c>
      <c r="AC279" s="28">
        <v>559.48</v>
      </c>
      <c r="AD279" s="28">
        <f>SUM(BASE[[#This Row],[MONTO DE RENTA ]]*1.16)</f>
        <v>648.99680000000001</v>
      </c>
      <c r="AE279" s="28" t="s">
        <v>83</v>
      </c>
      <c r="AF279" s="28">
        <v>559.48275862068965</v>
      </c>
      <c r="AG279" s="28">
        <v>649</v>
      </c>
      <c r="AH279" s="22" t="s">
        <v>64</v>
      </c>
      <c r="AI279" s="63">
        <v>45703</v>
      </c>
      <c r="AJ279" s="63">
        <v>46433</v>
      </c>
      <c r="AK2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79" s="30"/>
      <c r="AN279" s="20" t="s">
        <v>65</v>
      </c>
      <c r="AP279" s="20" t="s">
        <v>84</v>
      </c>
    </row>
    <row r="280" spans="1:43" ht="16">
      <c r="A280" s="20">
        <v>7224539458</v>
      </c>
      <c r="B280" s="21">
        <v>1049734</v>
      </c>
      <c r="C280" s="20" t="s">
        <v>1541</v>
      </c>
      <c r="D280" s="20" t="s">
        <v>818</v>
      </c>
      <c r="E280" s="20" t="s">
        <v>598</v>
      </c>
      <c r="F280" s="20" t="s">
        <v>104</v>
      </c>
      <c r="G280" s="20" t="s">
        <v>104</v>
      </c>
      <c r="H280" s="20" t="s">
        <v>48</v>
      </c>
      <c r="I280" s="20" t="s">
        <v>104</v>
      </c>
      <c r="J280" s="32" t="s">
        <v>1542</v>
      </c>
      <c r="K280" s="32" t="s">
        <v>1542</v>
      </c>
      <c r="L280" s="23" t="s">
        <v>1527</v>
      </c>
      <c r="M280" s="24" t="s">
        <v>7741</v>
      </c>
      <c r="N280" s="23">
        <v>18086000</v>
      </c>
      <c r="O280" s="25" t="s">
        <v>52</v>
      </c>
      <c r="P280" s="25" t="s">
        <v>53</v>
      </c>
      <c r="Q280" s="20" t="s">
        <v>1543</v>
      </c>
      <c r="R280" s="20">
        <v>90069602</v>
      </c>
      <c r="S280" s="25" t="s">
        <v>1544</v>
      </c>
      <c r="T280" s="26" t="s">
        <v>57</v>
      </c>
      <c r="U280" s="23">
        <v>860478064067058</v>
      </c>
      <c r="V280" s="45" t="s">
        <v>110</v>
      </c>
      <c r="W280" s="20" t="s">
        <v>302</v>
      </c>
      <c r="X280" s="20" t="s">
        <v>303</v>
      </c>
      <c r="Y280" s="20" t="s">
        <v>303</v>
      </c>
      <c r="Z280" s="20" t="s">
        <v>131</v>
      </c>
      <c r="AA280" s="20" t="s">
        <v>132</v>
      </c>
      <c r="AB280" s="20" t="s">
        <v>82</v>
      </c>
      <c r="AC280" s="28">
        <v>559.48</v>
      </c>
      <c r="AD280" s="28">
        <f>SUM(BASE[[#This Row],[MONTO DE RENTA ]]*1.16)</f>
        <v>648.99680000000001</v>
      </c>
      <c r="AE280" s="28" t="s">
        <v>83</v>
      </c>
      <c r="AF280" s="28">
        <v>559.48275862068965</v>
      </c>
      <c r="AG280" s="28">
        <v>649</v>
      </c>
      <c r="AH280" s="22" t="s">
        <v>64</v>
      </c>
      <c r="AI280" s="63">
        <v>45703</v>
      </c>
      <c r="AJ280" s="63">
        <v>46433</v>
      </c>
      <c r="AK2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80" s="30"/>
      <c r="AN280" s="20" t="s">
        <v>65</v>
      </c>
      <c r="AP280" s="20" t="s">
        <v>84</v>
      </c>
    </row>
    <row r="281" spans="1:43" ht="16">
      <c r="A281" s="20">
        <v>7224539711</v>
      </c>
      <c r="B281" s="21">
        <v>1039390</v>
      </c>
      <c r="C281" s="20" t="s">
        <v>1545</v>
      </c>
      <c r="D281" s="20" t="s">
        <v>1182</v>
      </c>
      <c r="E281" s="20" t="s">
        <v>1546</v>
      </c>
      <c r="F281" s="20" t="s">
        <v>104</v>
      </c>
      <c r="G281" s="20" t="s">
        <v>104</v>
      </c>
      <c r="H281" s="20" t="s">
        <v>48</v>
      </c>
      <c r="I281" s="20" t="s">
        <v>104</v>
      </c>
      <c r="J281" s="32" t="s">
        <v>1547</v>
      </c>
      <c r="K281" s="32" t="s">
        <v>1547</v>
      </c>
      <c r="L281" s="91" t="s">
        <v>1527</v>
      </c>
      <c r="M281" s="24" t="s">
        <v>7741</v>
      </c>
      <c r="N281" s="23">
        <v>18086000</v>
      </c>
      <c r="O281" s="25" t="s">
        <v>52</v>
      </c>
      <c r="P281" s="25" t="s">
        <v>53</v>
      </c>
      <c r="Q281" s="20" t="s">
        <v>1548</v>
      </c>
      <c r="R281" s="20">
        <v>90069607</v>
      </c>
      <c r="S281" s="25" t="s">
        <v>1549</v>
      </c>
      <c r="T281" s="26" t="s">
        <v>57</v>
      </c>
      <c r="U281" s="23">
        <v>860478062099384</v>
      </c>
      <c r="V281" s="45" t="s">
        <v>110</v>
      </c>
      <c r="W281" s="20" t="s">
        <v>302</v>
      </c>
      <c r="X281" s="20" t="s">
        <v>303</v>
      </c>
      <c r="Y281" s="20" t="s">
        <v>303</v>
      </c>
      <c r="Z281" s="20" t="s">
        <v>131</v>
      </c>
      <c r="AA281" s="20" t="s">
        <v>132</v>
      </c>
      <c r="AB281" s="20" t="s">
        <v>82</v>
      </c>
      <c r="AC281" s="28">
        <v>559.48</v>
      </c>
      <c r="AD281" s="28">
        <f>SUM(BASE[[#This Row],[MONTO DE RENTA ]]*1.16)</f>
        <v>648.99680000000001</v>
      </c>
      <c r="AE281" s="28" t="s">
        <v>83</v>
      </c>
      <c r="AF281" s="28">
        <v>559.48275862068965</v>
      </c>
      <c r="AG281" s="28">
        <v>649</v>
      </c>
      <c r="AH281" s="22" t="s">
        <v>64</v>
      </c>
      <c r="AI281" s="63">
        <v>45703</v>
      </c>
      <c r="AJ281" s="63">
        <v>46433</v>
      </c>
      <c r="AK2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81" s="30"/>
      <c r="AN281" s="20" t="s">
        <v>65</v>
      </c>
      <c r="AP281" s="20" t="s">
        <v>84</v>
      </c>
    </row>
    <row r="282" spans="1:43" s="34" customFormat="1" ht="16">
      <c r="A282" s="20">
        <v>7224745296</v>
      </c>
      <c r="B282" s="21">
        <v>1024885</v>
      </c>
      <c r="C282" s="20" t="s">
        <v>1550</v>
      </c>
      <c r="D282" s="20" t="s">
        <v>1551</v>
      </c>
      <c r="E282" s="20" t="s">
        <v>1552</v>
      </c>
      <c r="F282" s="20" t="s">
        <v>122</v>
      </c>
      <c r="G282" s="20" t="s">
        <v>122</v>
      </c>
      <c r="H282" s="20" t="s">
        <v>48</v>
      </c>
      <c r="I282" s="20" t="s">
        <v>122</v>
      </c>
      <c r="J282" s="22" t="s">
        <v>1553</v>
      </c>
      <c r="K282" s="22" t="s">
        <v>1553</v>
      </c>
      <c r="L282" s="23" t="s">
        <v>1527</v>
      </c>
      <c r="M282" s="24" t="s">
        <v>7741</v>
      </c>
      <c r="N282" s="23">
        <v>18086000</v>
      </c>
      <c r="O282" s="25" t="s">
        <v>52</v>
      </c>
      <c r="P282" s="25" t="s">
        <v>53</v>
      </c>
      <c r="Q282" s="20" t="s">
        <v>1554</v>
      </c>
      <c r="R282" s="20">
        <v>91882282</v>
      </c>
      <c r="S282" s="25" t="s">
        <v>1555</v>
      </c>
      <c r="T282" s="26" t="s">
        <v>57</v>
      </c>
      <c r="U282" s="23">
        <v>860900062323506</v>
      </c>
      <c r="V282" s="27" t="s">
        <v>57</v>
      </c>
      <c r="W282" s="20" t="s">
        <v>58</v>
      </c>
      <c r="X282" s="20" t="s">
        <v>59</v>
      </c>
      <c r="Y282" s="20" t="s">
        <v>59</v>
      </c>
      <c r="Z282" s="20" t="s">
        <v>60</v>
      </c>
      <c r="AA282" s="20" t="s">
        <v>61</v>
      </c>
      <c r="AB282" s="20" t="s">
        <v>96</v>
      </c>
      <c r="AC282" s="28">
        <v>369.83</v>
      </c>
      <c r="AD282" s="28">
        <f>SUM(BASE[[#This Row],[MONTO DE RENTA ]]*1.16)</f>
        <v>429.00279999999998</v>
      </c>
      <c r="AE282" s="28" t="s">
        <v>63</v>
      </c>
      <c r="AF282" s="28">
        <v>369.82758620689657</v>
      </c>
      <c r="AG282" s="28">
        <v>429</v>
      </c>
      <c r="AH282" s="22" t="s">
        <v>64</v>
      </c>
      <c r="AI282" s="63">
        <v>45703</v>
      </c>
      <c r="AJ282" s="63">
        <v>46433</v>
      </c>
      <c r="AK2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282" s="20"/>
      <c r="AM282" s="30"/>
      <c r="AN282" s="20" t="s">
        <v>65</v>
      </c>
      <c r="AO282" s="20"/>
      <c r="AP282" s="20" t="s">
        <v>84</v>
      </c>
      <c r="AQ282" s="20"/>
    </row>
    <row r="283" spans="1:43" ht="16">
      <c r="A283" s="20">
        <v>7223355089</v>
      </c>
      <c r="B283" s="49">
        <v>240070</v>
      </c>
      <c r="C283" s="20" t="s">
        <v>1556</v>
      </c>
      <c r="D283" s="20" t="s">
        <v>686</v>
      </c>
      <c r="E283" s="20" t="s">
        <v>1351</v>
      </c>
      <c r="F283" s="20" t="s">
        <v>70</v>
      </c>
      <c r="G283" s="20" t="s">
        <v>70</v>
      </c>
      <c r="H283" s="20" t="s">
        <v>48</v>
      </c>
      <c r="I283" s="20" t="s">
        <v>70</v>
      </c>
      <c r="J283" s="22" t="s">
        <v>1557</v>
      </c>
      <c r="K283" s="22" t="s">
        <v>1557</v>
      </c>
      <c r="L283" s="23" t="s">
        <v>1527</v>
      </c>
      <c r="M283" s="24" t="s">
        <v>7741</v>
      </c>
      <c r="N283" s="23">
        <v>18086000</v>
      </c>
      <c r="O283" s="25" t="s">
        <v>52</v>
      </c>
      <c r="P283" s="25" t="s">
        <v>53</v>
      </c>
      <c r="Q283" s="20" t="s">
        <v>1558</v>
      </c>
      <c r="R283" s="20">
        <v>9808565</v>
      </c>
      <c r="S283" s="25" t="s">
        <v>55</v>
      </c>
      <c r="T283" s="26" t="s">
        <v>56</v>
      </c>
      <c r="U283" s="23">
        <v>357654179869592</v>
      </c>
      <c r="V283" s="27" t="s">
        <v>78</v>
      </c>
      <c r="W283" s="20" t="s">
        <v>95</v>
      </c>
      <c r="X283" s="20" t="s">
        <v>95</v>
      </c>
      <c r="Y283" s="20" t="s">
        <v>95</v>
      </c>
      <c r="Z283" s="20" t="s">
        <v>60</v>
      </c>
      <c r="AA283" s="20" t="s">
        <v>61</v>
      </c>
      <c r="AB283" s="20" t="s">
        <v>82</v>
      </c>
      <c r="AC283" s="28">
        <v>559.48</v>
      </c>
      <c r="AD283" s="28">
        <f>SUM(BASE[[#This Row],[MONTO DE RENTA ]]*1.16)</f>
        <v>648.99680000000001</v>
      </c>
      <c r="AE283" s="28" t="s">
        <v>83</v>
      </c>
      <c r="AF283" s="28">
        <v>559.48275862068965</v>
      </c>
      <c r="AG283" s="28">
        <v>649</v>
      </c>
      <c r="AI283" s="63">
        <v>44937</v>
      </c>
      <c r="AJ283" s="73">
        <v>46043</v>
      </c>
      <c r="AK2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83" s="30"/>
      <c r="AN283" s="20" t="s">
        <v>99</v>
      </c>
      <c r="AP283" s="20" t="s">
        <v>84</v>
      </c>
      <c r="AQ283" s="20" t="s">
        <v>100</v>
      </c>
    </row>
    <row r="284" spans="1:43" ht="16">
      <c r="A284" s="20">
        <v>4421303295</v>
      </c>
      <c r="B284" s="21">
        <v>1002413</v>
      </c>
      <c r="C284" s="20" t="s">
        <v>1506</v>
      </c>
      <c r="D284" s="20" t="s">
        <v>281</v>
      </c>
      <c r="E284" s="20" t="s">
        <v>45</v>
      </c>
      <c r="F284" s="20" t="s">
        <v>1004</v>
      </c>
      <c r="G284" s="20" t="s">
        <v>47</v>
      </c>
      <c r="H284" s="20" t="s">
        <v>48</v>
      </c>
      <c r="I284" s="20" t="s">
        <v>1004</v>
      </c>
      <c r="J284" s="22" t="s">
        <v>1507</v>
      </c>
      <c r="K284" s="22" t="s">
        <v>1507</v>
      </c>
      <c r="L284" s="25" t="s">
        <v>1508</v>
      </c>
      <c r="M284" s="24" t="s">
        <v>7742</v>
      </c>
      <c r="N284" s="23">
        <v>18088000</v>
      </c>
      <c r="O284" s="25" t="s">
        <v>93</v>
      </c>
      <c r="P284" s="25" t="s">
        <v>53</v>
      </c>
      <c r="Q284" s="20" t="s">
        <v>1559</v>
      </c>
      <c r="R284" s="20">
        <v>62678006</v>
      </c>
      <c r="S284" s="25" t="s">
        <v>1560</v>
      </c>
      <c r="T284" s="26" t="s">
        <v>57</v>
      </c>
      <c r="U284" s="23">
        <v>860900062336359</v>
      </c>
      <c r="V284" s="27" t="s">
        <v>57</v>
      </c>
      <c r="W284" s="20" t="s">
        <v>58</v>
      </c>
      <c r="X284" s="20" t="s">
        <v>59</v>
      </c>
      <c r="Y284" s="20" t="s">
        <v>59</v>
      </c>
      <c r="Z284" s="20" t="s">
        <v>131</v>
      </c>
      <c r="AA284" s="20" t="s">
        <v>132</v>
      </c>
      <c r="AB284" s="20" t="s">
        <v>96</v>
      </c>
      <c r="AC284" s="28">
        <v>369.83</v>
      </c>
      <c r="AD284" s="28">
        <f>SUM(BASE[[#This Row],[MONTO DE RENTA ]]*1.16)</f>
        <v>429.00279999999998</v>
      </c>
      <c r="AE284" s="28" t="s">
        <v>63</v>
      </c>
      <c r="AF284" s="28">
        <v>369.82758620689657</v>
      </c>
      <c r="AG284" s="28">
        <v>429</v>
      </c>
      <c r="AH284" s="22" t="s">
        <v>448</v>
      </c>
      <c r="AI284" s="63">
        <v>45946</v>
      </c>
      <c r="AJ284" s="63">
        <v>46768</v>
      </c>
      <c r="AK284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284" s="30"/>
      <c r="AN284" s="20" t="s">
        <v>65</v>
      </c>
      <c r="AP284" s="20" t="s">
        <v>84</v>
      </c>
    </row>
    <row r="285" spans="1:43" ht="16">
      <c r="A285" s="20">
        <v>2461554222</v>
      </c>
      <c r="B285" s="21">
        <v>1001270</v>
      </c>
      <c r="C285" s="20" t="s">
        <v>1561</v>
      </c>
      <c r="D285" s="20" t="s">
        <v>1562</v>
      </c>
      <c r="E285" s="20" t="s">
        <v>292</v>
      </c>
      <c r="F285" s="20" t="s">
        <v>47</v>
      </c>
      <c r="G285" s="20" t="s">
        <v>104</v>
      </c>
      <c r="H285" s="20" t="s">
        <v>48</v>
      </c>
      <c r="I285" s="20" t="s">
        <v>47</v>
      </c>
      <c r="J285" s="22" t="s">
        <v>1563</v>
      </c>
      <c r="K285" s="22" t="s">
        <v>1563</v>
      </c>
      <c r="L285" s="23" t="s">
        <v>1564</v>
      </c>
      <c r="M285" s="24" t="s">
        <v>7753</v>
      </c>
      <c r="N285" s="23">
        <v>18698000</v>
      </c>
      <c r="O285" s="25" t="s">
        <v>828</v>
      </c>
      <c r="P285" s="25" t="s">
        <v>53</v>
      </c>
      <c r="Q285" s="20" t="s">
        <v>1565</v>
      </c>
      <c r="R285" s="20">
        <v>73076065</v>
      </c>
      <c r="S285" s="25" t="s">
        <v>1566</v>
      </c>
      <c r="T285" s="26" t="s">
        <v>57</v>
      </c>
      <c r="U285" s="23">
        <v>860478063557604</v>
      </c>
      <c r="V285" s="45" t="s">
        <v>110</v>
      </c>
      <c r="W285" s="20" t="s">
        <v>302</v>
      </c>
      <c r="X285" s="20" t="s">
        <v>303</v>
      </c>
      <c r="Y285" s="20" t="s">
        <v>303</v>
      </c>
      <c r="Z285" s="20" t="s">
        <v>80</v>
      </c>
      <c r="AA285" s="20" t="s">
        <v>81</v>
      </c>
      <c r="AB285" s="20" t="s">
        <v>82</v>
      </c>
      <c r="AC285" s="28">
        <v>559.48</v>
      </c>
      <c r="AD285" s="28">
        <f>SUM(BASE[[#This Row],[MONTO DE RENTA ]]*1.16)</f>
        <v>648.99680000000001</v>
      </c>
      <c r="AE285" s="28" t="s">
        <v>83</v>
      </c>
      <c r="AF285" s="28">
        <v>559.48275862068965</v>
      </c>
      <c r="AG285" s="28">
        <v>649</v>
      </c>
      <c r="AH285" s="22" t="s">
        <v>64</v>
      </c>
      <c r="AI285" s="63">
        <v>45703</v>
      </c>
      <c r="AJ285" s="63">
        <v>46433</v>
      </c>
      <c r="AK2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85" s="30"/>
      <c r="AN285" s="20" t="s">
        <v>65</v>
      </c>
      <c r="AP285" s="20" t="s">
        <v>84</v>
      </c>
    </row>
    <row r="286" spans="1:43" ht="16">
      <c r="A286" s="20">
        <v>4421783741</v>
      </c>
      <c r="B286" s="49">
        <v>885146</v>
      </c>
      <c r="C286" s="20" t="s">
        <v>1567</v>
      </c>
      <c r="D286" s="20" t="s">
        <v>1186</v>
      </c>
      <c r="E286" s="20" t="s">
        <v>1524</v>
      </c>
      <c r="F286" s="20" t="s">
        <v>1568</v>
      </c>
      <c r="G286" s="20" t="s">
        <v>1568</v>
      </c>
      <c r="H286" s="20" t="s">
        <v>48</v>
      </c>
      <c r="I286" s="20" t="s">
        <v>1568</v>
      </c>
      <c r="J286" s="22" t="s">
        <v>1569</v>
      </c>
      <c r="K286" s="22" t="s">
        <v>1569</v>
      </c>
      <c r="L286" s="23" t="s">
        <v>1508</v>
      </c>
      <c r="M286" s="24" t="s">
        <v>7742</v>
      </c>
      <c r="N286" s="23">
        <v>18088000</v>
      </c>
      <c r="O286" s="25" t="s">
        <v>93</v>
      </c>
      <c r="P286" s="25" t="s">
        <v>53</v>
      </c>
      <c r="Q286" s="20" t="s">
        <v>1570</v>
      </c>
      <c r="R286" s="20">
        <v>63155928</v>
      </c>
      <c r="S286" s="25" t="s">
        <v>55</v>
      </c>
      <c r="T286" s="26" t="s">
        <v>56</v>
      </c>
      <c r="U286" s="23">
        <v>865356065673253</v>
      </c>
      <c r="V286" s="27" t="s">
        <v>183</v>
      </c>
      <c r="W286" s="20" t="s">
        <v>129</v>
      </c>
      <c r="X286" s="20" t="s">
        <v>130</v>
      </c>
      <c r="Y286" s="20" t="s">
        <v>130</v>
      </c>
      <c r="Z286" s="20" t="s">
        <v>60</v>
      </c>
      <c r="AA286" s="20" t="s">
        <v>61</v>
      </c>
      <c r="AB286" s="20" t="s">
        <v>96</v>
      </c>
      <c r="AC286" s="28">
        <v>369.83</v>
      </c>
      <c r="AD286" s="28">
        <f>SUM(BASE[[#This Row],[MONTO DE RENTA ]]*1.16)</f>
        <v>429.00279999999998</v>
      </c>
      <c r="AE286" s="28" t="s">
        <v>63</v>
      </c>
      <c r="AF286" s="28">
        <v>369.82758620689657</v>
      </c>
      <c r="AG286" s="28">
        <v>429</v>
      </c>
      <c r="AI286" s="63">
        <v>44937</v>
      </c>
      <c r="AJ286" s="73">
        <v>46043</v>
      </c>
      <c r="AK28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86" s="30"/>
      <c r="AN286" s="20" t="s">
        <v>99</v>
      </c>
      <c r="AP286" s="20" t="s">
        <v>84</v>
      </c>
      <c r="AQ286" s="20" t="s">
        <v>100</v>
      </c>
    </row>
    <row r="287" spans="1:43" ht="16">
      <c r="A287" s="20">
        <v>4423723894</v>
      </c>
      <c r="B287" s="21">
        <v>360380</v>
      </c>
      <c r="C287" s="20" t="s">
        <v>1571</v>
      </c>
      <c r="D287" s="20" t="s">
        <v>1572</v>
      </c>
      <c r="E287" s="20" t="s">
        <v>657</v>
      </c>
      <c r="F287" s="20" t="s">
        <v>587</v>
      </c>
      <c r="G287" s="20" t="s">
        <v>248</v>
      </c>
      <c r="H287" s="20" t="s">
        <v>48</v>
      </c>
      <c r="I287" s="20" t="s">
        <v>587</v>
      </c>
      <c r="J287" s="22" t="s">
        <v>1573</v>
      </c>
      <c r="K287" s="22" t="s">
        <v>1573</v>
      </c>
      <c r="L287" s="23" t="s">
        <v>1508</v>
      </c>
      <c r="M287" s="24" t="s">
        <v>7742</v>
      </c>
      <c r="N287" s="23">
        <v>18088000</v>
      </c>
      <c r="O287" s="25" t="s">
        <v>93</v>
      </c>
      <c r="P287" s="25" t="s">
        <v>53</v>
      </c>
      <c r="Q287" s="20" t="s">
        <v>1574</v>
      </c>
      <c r="R287" s="20">
        <v>62116034</v>
      </c>
      <c r="S287" s="25" t="s">
        <v>1575</v>
      </c>
      <c r="T287" s="26" t="s">
        <v>57</v>
      </c>
      <c r="U287" s="23">
        <v>860900062258173</v>
      </c>
      <c r="V287" s="27" t="s">
        <v>57</v>
      </c>
      <c r="W287" s="20" t="s">
        <v>58</v>
      </c>
      <c r="X287" s="20" t="s">
        <v>59</v>
      </c>
      <c r="Y287" s="20" t="s">
        <v>59</v>
      </c>
      <c r="Z287" s="20" t="s">
        <v>131</v>
      </c>
      <c r="AA287" s="20" t="s">
        <v>132</v>
      </c>
      <c r="AB287" s="20" t="s">
        <v>96</v>
      </c>
      <c r="AC287" s="28">
        <v>369.83</v>
      </c>
      <c r="AD287" s="28">
        <f>SUM(BASE[[#This Row],[MONTO DE RENTA ]]*1.16)</f>
        <v>429.00279999999998</v>
      </c>
      <c r="AE287" s="28" t="s">
        <v>63</v>
      </c>
      <c r="AF287" s="28">
        <v>369.82758620689657</v>
      </c>
      <c r="AG287" s="28">
        <v>429</v>
      </c>
      <c r="AH287" s="22" t="s">
        <v>64</v>
      </c>
      <c r="AI287" s="63">
        <v>45703</v>
      </c>
      <c r="AJ287" s="63">
        <v>46433</v>
      </c>
      <c r="AK2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87" s="30"/>
      <c r="AN287" s="20" t="s">
        <v>65</v>
      </c>
      <c r="AP287" s="20" t="s">
        <v>84</v>
      </c>
    </row>
    <row r="288" spans="1:43" ht="16">
      <c r="A288" s="20">
        <v>4423724496</v>
      </c>
      <c r="B288" s="21">
        <v>1082157</v>
      </c>
      <c r="C288" s="20" t="s">
        <v>1576</v>
      </c>
      <c r="D288" s="20" t="s">
        <v>1186</v>
      </c>
      <c r="E288" s="20" t="s">
        <v>143</v>
      </c>
      <c r="F288" s="20" t="s">
        <v>104</v>
      </c>
      <c r="G288" s="20" t="s">
        <v>104</v>
      </c>
      <c r="H288" s="20" t="s">
        <v>48</v>
      </c>
      <c r="I288" s="20" t="s">
        <v>104</v>
      </c>
      <c r="J288" s="32" t="s">
        <v>1577</v>
      </c>
      <c r="K288" s="32" t="s">
        <v>1577</v>
      </c>
      <c r="L288" s="23" t="s">
        <v>1508</v>
      </c>
      <c r="M288" s="24" t="s">
        <v>7742</v>
      </c>
      <c r="N288" s="23">
        <v>18088000</v>
      </c>
      <c r="O288" s="25" t="s">
        <v>93</v>
      </c>
      <c r="P288" s="25" t="s">
        <v>53</v>
      </c>
      <c r="Q288" s="20" t="s">
        <v>1578</v>
      </c>
      <c r="R288" s="20">
        <v>62144748</v>
      </c>
      <c r="S288" s="25" t="s">
        <v>1579</v>
      </c>
      <c r="T288" s="26" t="s">
        <v>57</v>
      </c>
      <c r="U288" s="23">
        <v>860796063912713</v>
      </c>
      <c r="V288" s="45" t="s">
        <v>110</v>
      </c>
      <c r="W288" s="20" t="s">
        <v>353</v>
      </c>
      <c r="X288" s="20" t="s">
        <v>354</v>
      </c>
      <c r="Y288" s="20" t="s">
        <v>354</v>
      </c>
      <c r="Z288" s="20" t="s">
        <v>131</v>
      </c>
      <c r="AA288" s="20" t="s">
        <v>132</v>
      </c>
      <c r="AB288" s="20" t="s">
        <v>82</v>
      </c>
      <c r="AC288" s="28">
        <v>559.48</v>
      </c>
      <c r="AD288" s="28">
        <f>SUM(BASE[[#This Row],[MONTO DE RENTA ]]*1.16)</f>
        <v>648.99680000000001</v>
      </c>
      <c r="AE288" s="28" t="s">
        <v>83</v>
      </c>
      <c r="AF288" s="28">
        <v>559.48275862068965</v>
      </c>
      <c r="AG288" s="28">
        <v>649</v>
      </c>
      <c r="AI288" s="63">
        <v>44937</v>
      </c>
      <c r="AJ288" s="84">
        <v>46054</v>
      </c>
      <c r="AK2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88" s="30"/>
      <c r="AN288" s="20" t="s">
        <v>99</v>
      </c>
      <c r="AP288" s="20" t="s">
        <v>84</v>
      </c>
      <c r="AQ288" s="20" t="s">
        <v>100</v>
      </c>
    </row>
    <row r="289" spans="1:43" ht="16">
      <c r="A289" s="20">
        <v>4422666934</v>
      </c>
      <c r="B289" s="21">
        <v>50371</v>
      </c>
      <c r="C289" s="20" t="s">
        <v>1580</v>
      </c>
      <c r="D289" s="20" t="s">
        <v>1581</v>
      </c>
      <c r="E289" s="20" t="s">
        <v>1582</v>
      </c>
      <c r="F289" s="20" t="s">
        <v>257</v>
      </c>
      <c r="G289" s="20" t="s">
        <v>104</v>
      </c>
      <c r="H289" s="20" t="s">
        <v>48</v>
      </c>
      <c r="I289" s="20" t="s">
        <v>257</v>
      </c>
      <c r="J289" s="32" t="s">
        <v>1583</v>
      </c>
      <c r="K289" s="32" t="s">
        <v>1583</v>
      </c>
      <c r="L289" s="23" t="s">
        <v>1508</v>
      </c>
      <c r="M289" s="24" t="s">
        <v>7742</v>
      </c>
      <c r="N289" s="23">
        <v>18649000</v>
      </c>
      <c r="O289" s="25" t="s">
        <v>93</v>
      </c>
      <c r="P289" s="25" t="s">
        <v>53</v>
      </c>
      <c r="Q289" s="20" t="s">
        <v>1584</v>
      </c>
      <c r="R289" s="20">
        <v>62144683</v>
      </c>
      <c r="S289" s="25" t="s">
        <v>1585</v>
      </c>
      <c r="T289" s="26" t="s">
        <v>57</v>
      </c>
      <c r="U289" s="23">
        <v>860478063794322</v>
      </c>
      <c r="V289" s="45" t="s">
        <v>110</v>
      </c>
      <c r="W289" s="20" t="s">
        <v>302</v>
      </c>
      <c r="X289" s="20" t="s">
        <v>303</v>
      </c>
      <c r="Y289" s="20" t="s">
        <v>303</v>
      </c>
      <c r="Z289" s="20" t="s">
        <v>131</v>
      </c>
      <c r="AA289" s="20" t="s">
        <v>132</v>
      </c>
      <c r="AB289" s="20" t="s">
        <v>82</v>
      </c>
      <c r="AC289" s="28">
        <v>559.48</v>
      </c>
      <c r="AD289" s="28">
        <f>SUM(BASE[[#This Row],[MONTO DE RENTA ]]*1.16)</f>
        <v>648.99680000000001</v>
      </c>
      <c r="AE289" s="28" t="s">
        <v>83</v>
      </c>
      <c r="AF289" s="28">
        <v>559.48275862068965</v>
      </c>
      <c r="AG289" s="28">
        <v>649</v>
      </c>
      <c r="AH289" s="22" t="s">
        <v>64</v>
      </c>
      <c r="AI289" s="63">
        <v>45703</v>
      </c>
      <c r="AJ289" s="63">
        <v>46433</v>
      </c>
      <c r="AK2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89" s="30"/>
      <c r="AN289" s="20" t="s">
        <v>65</v>
      </c>
      <c r="AP289" s="20" t="s">
        <v>84</v>
      </c>
    </row>
    <row r="290" spans="1:43" ht="16">
      <c r="A290" s="20">
        <v>4423016836</v>
      </c>
      <c r="B290" s="21">
        <v>1042965</v>
      </c>
      <c r="C290" s="20" t="s">
        <v>1586</v>
      </c>
      <c r="D290" s="20" t="s">
        <v>1587</v>
      </c>
      <c r="E290" s="20" t="s">
        <v>1588</v>
      </c>
      <c r="F290" s="20" t="s">
        <v>104</v>
      </c>
      <c r="G290" s="20" t="s">
        <v>104</v>
      </c>
      <c r="H290" s="20" t="s">
        <v>48</v>
      </c>
      <c r="I290" s="20" t="s">
        <v>104</v>
      </c>
      <c r="J290" s="22" t="s">
        <v>1589</v>
      </c>
      <c r="K290" s="22" t="s">
        <v>1589</v>
      </c>
      <c r="L290" s="23" t="s">
        <v>1508</v>
      </c>
      <c r="M290" s="24" t="s">
        <v>7742</v>
      </c>
      <c r="N290" s="23">
        <v>18088000</v>
      </c>
      <c r="O290" s="25" t="s">
        <v>93</v>
      </c>
      <c r="P290" s="25" t="s">
        <v>53</v>
      </c>
      <c r="Q290" s="20" t="s">
        <v>1590</v>
      </c>
      <c r="R290" s="20">
        <v>62144718</v>
      </c>
      <c r="S290" s="25" t="s">
        <v>1591</v>
      </c>
      <c r="T290" s="26" t="s">
        <v>57</v>
      </c>
      <c r="U290" s="23">
        <v>860478063794363</v>
      </c>
      <c r="V290" s="45" t="s">
        <v>110</v>
      </c>
      <c r="W290" s="20" t="s">
        <v>302</v>
      </c>
      <c r="X290" s="20" t="s">
        <v>303</v>
      </c>
      <c r="Y290" s="20" t="s">
        <v>303</v>
      </c>
      <c r="Z290" s="20" t="s">
        <v>131</v>
      </c>
      <c r="AA290" s="20" t="s">
        <v>132</v>
      </c>
      <c r="AB290" s="20" t="s">
        <v>82</v>
      </c>
      <c r="AC290" s="28">
        <v>559.48</v>
      </c>
      <c r="AD290" s="28">
        <f>SUM(BASE[[#This Row],[MONTO DE RENTA ]]*1.16)</f>
        <v>648.99680000000001</v>
      </c>
      <c r="AE290" s="28" t="s">
        <v>83</v>
      </c>
      <c r="AF290" s="28">
        <v>559.48275862068965</v>
      </c>
      <c r="AG290" s="28">
        <v>649</v>
      </c>
      <c r="AH290" s="22" t="s">
        <v>64</v>
      </c>
      <c r="AI290" s="63">
        <v>45703</v>
      </c>
      <c r="AJ290" s="63">
        <v>46433</v>
      </c>
      <c r="AK2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0" s="30"/>
      <c r="AN290" s="20" t="s">
        <v>65</v>
      </c>
      <c r="AP290" s="20" t="s">
        <v>84</v>
      </c>
    </row>
    <row r="291" spans="1:43" ht="16">
      <c r="A291" s="20">
        <v>4423059939</v>
      </c>
      <c r="B291" s="49">
        <v>885203</v>
      </c>
      <c r="C291" s="20" t="s">
        <v>1592</v>
      </c>
      <c r="D291" s="20" t="s">
        <v>1593</v>
      </c>
      <c r="E291" s="20" t="s">
        <v>1594</v>
      </c>
      <c r="F291" s="20" t="s">
        <v>122</v>
      </c>
      <c r="G291" s="20" t="s">
        <v>122</v>
      </c>
      <c r="H291" s="20" t="s">
        <v>48</v>
      </c>
      <c r="I291" s="20" t="s">
        <v>122</v>
      </c>
      <c r="J291" s="22" t="s">
        <v>1595</v>
      </c>
      <c r="K291" s="22" t="s">
        <v>1595</v>
      </c>
      <c r="L291" s="23" t="s">
        <v>1508</v>
      </c>
      <c r="M291" s="24" t="s">
        <v>7742</v>
      </c>
      <c r="N291" s="23">
        <v>18088000</v>
      </c>
      <c r="O291" s="25" t="s">
        <v>93</v>
      </c>
      <c r="P291" s="25" t="s">
        <v>53</v>
      </c>
      <c r="Q291" s="20" t="s">
        <v>1596</v>
      </c>
      <c r="R291" s="20">
        <v>62412345</v>
      </c>
      <c r="S291" s="25" t="s">
        <v>55</v>
      </c>
      <c r="T291" s="26" t="s">
        <v>56</v>
      </c>
      <c r="U291" s="23">
        <v>865356065673584</v>
      </c>
      <c r="V291" s="27" t="s">
        <v>183</v>
      </c>
      <c r="W291" s="20" t="s">
        <v>129</v>
      </c>
      <c r="X291" s="20" t="s">
        <v>130</v>
      </c>
      <c r="Y291" s="20" t="s">
        <v>130</v>
      </c>
      <c r="Z291" s="20" t="s">
        <v>60</v>
      </c>
      <c r="AA291" s="20" t="s">
        <v>61</v>
      </c>
      <c r="AB291" s="20" t="s">
        <v>96</v>
      </c>
      <c r="AC291" s="28">
        <v>369.83</v>
      </c>
      <c r="AD291" s="28">
        <f>SUM(BASE[[#This Row],[MONTO DE RENTA ]]*1.16)</f>
        <v>429.00279999999998</v>
      </c>
      <c r="AE291" s="28" t="s">
        <v>63</v>
      </c>
      <c r="AF291" s="28">
        <v>369.82758620689657</v>
      </c>
      <c r="AG291" s="28">
        <v>429</v>
      </c>
      <c r="AI291" s="63">
        <v>44937</v>
      </c>
      <c r="AJ291" s="73">
        <v>46043</v>
      </c>
      <c r="AK2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91" s="30"/>
      <c r="AN291" s="20" t="s">
        <v>99</v>
      </c>
      <c r="AP291" s="20" t="s">
        <v>84</v>
      </c>
      <c r="AQ291" s="20" t="s">
        <v>100</v>
      </c>
    </row>
    <row r="292" spans="1:43" ht="16">
      <c r="A292" s="20">
        <v>4422260070</v>
      </c>
      <c r="B292" s="21">
        <v>490010</v>
      </c>
      <c r="C292" s="20" t="s">
        <v>1597</v>
      </c>
      <c r="D292" s="20" t="s">
        <v>1598</v>
      </c>
      <c r="E292" s="20" t="s">
        <v>507</v>
      </c>
      <c r="F292" s="20" t="s">
        <v>70</v>
      </c>
      <c r="G292" s="20" t="s">
        <v>70</v>
      </c>
      <c r="H292" s="20" t="s">
        <v>48</v>
      </c>
      <c r="I292" s="20" t="s">
        <v>70</v>
      </c>
      <c r="J292" s="32" t="s">
        <v>1599</v>
      </c>
      <c r="K292" s="22" t="s">
        <v>1599</v>
      </c>
      <c r="L292" s="23" t="s">
        <v>1508</v>
      </c>
      <c r="M292" s="24" t="s">
        <v>7742</v>
      </c>
      <c r="N292" s="23">
        <v>18088000</v>
      </c>
      <c r="O292" s="25" t="s">
        <v>93</v>
      </c>
      <c r="P292" s="25" t="s">
        <v>53</v>
      </c>
      <c r="Q292" s="20" t="s">
        <v>1600</v>
      </c>
      <c r="R292" s="20">
        <v>62025826</v>
      </c>
      <c r="S292" s="25" t="s">
        <v>55</v>
      </c>
      <c r="T292" s="26" t="s">
        <v>56</v>
      </c>
      <c r="U292" s="23">
        <v>357654177787549</v>
      </c>
      <c r="V292" s="27" t="s">
        <v>78</v>
      </c>
      <c r="W292" s="20" t="s">
        <v>95</v>
      </c>
      <c r="X292" s="20" t="s">
        <v>95</v>
      </c>
      <c r="Y292" s="20" t="s">
        <v>95</v>
      </c>
      <c r="Z292" s="20" t="s">
        <v>60</v>
      </c>
      <c r="AA292" s="20" t="s">
        <v>61</v>
      </c>
      <c r="AB292" s="20" t="s">
        <v>82</v>
      </c>
      <c r="AC292" s="28">
        <v>559.48</v>
      </c>
      <c r="AD292" s="28">
        <f>SUM(BASE[[#This Row],[MONTO DE RENTA ]]*1.16)</f>
        <v>648.99680000000001</v>
      </c>
      <c r="AE292" s="28" t="s">
        <v>83</v>
      </c>
      <c r="AF292" s="28">
        <v>559.48275862068965</v>
      </c>
      <c r="AG292" s="28">
        <v>649</v>
      </c>
      <c r="AI292" s="63">
        <v>44937</v>
      </c>
      <c r="AJ292" s="63">
        <v>46038</v>
      </c>
      <c r="AK2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292" s="30"/>
      <c r="AN292" s="20" t="s">
        <v>99</v>
      </c>
      <c r="AP292" s="20" t="s">
        <v>84</v>
      </c>
      <c r="AQ292" s="20" t="s">
        <v>100</v>
      </c>
    </row>
    <row r="293" spans="1:43" ht="16">
      <c r="A293" s="20">
        <v>8183968414</v>
      </c>
      <c r="B293" s="21">
        <v>1022659</v>
      </c>
      <c r="C293" s="20" t="s">
        <v>1601</v>
      </c>
      <c r="D293" s="20" t="s">
        <v>1602</v>
      </c>
      <c r="E293" s="20" t="s">
        <v>437</v>
      </c>
      <c r="F293" s="20" t="s">
        <v>1004</v>
      </c>
      <c r="G293" s="20" t="s">
        <v>47</v>
      </c>
      <c r="H293" s="20" t="s">
        <v>48</v>
      </c>
      <c r="I293" s="20" t="s">
        <v>1004</v>
      </c>
      <c r="J293" s="22" t="s">
        <v>1603</v>
      </c>
      <c r="K293" s="22" t="s">
        <v>1603</v>
      </c>
      <c r="L293" s="23" t="s">
        <v>1604</v>
      </c>
      <c r="M293" s="24" t="s">
        <v>7737</v>
      </c>
      <c r="N293" s="23">
        <v>18094000</v>
      </c>
      <c r="O293" s="25" t="s">
        <v>74</v>
      </c>
      <c r="P293" s="25" t="s">
        <v>53</v>
      </c>
      <c r="Q293" s="20" t="s">
        <v>1605</v>
      </c>
      <c r="R293" s="20">
        <v>43141271</v>
      </c>
      <c r="S293" s="25" t="s">
        <v>1606</v>
      </c>
      <c r="T293" s="26" t="s">
        <v>57</v>
      </c>
      <c r="U293" s="23">
        <v>860900062338728</v>
      </c>
      <c r="V293" s="27" t="s">
        <v>57</v>
      </c>
      <c r="W293" s="20" t="s">
        <v>58</v>
      </c>
      <c r="X293" s="20" t="s">
        <v>59</v>
      </c>
      <c r="Y293" s="20" t="s">
        <v>59</v>
      </c>
      <c r="Z293" s="20" t="s">
        <v>167</v>
      </c>
      <c r="AA293" s="20" t="s">
        <v>168</v>
      </c>
      <c r="AB293" s="20" t="s">
        <v>96</v>
      </c>
      <c r="AC293" s="28">
        <v>369.83</v>
      </c>
      <c r="AD293" s="28">
        <f>SUM(BASE[[#This Row],[MONTO DE RENTA ]]*1.16)</f>
        <v>429.00279999999998</v>
      </c>
      <c r="AE293" s="28" t="s">
        <v>63</v>
      </c>
      <c r="AF293" s="28">
        <v>369.82758620689657</v>
      </c>
      <c r="AG293" s="28">
        <v>429</v>
      </c>
      <c r="AH293" s="22" t="s">
        <v>64</v>
      </c>
      <c r="AI293" s="63">
        <v>45713</v>
      </c>
      <c r="AJ293" s="63">
        <v>46433</v>
      </c>
      <c r="AK2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3" s="30"/>
      <c r="AN293" s="20" t="s">
        <v>65</v>
      </c>
      <c r="AP293" s="20" t="s">
        <v>84</v>
      </c>
    </row>
    <row r="294" spans="1:43" ht="16">
      <c r="A294" s="20">
        <v>8111914468</v>
      </c>
      <c r="B294" s="21">
        <v>30111</v>
      </c>
      <c r="C294" s="20" t="s">
        <v>1472</v>
      </c>
      <c r="D294" s="20" t="s">
        <v>1607</v>
      </c>
      <c r="E294" s="20" t="s">
        <v>657</v>
      </c>
      <c r="F294" s="20" t="s">
        <v>418</v>
      </c>
      <c r="G294" s="20" t="s">
        <v>47</v>
      </c>
      <c r="H294" s="20" t="s">
        <v>48</v>
      </c>
      <c r="I294" s="20" t="s">
        <v>418</v>
      </c>
      <c r="J294" s="22" t="s">
        <v>1603</v>
      </c>
      <c r="K294" s="22" t="s">
        <v>1603</v>
      </c>
      <c r="L294" s="23" t="s">
        <v>1604</v>
      </c>
      <c r="M294" s="24" t="s">
        <v>7737</v>
      </c>
      <c r="N294" s="23">
        <v>18094000</v>
      </c>
      <c r="O294" s="25" t="s">
        <v>74</v>
      </c>
      <c r="P294" s="25" t="s">
        <v>53</v>
      </c>
      <c r="Q294" s="20" t="s">
        <v>1608</v>
      </c>
      <c r="R294" s="20">
        <v>43141243</v>
      </c>
      <c r="S294" s="25" t="s">
        <v>1609</v>
      </c>
      <c r="T294" s="26" t="s">
        <v>57</v>
      </c>
      <c r="U294" s="23">
        <v>860900062338728</v>
      </c>
      <c r="V294" s="27" t="s">
        <v>57</v>
      </c>
      <c r="W294" s="20" t="s">
        <v>58</v>
      </c>
      <c r="X294" s="20" t="s">
        <v>59</v>
      </c>
      <c r="Y294" s="20" t="s">
        <v>59</v>
      </c>
      <c r="Z294" s="20" t="s">
        <v>167</v>
      </c>
      <c r="AA294" s="20" t="s">
        <v>168</v>
      </c>
      <c r="AB294" s="20" t="s">
        <v>96</v>
      </c>
      <c r="AC294" s="28">
        <v>369.83</v>
      </c>
      <c r="AD294" s="28">
        <f>SUM(BASE[[#This Row],[MONTO DE RENTA ]]*1.16)</f>
        <v>429.00279999999998</v>
      </c>
      <c r="AE294" s="28" t="s">
        <v>63</v>
      </c>
      <c r="AF294" s="28">
        <v>369.82758620689657</v>
      </c>
      <c r="AG294" s="28">
        <v>429</v>
      </c>
      <c r="AH294" s="22" t="s">
        <v>64</v>
      </c>
      <c r="AI294" s="63">
        <v>45703</v>
      </c>
      <c r="AJ294" s="63">
        <v>46433</v>
      </c>
      <c r="AK2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4" s="30"/>
      <c r="AN294" s="20" t="s">
        <v>65</v>
      </c>
      <c r="AP294" s="20" t="s">
        <v>84</v>
      </c>
    </row>
    <row r="295" spans="1:43" ht="16">
      <c r="A295" s="20">
        <v>8113963437</v>
      </c>
      <c r="B295" s="21">
        <v>945330</v>
      </c>
      <c r="C295" s="20" t="s">
        <v>1610</v>
      </c>
      <c r="D295" s="20" t="s">
        <v>442</v>
      </c>
      <c r="E295" s="20" t="s">
        <v>357</v>
      </c>
      <c r="F295" s="20" t="s">
        <v>451</v>
      </c>
      <c r="G295" s="20" t="s">
        <v>248</v>
      </c>
      <c r="H295" s="20" t="s">
        <v>48</v>
      </c>
      <c r="I295" s="20" t="s">
        <v>451</v>
      </c>
      <c r="J295" s="22" t="s">
        <v>1611</v>
      </c>
      <c r="K295" s="22" t="s">
        <v>1611</v>
      </c>
      <c r="L295" s="23" t="s">
        <v>1604</v>
      </c>
      <c r="M295" s="24" t="s">
        <v>7737</v>
      </c>
      <c r="N295" s="23">
        <v>18094000</v>
      </c>
      <c r="O295" s="25" t="s">
        <v>74</v>
      </c>
      <c r="P295" s="25" t="s">
        <v>53</v>
      </c>
      <c r="Q295" s="20" t="s">
        <v>1612</v>
      </c>
      <c r="R295" s="20">
        <v>43121136</v>
      </c>
      <c r="S295" s="25" t="s">
        <v>1613</v>
      </c>
      <c r="T295" s="26" t="s">
        <v>57</v>
      </c>
      <c r="U295" s="23">
        <v>860900062337456</v>
      </c>
      <c r="V295" s="27" t="s">
        <v>57</v>
      </c>
      <c r="W295" s="20" t="s">
        <v>58</v>
      </c>
      <c r="X295" s="20" t="s">
        <v>59</v>
      </c>
      <c r="Y295" s="20" t="s">
        <v>59</v>
      </c>
      <c r="Z295" s="20" t="s">
        <v>167</v>
      </c>
      <c r="AA295" s="20" t="s">
        <v>168</v>
      </c>
      <c r="AB295" s="20" t="s">
        <v>96</v>
      </c>
      <c r="AC295" s="28">
        <v>369.83</v>
      </c>
      <c r="AD295" s="28">
        <f>SUM(BASE[[#This Row],[MONTO DE RENTA ]]*1.16)</f>
        <v>429.00279999999998</v>
      </c>
      <c r="AE295" s="28" t="s">
        <v>63</v>
      </c>
      <c r="AF295" s="28">
        <v>369.82758620689657</v>
      </c>
      <c r="AG295" s="28">
        <v>429</v>
      </c>
      <c r="AH295" s="22" t="s">
        <v>64</v>
      </c>
      <c r="AI295" s="63">
        <v>45703</v>
      </c>
      <c r="AJ295" s="63">
        <v>46433</v>
      </c>
      <c r="AK2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5" s="30"/>
      <c r="AN295" s="20" t="s">
        <v>65</v>
      </c>
      <c r="AP295" s="20" t="s">
        <v>84</v>
      </c>
    </row>
    <row r="296" spans="1:43" ht="16">
      <c r="A296" s="20">
        <v>8115716937</v>
      </c>
      <c r="B296" s="21">
        <v>890528</v>
      </c>
      <c r="C296" s="20" t="s">
        <v>1614</v>
      </c>
      <c r="D296" s="20" t="s">
        <v>172</v>
      </c>
      <c r="E296" s="20" t="s">
        <v>178</v>
      </c>
      <c r="F296" s="20" t="s">
        <v>257</v>
      </c>
      <c r="G296" s="20" t="s">
        <v>257</v>
      </c>
      <c r="H296" s="20" t="s">
        <v>48</v>
      </c>
      <c r="I296" s="20" t="s">
        <v>257</v>
      </c>
      <c r="J296" s="22" t="s">
        <v>1615</v>
      </c>
      <c r="K296" s="22" t="s">
        <v>1615</v>
      </c>
      <c r="L296" s="23" t="s">
        <v>1604</v>
      </c>
      <c r="M296" s="24" t="s">
        <v>7737</v>
      </c>
      <c r="N296" s="23">
        <v>18752000</v>
      </c>
      <c r="O296" s="25" t="s">
        <v>74</v>
      </c>
      <c r="P296" s="25" t="s">
        <v>53</v>
      </c>
      <c r="Q296" s="20" t="s">
        <v>1616</v>
      </c>
      <c r="R296" s="20">
        <v>43090244</v>
      </c>
      <c r="S296" s="25" t="s">
        <v>1617</v>
      </c>
      <c r="T296" s="26" t="s">
        <v>57</v>
      </c>
      <c r="U296" s="23">
        <v>860478062097578</v>
      </c>
      <c r="V296" s="45" t="s">
        <v>110</v>
      </c>
      <c r="W296" s="20" t="s">
        <v>302</v>
      </c>
      <c r="X296" s="20" t="s">
        <v>303</v>
      </c>
      <c r="Y296" s="20" t="s">
        <v>303</v>
      </c>
      <c r="Z296" s="20" t="s">
        <v>80</v>
      </c>
      <c r="AA296" s="20" t="s">
        <v>81</v>
      </c>
      <c r="AB296" s="20" t="s">
        <v>82</v>
      </c>
      <c r="AC296" s="28">
        <v>559.48</v>
      </c>
      <c r="AD296" s="28">
        <f>SUM(BASE[[#This Row],[MONTO DE RENTA ]]*1.16)</f>
        <v>648.99680000000001</v>
      </c>
      <c r="AE296" s="28" t="s">
        <v>83</v>
      </c>
      <c r="AF296" s="28">
        <v>559.48275862068965</v>
      </c>
      <c r="AG296" s="28">
        <v>649</v>
      </c>
      <c r="AH296" s="22" t="s">
        <v>64</v>
      </c>
      <c r="AI296" s="63">
        <v>45703</v>
      </c>
      <c r="AJ296" s="63">
        <v>46433</v>
      </c>
      <c r="AK2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6" s="30"/>
      <c r="AN296" s="20" t="s">
        <v>65</v>
      </c>
      <c r="AP296" s="20" t="s">
        <v>84</v>
      </c>
    </row>
    <row r="297" spans="1:43" ht="16">
      <c r="A297" s="20">
        <v>8113891829</v>
      </c>
      <c r="B297" s="21">
        <v>1040100</v>
      </c>
      <c r="C297" s="20" t="s">
        <v>1618</v>
      </c>
      <c r="D297" s="20" t="s">
        <v>405</v>
      </c>
      <c r="E297" s="20" t="s">
        <v>152</v>
      </c>
      <c r="F297" s="20" t="s">
        <v>104</v>
      </c>
      <c r="G297" s="20" t="s">
        <v>104</v>
      </c>
      <c r="H297" s="20" t="s">
        <v>48</v>
      </c>
      <c r="I297" s="20" t="s">
        <v>104</v>
      </c>
      <c r="J297" s="32" t="s">
        <v>1619</v>
      </c>
      <c r="K297" s="32" t="s">
        <v>1619</v>
      </c>
      <c r="L297" s="23" t="s">
        <v>1604</v>
      </c>
      <c r="M297" s="24" t="s">
        <v>7737</v>
      </c>
      <c r="N297" s="23">
        <v>18094000</v>
      </c>
      <c r="O297" s="25" t="s">
        <v>74</v>
      </c>
      <c r="P297" s="25" t="s">
        <v>53</v>
      </c>
      <c r="Q297" s="20" t="s">
        <v>1620</v>
      </c>
      <c r="R297" s="20">
        <v>43090232</v>
      </c>
      <c r="S297" s="25" t="s">
        <v>1621</v>
      </c>
      <c r="T297" s="26" t="s">
        <v>57</v>
      </c>
      <c r="U297" s="23">
        <v>860478060659718</v>
      </c>
      <c r="V297" s="45" t="s">
        <v>110</v>
      </c>
      <c r="W297" s="20" t="s">
        <v>302</v>
      </c>
      <c r="X297" s="20" t="s">
        <v>303</v>
      </c>
      <c r="Y297" s="20" t="s">
        <v>303</v>
      </c>
      <c r="Z297" s="20" t="s">
        <v>80</v>
      </c>
      <c r="AA297" s="20" t="s">
        <v>81</v>
      </c>
      <c r="AB297" s="20" t="s">
        <v>82</v>
      </c>
      <c r="AC297" s="28">
        <v>559.48</v>
      </c>
      <c r="AD297" s="28">
        <f>SUM(BASE[[#This Row],[MONTO DE RENTA ]]*1.16)</f>
        <v>648.99680000000001</v>
      </c>
      <c r="AE297" s="28" t="s">
        <v>83</v>
      </c>
      <c r="AF297" s="28">
        <v>559.48275862068965</v>
      </c>
      <c r="AG297" s="28">
        <v>649</v>
      </c>
      <c r="AH297" s="22" t="s">
        <v>64</v>
      </c>
      <c r="AI297" s="29">
        <v>45703</v>
      </c>
      <c r="AJ297" s="29">
        <v>46433</v>
      </c>
      <c r="AK2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7" s="30"/>
      <c r="AN297" s="20" t="s">
        <v>65</v>
      </c>
      <c r="AP297" s="20" t="s">
        <v>84</v>
      </c>
    </row>
    <row r="298" spans="1:43" ht="16">
      <c r="A298" s="20">
        <v>8126811397</v>
      </c>
      <c r="B298" s="49">
        <v>1004939</v>
      </c>
      <c r="C298" s="20" t="s">
        <v>1622</v>
      </c>
      <c r="D298" s="20" t="s">
        <v>546</v>
      </c>
      <c r="E298" s="20" t="s">
        <v>1623</v>
      </c>
      <c r="F298" s="20" t="s">
        <v>104</v>
      </c>
      <c r="G298" s="20" t="s">
        <v>104</v>
      </c>
      <c r="H298" s="20" t="s">
        <v>48</v>
      </c>
      <c r="I298" s="20" t="s">
        <v>104</v>
      </c>
      <c r="J298" s="32" t="s">
        <v>1624</v>
      </c>
      <c r="K298" s="32" t="s">
        <v>1624</v>
      </c>
      <c r="L298" s="23" t="s">
        <v>1604</v>
      </c>
      <c r="M298" s="24" t="s">
        <v>7737</v>
      </c>
      <c r="N298" s="23">
        <v>18094000</v>
      </c>
      <c r="O298" s="25" t="s">
        <v>74</v>
      </c>
      <c r="P298" s="25" t="s">
        <v>53</v>
      </c>
      <c r="Q298" s="20" t="s">
        <v>1625</v>
      </c>
      <c r="R298" s="20">
        <v>44114412</v>
      </c>
      <c r="S298" s="25" t="s">
        <v>55</v>
      </c>
      <c r="T298" s="26" t="s">
        <v>56</v>
      </c>
      <c r="U298" s="23">
        <v>867353050209266</v>
      </c>
      <c r="V298" s="45" t="s">
        <v>110</v>
      </c>
      <c r="W298" s="20" t="s">
        <v>149</v>
      </c>
      <c r="X298" s="20" t="s">
        <v>150</v>
      </c>
      <c r="Y298" s="20" t="s">
        <v>150</v>
      </c>
      <c r="Z298" s="20" t="s">
        <v>60</v>
      </c>
      <c r="AA298" s="20" t="s">
        <v>61</v>
      </c>
      <c r="AB298" s="20" t="s">
        <v>96</v>
      </c>
      <c r="AC298" s="28">
        <v>369.83</v>
      </c>
      <c r="AD298" s="28">
        <f>SUM(BASE[[#This Row],[MONTO DE RENTA ]]*1.16)</f>
        <v>429.00279999999998</v>
      </c>
      <c r="AE298" s="28" t="s">
        <v>97</v>
      </c>
      <c r="AF298" s="28">
        <v>473.27586206896552</v>
      </c>
      <c r="AG298" s="28">
        <v>549</v>
      </c>
      <c r="AI298" s="63">
        <v>44937</v>
      </c>
      <c r="AJ298" s="63">
        <v>46064</v>
      </c>
      <c r="AK298" s="30">
        <f ca="1">IFERROR(IF(BASE[[#This Row],[FECHA DE RENOVACION ]]&gt;TODAY(), DATEDIF(TODAY(),BASE[[#This Row],[FECHA DE RENOVACION ]],"M"), -DATEDIF(BASE[[#This Row],[FECHA DE RENOVACION ]],TODAY(),"M")), "Sin fecha")</f>
        <v>0</v>
      </c>
      <c r="AM298" s="30"/>
      <c r="AN298" s="20" t="s">
        <v>99</v>
      </c>
      <c r="AP298" s="20" t="s">
        <v>66</v>
      </c>
      <c r="AQ298" s="20" t="s">
        <v>100</v>
      </c>
    </row>
    <row r="299" spans="1:43" ht="16">
      <c r="A299" s="20">
        <v>8112058781</v>
      </c>
      <c r="B299" s="21">
        <v>100840</v>
      </c>
      <c r="C299" s="20" t="s">
        <v>1626</v>
      </c>
      <c r="D299" s="20" t="s">
        <v>1627</v>
      </c>
      <c r="E299" s="20" t="s">
        <v>456</v>
      </c>
      <c r="F299" s="20" t="s">
        <v>122</v>
      </c>
      <c r="G299" s="20" t="s">
        <v>122</v>
      </c>
      <c r="H299" s="20" t="s">
        <v>48</v>
      </c>
      <c r="I299" s="20" t="s">
        <v>122</v>
      </c>
      <c r="J299" s="32" t="s">
        <v>1628</v>
      </c>
      <c r="K299" s="32" t="s">
        <v>1628</v>
      </c>
      <c r="L299" s="23" t="s">
        <v>1604</v>
      </c>
      <c r="M299" s="24" t="s">
        <v>7737</v>
      </c>
      <c r="N299" s="23">
        <v>18094000</v>
      </c>
      <c r="O299" s="25" t="s">
        <v>74</v>
      </c>
      <c r="P299" s="25" t="s">
        <v>53</v>
      </c>
      <c r="Q299" s="20" t="s">
        <v>1629</v>
      </c>
      <c r="R299" s="20">
        <v>43090385</v>
      </c>
      <c r="S299" s="25" t="s">
        <v>1630</v>
      </c>
      <c r="T299" s="26" t="s">
        <v>57</v>
      </c>
      <c r="U299" s="23">
        <v>860900062334966</v>
      </c>
      <c r="V299" s="27" t="s">
        <v>57</v>
      </c>
      <c r="W299" s="20" t="s">
        <v>58</v>
      </c>
      <c r="X299" s="20" t="s">
        <v>59</v>
      </c>
      <c r="Y299" s="20" t="s">
        <v>59</v>
      </c>
      <c r="Z299" s="20" t="s">
        <v>167</v>
      </c>
      <c r="AA299" s="20" t="s">
        <v>168</v>
      </c>
      <c r="AB299" s="20" t="s">
        <v>96</v>
      </c>
      <c r="AC299" s="28">
        <v>369.83</v>
      </c>
      <c r="AD299" s="28">
        <f>SUM(BASE[[#This Row],[MONTO DE RENTA ]]*1.16)</f>
        <v>429.00279999999998</v>
      </c>
      <c r="AE299" s="28" t="s">
        <v>63</v>
      </c>
      <c r="AF299" s="28">
        <v>369.82758620689657</v>
      </c>
      <c r="AG299" s="28">
        <v>429</v>
      </c>
      <c r="AH299" s="22" t="s">
        <v>64</v>
      </c>
      <c r="AI299" s="63">
        <v>45703</v>
      </c>
      <c r="AJ299" s="63">
        <v>46433</v>
      </c>
      <c r="AK2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299" s="30"/>
      <c r="AN299" s="20" t="s">
        <v>65</v>
      </c>
      <c r="AP299" s="20" t="s">
        <v>84</v>
      </c>
    </row>
    <row r="300" spans="1:43" ht="16">
      <c r="A300" s="20">
        <v>8113852523</v>
      </c>
      <c r="B300" s="49">
        <v>960011</v>
      </c>
      <c r="C300" s="20" t="s">
        <v>1196</v>
      </c>
      <c r="D300" s="20" t="s">
        <v>442</v>
      </c>
      <c r="E300" s="20" t="s">
        <v>172</v>
      </c>
      <c r="F300" s="20" t="s">
        <v>70</v>
      </c>
      <c r="G300" s="20" t="s">
        <v>70</v>
      </c>
      <c r="H300" s="20" t="s">
        <v>48</v>
      </c>
      <c r="I300" s="20" t="s">
        <v>70</v>
      </c>
      <c r="J300" s="22" t="s">
        <v>1631</v>
      </c>
      <c r="K300" s="22" t="s">
        <v>1631</v>
      </c>
      <c r="L300" s="23" t="s">
        <v>1604</v>
      </c>
      <c r="M300" s="24" t="s">
        <v>7737</v>
      </c>
      <c r="N300" s="23">
        <v>18094000</v>
      </c>
      <c r="O300" s="25" t="s">
        <v>74</v>
      </c>
      <c r="P300" s="25" t="s">
        <v>53</v>
      </c>
      <c r="Q300" s="20" t="s">
        <v>1632</v>
      </c>
      <c r="R300" s="20">
        <v>42943874</v>
      </c>
      <c r="S300" s="25" t="s">
        <v>55</v>
      </c>
      <c r="T300" s="26" t="s">
        <v>56</v>
      </c>
      <c r="U300" s="23">
        <v>357654178519966</v>
      </c>
      <c r="V300" s="27" t="s">
        <v>78</v>
      </c>
      <c r="W300" s="20" t="s">
        <v>95</v>
      </c>
      <c r="X300" s="20" t="s">
        <v>95</v>
      </c>
      <c r="Y300" s="20" t="s">
        <v>95</v>
      </c>
      <c r="Z300" s="20" t="s">
        <v>60</v>
      </c>
      <c r="AA300" s="20" t="s">
        <v>61</v>
      </c>
      <c r="AB300" s="20" t="s">
        <v>82</v>
      </c>
      <c r="AC300" s="28">
        <v>559.48</v>
      </c>
      <c r="AD300" s="28">
        <f>SUM(BASE[[#This Row],[MONTO DE RENTA ]]*1.16)</f>
        <v>648.99680000000001</v>
      </c>
      <c r="AE300" s="28" t="s">
        <v>83</v>
      </c>
      <c r="AF300" s="28">
        <v>559.48275862068965</v>
      </c>
      <c r="AG300" s="28">
        <v>649</v>
      </c>
      <c r="AI300" s="63">
        <v>44937</v>
      </c>
      <c r="AJ300" s="73">
        <v>46043</v>
      </c>
      <c r="AK3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00" s="30"/>
      <c r="AN300" s="20" t="s">
        <v>99</v>
      </c>
      <c r="AP300" s="20" t="s">
        <v>84</v>
      </c>
      <c r="AQ300" s="20" t="s">
        <v>100</v>
      </c>
    </row>
    <row r="301" spans="1:43" ht="16">
      <c r="A301" s="20">
        <v>2461320292</v>
      </c>
      <c r="B301" s="21">
        <v>265098</v>
      </c>
      <c r="C301" s="20" t="s">
        <v>170</v>
      </c>
      <c r="D301" s="20" t="s">
        <v>1633</v>
      </c>
      <c r="E301" s="20" t="s">
        <v>172</v>
      </c>
      <c r="F301" s="20" t="s">
        <v>509</v>
      </c>
      <c r="G301" s="20" t="s">
        <v>47</v>
      </c>
      <c r="H301" s="20" t="s">
        <v>48</v>
      </c>
      <c r="I301" s="20" t="s">
        <v>509</v>
      </c>
      <c r="J301" s="22" t="s">
        <v>1634</v>
      </c>
      <c r="K301" s="22" t="s">
        <v>1634</v>
      </c>
      <c r="L301" s="23" t="s">
        <v>1564</v>
      </c>
      <c r="M301" s="24" t="s">
        <v>7753</v>
      </c>
      <c r="N301" s="23">
        <v>18861000</v>
      </c>
      <c r="O301" s="25" t="s">
        <v>828</v>
      </c>
      <c r="P301" s="25" t="s">
        <v>53</v>
      </c>
      <c r="Q301" s="20" t="s">
        <v>1635</v>
      </c>
      <c r="R301" s="20">
        <v>73085093</v>
      </c>
      <c r="S301" s="25" t="s">
        <v>1636</v>
      </c>
      <c r="T301" s="26" t="s">
        <v>57</v>
      </c>
      <c r="U301" s="23">
        <v>860900062338702</v>
      </c>
      <c r="V301" s="27" t="s">
        <v>57</v>
      </c>
      <c r="W301" s="20" t="s">
        <v>58</v>
      </c>
      <c r="X301" s="20" t="s">
        <v>59</v>
      </c>
      <c r="Y301" s="20" t="s">
        <v>59</v>
      </c>
      <c r="Z301" s="20" t="s">
        <v>60</v>
      </c>
      <c r="AA301" s="20" t="s">
        <v>61</v>
      </c>
      <c r="AB301" s="20" t="s">
        <v>96</v>
      </c>
      <c r="AC301" s="28">
        <v>369.83</v>
      </c>
      <c r="AD301" s="28">
        <f>SUM(BASE[[#This Row],[MONTO DE RENTA ]]*1.16)</f>
        <v>429.00279999999998</v>
      </c>
      <c r="AE301" s="28" t="s">
        <v>63</v>
      </c>
      <c r="AF301" s="28">
        <v>369.82758620689657</v>
      </c>
      <c r="AG301" s="28">
        <v>429</v>
      </c>
      <c r="AH301" s="22" t="s">
        <v>64</v>
      </c>
      <c r="AI301" s="63">
        <v>45703</v>
      </c>
      <c r="AJ301" s="63">
        <v>46433</v>
      </c>
      <c r="AK3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1" s="30"/>
      <c r="AN301" s="20" t="s">
        <v>65</v>
      </c>
      <c r="AP301" s="20" t="s">
        <v>84</v>
      </c>
    </row>
    <row r="302" spans="1:43" ht="16">
      <c r="A302" s="20">
        <v>2461554173</v>
      </c>
      <c r="B302" s="21">
        <v>265038</v>
      </c>
      <c r="C302" s="20" t="s">
        <v>1637</v>
      </c>
      <c r="D302" s="20" t="s">
        <v>1638</v>
      </c>
      <c r="E302" s="20" t="s">
        <v>1639</v>
      </c>
      <c r="F302" s="20" t="s">
        <v>451</v>
      </c>
      <c r="G302" s="20" t="s">
        <v>248</v>
      </c>
      <c r="H302" s="20" t="s">
        <v>48</v>
      </c>
      <c r="I302" s="20" t="s">
        <v>451</v>
      </c>
      <c r="J302" s="22" t="s">
        <v>1640</v>
      </c>
      <c r="K302" s="22" t="s">
        <v>1640</v>
      </c>
      <c r="L302" s="23" t="s">
        <v>1564</v>
      </c>
      <c r="M302" s="24" t="s">
        <v>7753</v>
      </c>
      <c r="N302" s="23">
        <v>18626000</v>
      </c>
      <c r="O302" s="25" t="s">
        <v>828</v>
      </c>
      <c r="P302" s="25" t="s">
        <v>53</v>
      </c>
      <c r="Q302" s="20" t="s">
        <v>1641</v>
      </c>
      <c r="R302" s="20">
        <v>73065654</v>
      </c>
      <c r="S302" s="25" t="s">
        <v>1642</v>
      </c>
      <c r="T302" s="26" t="s">
        <v>57</v>
      </c>
      <c r="U302" s="23">
        <v>860900062338751</v>
      </c>
      <c r="V302" s="27" t="s">
        <v>57</v>
      </c>
      <c r="W302" s="20" t="s">
        <v>58</v>
      </c>
      <c r="X302" s="20" t="s">
        <v>59</v>
      </c>
      <c r="Y302" s="20" t="s">
        <v>59</v>
      </c>
      <c r="Z302" s="20" t="s">
        <v>60</v>
      </c>
      <c r="AA302" s="20" t="s">
        <v>61</v>
      </c>
      <c r="AB302" s="20" t="s">
        <v>96</v>
      </c>
      <c r="AC302" s="28">
        <v>369.83</v>
      </c>
      <c r="AD302" s="28">
        <f>SUM(BASE[[#This Row],[MONTO DE RENTA ]]*1.16)</f>
        <v>429.00279999999998</v>
      </c>
      <c r="AE302" s="28" t="s">
        <v>63</v>
      </c>
      <c r="AF302" s="28">
        <v>369.82758620689657</v>
      </c>
      <c r="AG302" s="28">
        <v>429</v>
      </c>
      <c r="AH302" s="22" t="s">
        <v>64</v>
      </c>
      <c r="AI302" s="63">
        <v>45703</v>
      </c>
      <c r="AJ302" s="63">
        <v>46433</v>
      </c>
      <c r="AK3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2" s="30"/>
      <c r="AN302" s="20" t="s">
        <v>65</v>
      </c>
      <c r="AP302" s="20" t="s">
        <v>84</v>
      </c>
    </row>
    <row r="303" spans="1:43" ht="16">
      <c r="A303" s="20">
        <v>2461554201</v>
      </c>
      <c r="B303" s="21">
        <v>355035</v>
      </c>
      <c r="C303" s="20" t="s">
        <v>1643</v>
      </c>
      <c r="D303" s="20" t="s">
        <v>347</v>
      </c>
      <c r="E303" s="20" t="s">
        <v>45</v>
      </c>
      <c r="F303" s="20" t="s">
        <v>257</v>
      </c>
      <c r="G303" s="20" t="s">
        <v>257</v>
      </c>
      <c r="H303" s="20" t="s">
        <v>48</v>
      </c>
      <c r="I303" s="20" t="s">
        <v>257</v>
      </c>
      <c r="J303" s="54" t="s">
        <v>1644</v>
      </c>
      <c r="K303" s="54" t="s">
        <v>1644</v>
      </c>
      <c r="L303" s="23" t="s">
        <v>1564</v>
      </c>
      <c r="M303" s="24" t="s">
        <v>7753</v>
      </c>
      <c r="N303" s="23">
        <v>18626000</v>
      </c>
      <c r="O303" s="25" t="s">
        <v>828</v>
      </c>
      <c r="P303" s="25" t="s">
        <v>53</v>
      </c>
      <c r="Q303" s="20" t="s">
        <v>1645</v>
      </c>
      <c r="R303" s="20">
        <v>73076099</v>
      </c>
      <c r="S303" s="25" t="s">
        <v>1646</v>
      </c>
      <c r="T303" s="81" t="s">
        <v>57</v>
      </c>
      <c r="U303" s="23">
        <v>860478060661169</v>
      </c>
      <c r="V303" s="45" t="s">
        <v>110</v>
      </c>
      <c r="W303" s="20" t="s">
        <v>302</v>
      </c>
      <c r="X303" s="20" t="s">
        <v>303</v>
      </c>
      <c r="Y303" s="20" t="s">
        <v>303</v>
      </c>
      <c r="Z303" s="20" t="s">
        <v>80</v>
      </c>
      <c r="AA303" s="20" t="s">
        <v>81</v>
      </c>
      <c r="AB303" s="20" t="s">
        <v>82</v>
      </c>
      <c r="AC303" s="28">
        <v>559.48</v>
      </c>
      <c r="AD303" s="28">
        <f>SUM(BASE[[#This Row],[MONTO DE RENTA ]]*1.16)</f>
        <v>648.99680000000001</v>
      </c>
      <c r="AE303" s="28" t="s">
        <v>83</v>
      </c>
      <c r="AF303" s="28">
        <v>559.48275862068965</v>
      </c>
      <c r="AG303" s="28">
        <v>649</v>
      </c>
      <c r="AH303" s="22" t="s">
        <v>64</v>
      </c>
      <c r="AI303" s="63">
        <v>45713</v>
      </c>
      <c r="AJ303" s="63">
        <v>46433</v>
      </c>
      <c r="AK3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3" s="30" t="s">
        <v>1647</v>
      </c>
      <c r="AN303" s="20" t="s">
        <v>65</v>
      </c>
      <c r="AP303" s="20" t="s">
        <v>84</v>
      </c>
    </row>
    <row r="304" spans="1:43" ht="16">
      <c r="A304" s="20">
        <v>2461205678</v>
      </c>
      <c r="B304" s="21">
        <v>265018</v>
      </c>
      <c r="C304" s="20" t="s">
        <v>1648</v>
      </c>
      <c r="D304" s="20" t="s">
        <v>1156</v>
      </c>
      <c r="E304" s="20" t="s">
        <v>1649</v>
      </c>
      <c r="F304" s="20" t="s">
        <v>104</v>
      </c>
      <c r="G304" s="20" t="s">
        <v>104</v>
      </c>
      <c r="H304" s="20" t="s">
        <v>48</v>
      </c>
      <c r="I304" s="20" t="s">
        <v>104</v>
      </c>
      <c r="J304" s="22" t="s">
        <v>1650</v>
      </c>
      <c r="K304" s="22" t="s">
        <v>1650</v>
      </c>
      <c r="L304" s="23" t="s">
        <v>1564</v>
      </c>
      <c r="M304" s="24" t="s">
        <v>7753</v>
      </c>
      <c r="N304" s="23">
        <v>18626000</v>
      </c>
      <c r="O304" s="25" t="s">
        <v>828</v>
      </c>
      <c r="P304" s="25" t="s">
        <v>53</v>
      </c>
      <c r="Q304" s="20" t="s">
        <v>1651</v>
      </c>
      <c r="R304" s="20">
        <v>73076062</v>
      </c>
      <c r="S304" s="25" t="s">
        <v>1652</v>
      </c>
      <c r="T304" s="26" t="s">
        <v>57</v>
      </c>
      <c r="U304" s="23">
        <v>860478064978643</v>
      </c>
      <c r="V304" s="45" t="s">
        <v>110</v>
      </c>
      <c r="W304" s="20" t="s">
        <v>302</v>
      </c>
      <c r="X304" s="20" t="s">
        <v>303</v>
      </c>
      <c r="Y304" s="20" t="s">
        <v>303</v>
      </c>
      <c r="Z304" s="20" t="s">
        <v>80</v>
      </c>
      <c r="AA304" s="20" t="s">
        <v>81</v>
      </c>
      <c r="AB304" s="20" t="s">
        <v>82</v>
      </c>
      <c r="AC304" s="28">
        <v>559.48</v>
      </c>
      <c r="AD304" s="28">
        <f>SUM(BASE[[#This Row],[MONTO DE RENTA ]]*1.16)</f>
        <v>648.99680000000001</v>
      </c>
      <c r="AE304" s="28" t="s">
        <v>83</v>
      </c>
      <c r="AF304" s="28">
        <v>559.48275862068965</v>
      </c>
      <c r="AG304" s="28">
        <v>649</v>
      </c>
      <c r="AH304" s="22" t="s">
        <v>64</v>
      </c>
      <c r="AI304" s="63">
        <v>45703</v>
      </c>
      <c r="AJ304" s="63">
        <v>46433</v>
      </c>
      <c r="AK3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4" s="30"/>
      <c r="AN304" s="20" t="s">
        <v>65</v>
      </c>
      <c r="AP304" s="20" t="s">
        <v>84</v>
      </c>
    </row>
    <row r="305" spans="1:43" ht="16">
      <c r="A305" s="20">
        <v>5535498988</v>
      </c>
      <c r="B305" s="48">
        <v>0</v>
      </c>
      <c r="C305" s="20" t="s">
        <v>1653</v>
      </c>
      <c r="D305" s="20" t="s">
        <v>1654</v>
      </c>
      <c r="E305" s="20" t="s">
        <v>1655</v>
      </c>
      <c r="F305" s="20" t="s">
        <v>1656</v>
      </c>
      <c r="G305" s="20" t="s">
        <v>122</v>
      </c>
      <c r="H305" s="20" t="s">
        <v>1657</v>
      </c>
      <c r="I305" s="20" t="s">
        <v>1658</v>
      </c>
      <c r="J305" s="54" t="s">
        <v>1659</v>
      </c>
      <c r="K305" s="54" t="s">
        <v>1659</v>
      </c>
      <c r="L305" s="23" t="s">
        <v>1660</v>
      </c>
      <c r="M305" s="24" t="s">
        <v>7741</v>
      </c>
      <c r="N305" s="23" t="s">
        <v>1661</v>
      </c>
      <c r="O305" s="25" t="s">
        <v>52</v>
      </c>
      <c r="P305" s="25" t="s">
        <v>1662</v>
      </c>
      <c r="Q305" s="20" t="s">
        <v>1663</v>
      </c>
      <c r="R305" s="20">
        <v>98935620</v>
      </c>
      <c r="S305" s="25" t="s">
        <v>1664</v>
      </c>
      <c r="T305" s="65" t="s">
        <v>57</v>
      </c>
      <c r="U305" s="23" t="s">
        <v>193</v>
      </c>
      <c r="V305" s="27" t="s">
        <v>57</v>
      </c>
      <c r="W305" s="20" t="s">
        <v>194</v>
      </c>
      <c r="X305" s="20" t="s">
        <v>194</v>
      </c>
      <c r="Y305" s="20" t="s">
        <v>194</v>
      </c>
      <c r="Z305" s="20" t="s">
        <v>60</v>
      </c>
      <c r="AA305" s="20" t="s">
        <v>61</v>
      </c>
      <c r="AB305" s="20" t="s">
        <v>96</v>
      </c>
      <c r="AC305" s="28">
        <v>369.83</v>
      </c>
      <c r="AD305" s="28">
        <f>SUM(BASE[[#This Row],[MONTO DE RENTA ]]*1.16)</f>
        <v>429.00279999999998</v>
      </c>
      <c r="AE305" s="28" t="s">
        <v>63</v>
      </c>
      <c r="AF305" s="28">
        <v>369.82758620689657</v>
      </c>
      <c r="AG305" s="28">
        <v>429</v>
      </c>
      <c r="AH305" s="22" t="s">
        <v>116</v>
      </c>
      <c r="AI305" s="63">
        <v>45343</v>
      </c>
      <c r="AJ305" s="63">
        <v>46402</v>
      </c>
      <c r="AK305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305" s="63">
        <v>46074</v>
      </c>
      <c r="AM305" s="30"/>
      <c r="AN305" s="20" t="s">
        <v>65</v>
      </c>
      <c r="AP305" s="20" t="s">
        <v>84</v>
      </c>
    </row>
    <row r="306" spans="1:43" ht="16">
      <c r="A306" s="20">
        <v>2461195029</v>
      </c>
      <c r="B306" s="49">
        <v>470020</v>
      </c>
      <c r="C306" s="20" t="s">
        <v>742</v>
      </c>
      <c r="D306" s="20" t="s">
        <v>1665</v>
      </c>
      <c r="E306" s="20" t="s">
        <v>711</v>
      </c>
      <c r="F306" s="20" t="s">
        <v>70</v>
      </c>
      <c r="G306" s="20" t="s">
        <v>70</v>
      </c>
      <c r="H306" s="20" t="s">
        <v>48</v>
      </c>
      <c r="I306" s="20" t="s">
        <v>70</v>
      </c>
      <c r="J306" s="22" t="s">
        <v>1666</v>
      </c>
      <c r="K306" s="22" t="s">
        <v>1666</v>
      </c>
      <c r="L306" s="23" t="s">
        <v>1564</v>
      </c>
      <c r="M306" s="24" t="s">
        <v>7753</v>
      </c>
      <c r="N306" s="23">
        <v>18626000</v>
      </c>
      <c r="O306" s="25" t="s">
        <v>828</v>
      </c>
      <c r="P306" s="25" t="s">
        <v>53</v>
      </c>
      <c r="Q306" s="20" t="s">
        <v>1667</v>
      </c>
      <c r="R306" s="20">
        <v>72922682</v>
      </c>
      <c r="S306" s="25" t="s">
        <v>55</v>
      </c>
      <c r="T306" s="26" t="s">
        <v>56</v>
      </c>
      <c r="U306" s="23">
        <v>357894929522683</v>
      </c>
      <c r="V306" s="27" t="s">
        <v>78</v>
      </c>
      <c r="W306" s="20" t="s">
        <v>95</v>
      </c>
      <c r="X306" s="20" t="s">
        <v>95</v>
      </c>
      <c r="Y306" s="20" t="s">
        <v>95</v>
      </c>
      <c r="Z306" s="20" t="s">
        <v>60</v>
      </c>
      <c r="AA306" s="20" t="s">
        <v>61</v>
      </c>
      <c r="AB306" s="20" t="s">
        <v>82</v>
      </c>
      <c r="AC306" s="28">
        <v>559.48</v>
      </c>
      <c r="AD306" s="28">
        <f>SUM(BASE[[#This Row],[MONTO DE RENTA ]]*1.16)</f>
        <v>648.99680000000001</v>
      </c>
      <c r="AE306" s="28" t="s">
        <v>83</v>
      </c>
      <c r="AF306" s="28">
        <v>559.48275862068965</v>
      </c>
      <c r="AG306" s="28">
        <v>649</v>
      </c>
      <c r="AI306" s="63">
        <v>44937</v>
      </c>
      <c r="AJ306" s="73">
        <v>46043</v>
      </c>
      <c r="AK30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06" s="30"/>
      <c r="AN306" s="20" t="s">
        <v>99</v>
      </c>
      <c r="AP306" s="20" t="s">
        <v>84</v>
      </c>
      <c r="AQ306" s="20" t="s">
        <v>100</v>
      </c>
    </row>
    <row r="307" spans="1:43" ht="16">
      <c r="A307" s="20">
        <v>6121345470</v>
      </c>
      <c r="B307" s="21">
        <v>285165</v>
      </c>
      <c r="C307" s="20" t="s">
        <v>1668</v>
      </c>
      <c r="D307" s="20" t="s">
        <v>216</v>
      </c>
      <c r="E307" s="20" t="s">
        <v>1057</v>
      </c>
      <c r="F307" s="20" t="s">
        <v>418</v>
      </c>
      <c r="G307" s="20" t="s">
        <v>47</v>
      </c>
      <c r="H307" s="20" t="s">
        <v>48</v>
      </c>
      <c r="I307" s="20" t="s">
        <v>418</v>
      </c>
      <c r="J307" s="22" t="s">
        <v>1669</v>
      </c>
      <c r="K307" s="22" t="s">
        <v>1669</v>
      </c>
      <c r="L307" s="23" t="s">
        <v>1670</v>
      </c>
      <c r="M307" s="24" t="s">
        <v>7740</v>
      </c>
      <c r="N307" s="23">
        <v>18628000</v>
      </c>
      <c r="O307" s="25" t="s">
        <v>126</v>
      </c>
      <c r="P307" s="25" t="s">
        <v>53</v>
      </c>
      <c r="Q307" s="20" t="s">
        <v>1671</v>
      </c>
      <c r="R307" s="20">
        <v>11595660</v>
      </c>
      <c r="S307" s="25" t="s">
        <v>1672</v>
      </c>
      <c r="T307" s="26" t="s">
        <v>57</v>
      </c>
      <c r="U307" s="23">
        <v>860900062336011</v>
      </c>
      <c r="V307" s="27" t="s">
        <v>57</v>
      </c>
      <c r="W307" s="20" t="s">
        <v>58</v>
      </c>
      <c r="X307" s="20" t="s">
        <v>59</v>
      </c>
      <c r="Y307" s="20" t="s">
        <v>59</v>
      </c>
      <c r="Z307" s="20" t="s">
        <v>131</v>
      </c>
      <c r="AA307" s="20" t="s">
        <v>132</v>
      </c>
      <c r="AB307" s="20" t="s">
        <v>96</v>
      </c>
      <c r="AC307" s="28">
        <v>369.83</v>
      </c>
      <c r="AD307" s="28">
        <f>SUM(BASE[[#This Row],[MONTO DE RENTA ]]*1.16)</f>
        <v>429.00279999999998</v>
      </c>
      <c r="AE307" s="28" t="s">
        <v>63</v>
      </c>
      <c r="AF307" s="28">
        <v>369.82758620689657</v>
      </c>
      <c r="AG307" s="28">
        <v>429</v>
      </c>
      <c r="AH307" s="22" t="s">
        <v>64</v>
      </c>
      <c r="AI307" s="63">
        <v>45703</v>
      </c>
      <c r="AJ307" s="63">
        <v>46433</v>
      </c>
      <c r="AK3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7" s="30"/>
      <c r="AN307" s="20" t="s">
        <v>65</v>
      </c>
      <c r="AP307" s="20" t="s">
        <v>84</v>
      </c>
    </row>
    <row r="308" spans="1:43" ht="16">
      <c r="A308" s="20">
        <v>6121190268</v>
      </c>
      <c r="B308" s="21">
        <v>285032</v>
      </c>
      <c r="C308" s="20" t="s">
        <v>1673</v>
      </c>
      <c r="D308" s="20" t="s">
        <v>1674</v>
      </c>
      <c r="E308" s="20" t="s">
        <v>1675</v>
      </c>
      <c r="F308" s="20" t="s">
        <v>451</v>
      </c>
      <c r="G308" s="20" t="s">
        <v>248</v>
      </c>
      <c r="H308" s="20" t="s">
        <v>48</v>
      </c>
      <c r="I308" s="20" t="s">
        <v>451</v>
      </c>
      <c r="J308" s="22" t="s">
        <v>1676</v>
      </c>
      <c r="K308" s="22" t="s">
        <v>1676</v>
      </c>
      <c r="L308" s="23" t="s">
        <v>1670</v>
      </c>
      <c r="M308" s="24" t="s">
        <v>7740</v>
      </c>
      <c r="N308" s="23">
        <v>18628000</v>
      </c>
      <c r="O308" s="25" t="s">
        <v>126</v>
      </c>
      <c r="P308" s="25" t="s">
        <v>53</v>
      </c>
      <c r="Q308" s="20" t="s">
        <v>1677</v>
      </c>
      <c r="R308" s="20">
        <v>11587059</v>
      </c>
      <c r="S308" s="25" t="s">
        <v>1678</v>
      </c>
      <c r="T308" s="26" t="s">
        <v>57</v>
      </c>
      <c r="U308" s="23">
        <v>860900062735600</v>
      </c>
      <c r="V308" s="27" t="s">
        <v>57</v>
      </c>
      <c r="W308" s="20" t="s">
        <v>58</v>
      </c>
      <c r="X308" s="20" t="s">
        <v>59</v>
      </c>
      <c r="Y308" s="20" t="s">
        <v>59</v>
      </c>
      <c r="Z308" s="20" t="s">
        <v>131</v>
      </c>
      <c r="AA308" s="20" t="s">
        <v>132</v>
      </c>
      <c r="AB308" s="20" t="s">
        <v>96</v>
      </c>
      <c r="AC308" s="28">
        <v>369.83</v>
      </c>
      <c r="AD308" s="28">
        <f>SUM(BASE[[#This Row],[MONTO DE RENTA ]]*1.16)</f>
        <v>429.00279999999998</v>
      </c>
      <c r="AE308" s="28" t="s">
        <v>63</v>
      </c>
      <c r="AF308" s="28">
        <v>369.82758620689657</v>
      </c>
      <c r="AG308" s="28">
        <v>429</v>
      </c>
      <c r="AH308" s="22" t="s">
        <v>64</v>
      </c>
      <c r="AI308" s="63">
        <v>45703</v>
      </c>
      <c r="AJ308" s="63">
        <v>46433</v>
      </c>
      <c r="AK3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8" s="30"/>
      <c r="AN308" s="20" t="s">
        <v>65</v>
      </c>
      <c r="AP308" s="20" t="s">
        <v>84</v>
      </c>
    </row>
    <row r="309" spans="1:43" ht="16">
      <c r="A309" s="20">
        <v>6121416994</v>
      </c>
      <c r="B309" s="21">
        <v>285178</v>
      </c>
      <c r="C309" s="20" t="s">
        <v>1679</v>
      </c>
      <c r="D309" s="20" t="s">
        <v>1680</v>
      </c>
      <c r="E309" s="20" t="s">
        <v>636</v>
      </c>
      <c r="F309" s="20" t="s">
        <v>122</v>
      </c>
      <c r="G309" s="20" t="s">
        <v>122</v>
      </c>
      <c r="H309" s="20" t="s">
        <v>48</v>
      </c>
      <c r="I309" s="20" t="s">
        <v>122</v>
      </c>
      <c r="J309" s="22" t="s">
        <v>1681</v>
      </c>
      <c r="K309" s="22" t="s">
        <v>1681</v>
      </c>
      <c r="L309" s="23" t="s">
        <v>1670</v>
      </c>
      <c r="M309" s="24" t="s">
        <v>7740</v>
      </c>
      <c r="N309" s="23">
        <v>18628000</v>
      </c>
      <c r="O309" s="25" t="s">
        <v>126</v>
      </c>
      <c r="P309" s="25" t="s">
        <v>53</v>
      </c>
      <c r="Q309" s="20" t="s">
        <v>1682</v>
      </c>
      <c r="R309" s="20">
        <v>11591836</v>
      </c>
      <c r="S309" s="25" t="s">
        <v>1683</v>
      </c>
      <c r="T309" s="26" t="s">
        <v>57</v>
      </c>
      <c r="U309" s="23">
        <v>860900062735659</v>
      </c>
      <c r="V309" s="27" t="s">
        <v>57</v>
      </c>
      <c r="W309" s="20" t="s">
        <v>58</v>
      </c>
      <c r="X309" s="20" t="s">
        <v>59</v>
      </c>
      <c r="Y309" s="20" t="s">
        <v>59</v>
      </c>
      <c r="Z309" s="20" t="s">
        <v>131</v>
      </c>
      <c r="AA309" s="20" t="s">
        <v>132</v>
      </c>
      <c r="AB309" s="20" t="s">
        <v>96</v>
      </c>
      <c r="AC309" s="28">
        <v>369.83</v>
      </c>
      <c r="AD309" s="28">
        <f>SUM(BASE[[#This Row],[MONTO DE RENTA ]]*1.16)</f>
        <v>429.00279999999998</v>
      </c>
      <c r="AE309" s="28" t="s">
        <v>63</v>
      </c>
      <c r="AF309" s="28">
        <v>369.82758620689657</v>
      </c>
      <c r="AG309" s="28">
        <v>429</v>
      </c>
      <c r="AH309" s="22" t="s">
        <v>64</v>
      </c>
      <c r="AI309" s="63">
        <v>45703</v>
      </c>
      <c r="AJ309" s="63">
        <v>46433</v>
      </c>
      <c r="AK3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09" s="30"/>
      <c r="AN309" s="20" t="s">
        <v>65</v>
      </c>
      <c r="AP309" s="20" t="s">
        <v>84</v>
      </c>
    </row>
    <row r="310" spans="1:43" ht="16">
      <c r="A310" s="20">
        <v>6121345214</v>
      </c>
      <c r="B310" s="21">
        <v>285216</v>
      </c>
      <c r="C310" s="20" t="s">
        <v>1684</v>
      </c>
      <c r="D310" s="20" t="s">
        <v>377</v>
      </c>
      <c r="E310" s="20" t="s">
        <v>1516</v>
      </c>
      <c r="F310" s="20" t="s">
        <v>257</v>
      </c>
      <c r="G310" s="20" t="s">
        <v>257</v>
      </c>
      <c r="H310" s="20" t="s">
        <v>48</v>
      </c>
      <c r="I310" s="20" t="s">
        <v>257</v>
      </c>
      <c r="J310" s="22" t="s">
        <v>1685</v>
      </c>
      <c r="K310" s="22" t="s">
        <v>1685</v>
      </c>
      <c r="L310" s="23" t="s">
        <v>1670</v>
      </c>
      <c r="M310" s="24" t="s">
        <v>7740</v>
      </c>
      <c r="N310" s="23">
        <v>18628000</v>
      </c>
      <c r="O310" s="25" t="s">
        <v>126</v>
      </c>
      <c r="P310" s="25" t="s">
        <v>53</v>
      </c>
      <c r="Q310" s="20" t="s">
        <v>1686</v>
      </c>
      <c r="R310" s="20">
        <v>11591828</v>
      </c>
      <c r="S310" s="25" t="s">
        <v>1687</v>
      </c>
      <c r="T310" s="26" t="s">
        <v>57</v>
      </c>
      <c r="U310" s="23">
        <v>860478063598996</v>
      </c>
      <c r="V310" s="45" t="s">
        <v>110</v>
      </c>
      <c r="W310" s="20" t="s">
        <v>302</v>
      </c>
      <c r="X310" s="20" t="s">
        <v>303</v>
      </c>
      <c r="Y310" s="20" t="s">
        <v>303</v>
      </c>
      <c r="Z310" s="20" t="s">
        <v>131</v>
      </c>
      <c r="AA310" s="20" t="s">
        <v>132</v>
      </c>
      <c r="AB310" s="20" t="s">
        <v>82</v>
      </c>
      <c r="AC310" s="28">
        <v>559.48</v>
      </c>
      <c r="AD310" s="28">
        <f>SUM(BASE[[#This Row],[MONTO DE RENTA ]]*1.16)</f>
        <v>648.99680000000001</v>
      </c>
      <c r="AE310" s="28" t="s">
        <v>83</v>
      </c>
      <c r="AF310" s="28">
        <v>559.48275862068965</v>
      </c>
      <c r="AG310" s="28">
        <v>649</v>
      </c>
      <c r="AH310" s="22" t="s">
        <v>64</v>
      </c>
      <c r="AI310" s="29">
        <v>45703</v>
      </c>
      <c r="AJ310" s="29">
        <v>46433</v>
      </c>
      <c r="AK3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0" s="30"/>
      <c r="AN310" s="20" t="s">
        <v>65</v>
      </c>
      <c r="AP310" s="20" t="s">
        <v>84</v>
      </c>
    </row>
    <row r="311" spans="1:43" ht="16">
      <c r="A311" s="20">
        <v>6121345217</v>
      </c>
      <c r="B311" s="21">
        <v>285005</v>
      </c>
      <c r="C311" s="20" t="s">
        <v>1688</v>
      </c>
      <c r="D311" s="20" t="s">
        <v>348</v>
      </c>
      <c r="E311" s="20" t="s">
        <v>636</v>
      </c>
      <c r="F311" s="20" t="s">
        <v>104</v>
      </c>
      <c r="G311" s="20" t="s">
        <v>104</v>
      </c>
      <c r="H311" s="20" t="s">
        <v>48</v>
      </c>
      <c r="I311" s="20" t="s">
        <v>104</v>
      </c>
      <c r="J311" s="22" t="s">
        <v>1689</v>
      </c>
      <c r="K311" s="32" t="s">
        <v>1689</v>
      </c>
      <c r="L311" s="23" t="s">
        <v>1670</v>
      </c>
      <c r="M311" s="24" t="s">
        <v>7740</v>
      </c>
      <c r="N311" s="23">
        <v>18628000</v>
      </c>
      <c r="O311" s="25" t="s">
        <v>126</v>
      </c>
      <c r="P311" s="25" t="s">
        <v>53</v>
      </c>
      <c r="Q311" s="20" t="s">
        <v>1690</v>
      </c>
      <c r="R311" s="20">
        <v>11591830</v>
      </c>
      <c r="S311" s="25" t="s">
        <v>1691</v>
      </c>
      <c r="T311" s="26" t="s">
        <v>57</v>
      </c>
      <c r="U311" s="23">
        <v>860478063557505</v>
      </c>
      <c r="V311" s="45" t="s">
        <v>110</v>
      </c>
      <c r="W311" s="20" t="s">
        <v>302</v>
      </c>
      <c r="X311" s="20" t="s">
        <v>303</v>
      </c>
      <c r="Y311" s="20" t="s">
        <v>303</v>
      </c>
      <c r="Z311" s="20" t="s">
        <v>131</v>
      </c>
      <c r="AA311" s="20" t="s">
        <v>132</v>
      </c>
      <c r="AB311" s="20" t="s">
        <v>82</v>
      </c>
      <c r="AC311" s="28">
        <v>559.48</v>
      </c>
      <c r="AD311" s="28">
        <f>SUM(BASE[[#This Row],[MONTO DE RENTA ]]*1.16)</f>
        <v>648.99680000000001</v>
      </c>
      <c r="AE311" s="28" t="s">
        <v>83</v>
      </c>
      <c r="AF311" s="28">
        <v>559.48275862068965</v>
      </c>
      <c r="AG311" s="28">
        <v>649</v>
      </c>
      <c r="AH311" s="22" t="s">
        <v>64</v>
      </c>
      <c r="AI311" s="63">
        <v>45703</v>
      </c>
      <c r="AJ311" s="63">
        <v>46433</v>
      </c>
      <c r="AK3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1" s="30"/>
      <c r="AN311" s="20" t="s">
        <v>65</v>
      </c>
      <c r="AP311" s="20" t="s">
        <v>84</v>
      </c>
    </row>
    <row r="312" spans="1:43" ht="16">
      <c r="A312" s="20">
        <v>6121345211</v>
      </c>
      <c r="B312" s="21">
        <v>720364</v>
      </c>
      <c r="C312" s="20" t="s">
        <v>1692</v>
      </c>
      <c r="D312" s="20" t="s">
        <v>1693</v>
      </c>
      <c r="E312" s="20" t="s">
        <v>1694</v>
      </c>
      <c r="F312" s="20" t="s">
        <v>104</v>
      </c>
      <c r="G312" s="20" t="s">
        <v>104</v>
      </c>
      <c r="H312" s="20" t="s">
        <v>48</v>
      </c>
      <c r="I312" s="20" t="s">
        <v>104</v>
      </c>
      <c r="J312" s="22" t="s">
        <v>1695</v>
      </c>
      <c r="K312" s="22" t="s">
        <v>1695</v>
      </c>
      <c r="L312" s="23" t="s">
        <v>1670</v>
      </c>
      <c r="M312" s="24" t="s">
        <v>7740</v>
      </c>
      <c r="N312" s="23">
        <v>18628000</v>
      </c>
      <c r="O312" s="25" t="s">
        <v>126</v>
      </c>
      <c r="P312" s="25" t="s">
        <v>53</v>
      </c>
      <c r="Q312" s="20" t="s">
        <v>1696</v>
      </c>
      <c r="R312" s="20">
        <v>11591827</v>
      </c>
      <c r="S312" s="25" t="s">
        <v>1697</v>
      </c>
      <c r="T312" s="26" t="s">
        <v>57</v>
      </c>
      <c r="U312" s="23">
        <v>860478063598897</v>
      </c>
      <c r="V312" s="45" t="s">
        <v>110</v>
      </c>
      <c r="W312" s="20" t="s">
        <v>302</v>
      </c>
      <c r="X312" s="20" t="s">
        <v>303</v>
      </c>
      <c r="Y312" s="20" t="s">
        <v>303</v>
      </c>
      <c r="Z312" s="20" t="s">
        <v>131</v>
      </c>
      <c r="AA312" s="20" t="s">
        <v>132</v>
      </c>
      <c r="AB312" s="20" t="s">
        <v>82</v>
      </c>
      <c r="AC312" s="28">
        <v>559.48</v>
      </c>
      <c r="AD312" s="28">
        <f>SUM(BASE[[#This Row],[MONTO DE RENTA ]]*1.16)</f>
        <v>648.99680000000001</v>
      </c>
      <c r="AE312" s="28" t="s">
        <v>83</v>
      </c>
      <c r="AF312" s="28">
        <v>559.48275862068965</v>
      </c>
      <c r="AG312" s="28">
        <v>649</v>
      </c>
      <c r="AH312" s="22" t="s">
        <v>64</v>
      </c>
      <c r="AI312" s="63">
        <v>45703</v>
      </c>
      <c r="AJ312" s="63">
        <v>46433</v>
      </c>
      <c r="AK31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2" s="30"/>
      <c r="AN312" s="20" t="s">
        <v>65</v>
      </c>
      <c r="AP312" s="20" t="s">
        <v>84</v>
      </c>
    </row>
    <row r="313" spans="1:43" ht="16">
      <c r="A313" s="20">
        <v>6121170943</v>
      </c>
      <c r="B313" s="49">
        <v>1003352</v>
      </c>
      <c r="C313" s="20" t="s">
        <v>1698</v>
      </c>
      <c r="D313" s="20" t="s">
        <v>657</v>
      </c>
      <c r="E313" s="20" t="s">
        <v>657</v>
      </c>
      <c r="F313" s="20" t="s">
        <v>122</v>
      </c>
      <c r="G313" s="20" t="s">
        <v>122</v>
      </c>
      <c r="H313" s="20" t="s">
        <v>48</v>
      </c>
      <c r="I313" s="20" t="s">
        <v>122</v>
      </c>
      <c r="J313" s="22" t="s">
        <v>1699</v>
      </c>
      <c r="K313" s="22" t="s">
        <v>1699</v>
      </c>
      <c r="L313" s="23" t="s">
        <v>1670</v>
      </c>
      <c r="M313" s="24" t="s">
        <v>7740</v>
      </c>
      <c r="N313" s="23">
        <v>18628000</v>
      </c>
      <c r="O313" s="25" t="s">
        <v>126</v>
      </c>
      <c r="P313" s="25" t="s">
        <v>53</v>
      </c>
      <c r="Q313" s="20" t="s">
        <v>1700</v>
      </c>
      <c r="R313" s="20">
        <v>11759910</v>
      </c>
      <c r="S313" s="25" t="s">
        <v>55</v>
      </c>
      <c r="T313" s="26" t="s">
        <v>56</v>
      </c>
      <c r="U313" s="23">
        <v>865356065669426</v>
      </c>
      <c r="V313" s="27" t="s">
        <v>183</v>
      </c>
      <c r="W313" s="20" t="s">
        <v>129</v>
      </c>
      <c r="X313" s="20" t="s">
        <v>130</v>
      </c>
      <c r="Y313" s="20" t="s">
        <v>130</v>
      </c>
      <c r="Z313" s="20" t="s">
        <v>60</v>
      </c>
      <c r="AA313" s="20" t="s">
        <v>61</v>
      </c>
      <c r="AB313" s="20" t="s">
        <v>96</v>
      </c>
      <c r="AC313" s="28">
        <v>369.83</v>
      </c>
      <c r="AD313" s="28">
        <f>SUM(BASE[[#This Row],[MONTO DE RENTA ]]*1.16)</f>
        <v>429.00279999999998</v>
      </c>
      <c r="AE313" s="28" t="s">
        <v>63</v>
      </c>
      <c r="AF313" s="28">
        <v>369.82758620689657</v>
      </c>
      <c r="AG313" s="28">
        <v>429</v>
      </c>
      <c r="AI313" s="63">
        <v>44937</v>
      </c>
      <c r="AJ313" s="73">
        <v>46043</v>
      </c>
      <c r="AK3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13" s="30"/>
      <c r="AN313" s="20" t="s">
        <v>99</v>
      </c>
      <c r="AP313" s="20" t="s">
        <v>84</v>
      </c>
      <c r="AQ313" s="20" t="s">
        <v>100</v>
      </c>
    </row>
    <row r="314" spans="1:43" ht="16">
      <c r="A314" s="20">
        <v>6121197868</v>
      </c>
      <c r="B314" s="49">
        <v>200017</v>
      </c>
      <c r="C314" s="20" t="s">
        <v>1701</v>
      </c>
      <c r="D314" s="20" t="s">
        <v>1702</v>
      </c>
      <c r="E314" s="20" t="s">
        <v>1703</v>
      </c>
      <c r="F314" s="20" t="s">
        <v>70</v>
      </c>
      <c r="G314" s="20" t="s">
        <v>70</v>
      </c>
      <c r="H314" s="20" t="s">
        <v>48</v>
      </c>
      <c r="I314" s="20" t="s">
        <v>70</v>
      </c>
      <c r="J314" s="22" t="s">
        <v>1704</v>
      </c>
      <c r="K314" s="22" t="s">
        <v>1704</v>
      </c>
      <c r="L314" s="23" t="s">
        <v>1670</v>
      </c>
      <c r="M314" s="24" t="s">
        <v>7740</v>
      </c>
      <c r="N314" s="23">
        <v>18628000</v>
      </c>
      <c r="O314" s="25" t="s">
        <v>126</v>
      </c>
      <c r="P314" s="25" t="s">
        <v>53</v>
      </c>
      <c r="Q314" s="20" t="s">
        <v>1705</v>
      </c>
      <c r="R314" s="20">
        <v>11511431</v>
      </c>
      <c r="S314" s="25" t="s">
        <v>55</v>
      </c>
      <c r="T314" s="44" t="s">
        <v>56</v>
      </c>
      <c r="U314" s="23">
        <v>357654177665877</v>
      </c>
      <c r="V314" s="27" t="s">
        <v>78</v>
      </c>
      <c r="W314" s="20" t="s">
        <v>95</v>
      </c>
      <c r="X314" s="20" t="s">
        <v>95</v>
      </c>
      <c r="Y314" s="20" t="s">
        <v>95</v>
      </c>
      <c r="Z314" s="20" t="s">
        <v>60</v>
      </c>
      <c r="AA314" s="20" t="s">
        <v>61</v>
      </c>
      <c r="AB314" s="20" t="s">
        <v>82</v>
      </c>
      <c r="AC314" s="28">
        <v>559.48</v>
      </c>
      <c r="AD314" s="28">
        <f>SUM(BASE[[#This Row],[MONTO DE RENTA ]]*1.16)</f>
        <v>648.99680000000001</v>
      </c>
      <c r="AE314" s="28" t="s">
        <v>83</v>
      </c>
      <c r="AF314" s="28">
        <v>559.48275862068965</v>
      </c>
      <c r="AG314" s="28">
        <v>649</v>
      </c>
      <c r="AI314" s="63">
        <v>44937</v>
      </c>
      <c r="AJ314" s="73">
        <v>46043</v>
      </c>
      <c r="AK31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14" s="30"/>
      <c r="AN314" s="20" t="s">
        <v>99</v>
      </c>
      <c r="AP314" s="20" t="s">
        <v>84</v>
      </c>
      <c r="AQ314" s="20" t="s">
        <v>100</v>
      </c>
    </row>
    <row r="315" spans="1:43" ht="16">
      <c r="A315" s="20">
        <v>2223840866</v>
      </c>
      <c r="B315" s="21">
        <v>395044</v>
      </c>
      <c r="C315" s="20" t="s">
        <v>1441</v>
      </c>
      <c r="D315" s="20" t="s">
        <v>1156</v>
      </c>
      <c r="E315" s="20" t="s">
        <v>1205</v>
      </c>
      <c r="F315" s="20" t="s">
        <v>1706</v>
      </c>
      <c r="G315" s="20" t="s">
        <v>47</v>
      </c>
      <c r="H315" s="20" t="s">
        <v>48</v>
      </c>
      <c r="I315" s="20" t="s">
        <v>1706</v>
      </c>
      <c r="J315" s="22" t="s">
        <v>1707</v>
      </c>
      <c r="K315" s="22" t="s">
        <v>1707</v>
      </c>
      <c r="L315" s="23" t="s">
        <v>1708</v>
      </c>
      <c r="M315" s="24" t="s">
        <v>7753</v>
      </c>
      <c r="N315" s="23">
        <v>18768000</v>
      </c>
      <c r="O315" s="25" t="s">
        <v>828</v>
      </c>
      <c r="P315" s="25" t="s">
        <v>53</v>
      </c>
      <c r="Q315" s="20" t="s">
        <v>1709</v>
      </c>
      <c r="R315" s="20">
        <v>73084935</v>
      </c>
      <c r="S315" s="25" t="s">
        <v>1710</v>
      </c>
      <c r="T315" s="26" t="s">
        <v>57</v>
      </c>
      <c r="U315" s="23">
        <v>860900062338769</v>
      </c>
      <c r="V315" s="27" t="s">
        <v>57</v>
      </c>
      <c r="W315" s="20" t="s">
        <v>58</v>
      </c>
      <c r="X315" s="20" t="s">
        <v>59</v>
      </c>
      <c r="Y315" s="20" t="s">
        <v>59</v>
      </c>
      <c r="Z315" s="20" t="s">
        <v>60</v>
      </c>
      <c r="AA315" s="20" t="s">
        <v>61</v>
      </c>
      <c r="AB315" s="20" t="s">
        <v>96</v>
      </c>
      <c r="AC315" s="28">
        <v>369.83</v>
      </c>
      <c r="AD315" s="28">
        <f>SUM(BASE[[#This Row],[MONTO DE RENTA ]]*1.16)</f>
        <v>429.00279999999998</v>
      </c>
      <c r="AE315" s="28" t="s">
        <v>63</v>
      </c>
      <c r="AF315" s="28">
        <v>369.82758620689657</v>
      </c>
      <c r="AG315" s="28">
        <v>429</v>
      </c>
      <c r="AH315" s="22" t="s">
        <v>64</v>
      </c>
      <c r="AI315" s="63">
        <v>45703</v>
      </c>
      <c r="AJ315" s="63">
        <v>46433</v>
      </c>
      <c r="AK3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5" s="30"/>
      <c r="AN315" s="20" t="s">
        <v>65</v>
      </c>
      <c r="AP315" s="20" t="s">
        <v>84</v>
      </c>
    </row>
    <row r="316" spans="1:43" ht="16">
      <c r="A316" s="20">
        <v>2211052639</v>
      </c>
      <c r="B316" s="161">
        <v>265078</v>
      </c>
      <c r="C316" s="20" t="s">
        <v>1711</v>
      </c>
      <c r="D316" s="20" t="s">
        <v>1182</v>
      </c>
      <c r="E316" s="20" t="s">
        <v>437</v>
      </c>
      <c r="F316" s="20" t="s">
        <v>248</v>
      </c>
      <c r="G316" s="20" t="s">
        <v>248</v>
      </c>
      <c r="H316" s="20" t="s">
        <v>48</v>
      </c>
      <c r="I316" s="20" t="s">
        <v>248</v>
      </c>
      <c r="J316" s="22" t="s">
        <v>1712</v>
      </c>
      <c r="K316" s="32" t="s">
        <v>1712</v>
      </c>
      <c r="L316" s="23" t="s">
        <v>1708</v>
      </c>
      <c r="M316" s="24" t="s">
        <v>7753</v>
      </c>
      <c r="N316" s="23">
        <v>18735003</v>
      </c>
      <c r="O316" s="25" t="s">
        <v>828</v>
      </c>
      <c r="P316" s="25" t="s">
        <v>53</v>
      </c>
      <c r="Q316" s="20" t="s">
        <v>1713</v>
      </c>
      <c r="R316" s="20">
        <v>73065645</v>
      </c>
      <c r="S316" s="25" t="s">
        <v>1714</v>
      </c>
      <c r="T316" s="26" t="s">
        <v>57</v>
      </c>
      <c r="U316" s="23">
        <v>860900062321765</v>
      </c>
      <c r="V316" s="27" t="s">
        <v>57</v>
      </c>
      <c r="W316" s="20" t="s">
        <v>58</v>
      </c>
      <c r="X316" s="20" t="s">
        <v>59</v>
      </c>
      <c r="Y316" s="20" t="s">
        <v>59</v>
      </c>
      <c r="Z316" s="20" t="s">
        <v>60</v>
      </c>
      <c r="AA316" s="20" t="s">
        <v>61</v>
      </c>
      <c r="AB316" s="20" t="s">
        <v>96</v>
      </c>
      <c r="AC316" s="28">
        <v>369.83</v>
      </c>
      <c r="AD316" s="28">
        <f>SUM(BASE[[#This Row],[MONTO DE RENTA ]]*1.16)</f>
        <v>429.00279999999998</v>
      </c>
      <c r="AE316" s="28" t="s">
        <v>63</v>
      </c>
      <c r="AF316" s="28">
        <v>369.82758620689657</v>
      </c>
      <c r="AG316" s="28">
        <v>429</v>
      </c>
      <c r="AH316" s="22" t="s">
        <v>64</v>
      </c>
      <c r="AI316" s="63">
        <v>45703</v>
      </c>
      <c r="AJ316" s="63">
        <v>46433</v>
      </c>
      <c r="AK3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6" s="30"/>
      <c r="AN316" s="20" t="s">
        <v>65</v>
      </c>
      <c r="AP316" s="20" t="s">
        <v>84</v>
      </c>
    </row>
    <row r="317" spans="1:43" ht="16">
      <c r="A317" s="20">
        <v>2226078549</v>
      </c>
      <c r="B317" s="21">
        <v>355050</v>
      </c>
      <c r="C317" s="20" t="s">
        <v>1715</v>
      </c>
      <c r="D317" s="20" t="s">
        <v>1716</v>
      </c>
      <c r="E317" s="20" t="s">
        <v>1717</v>
      </c>
      <c r="F317" s="20" t="s">
        <v>483</v>
      </c>
      <c r="G317" s="20" t="s">
        <v>257</v>
      </c>
      <c r="H317" s="20" t="s">
        <v>48</v>
      </c>
      <c r="I317" s="20" t="s">
        <v>483</v>
      </c>
      <c r="J317" s="22" t="s">
        <v>1718</v>
      </c>
      <c r="K317" s="22" t="s">
        <v>1719</v>
      </c>
      <c r="L317" s="23" t="s">
        <v>1708</v>
      </c>
      <c r="M317" s="24" t="s">
        <v>7753</v>
      </c>
      <c r="N317" s="23">
        <v>18639000</v>
      </c>
      <c r="O317" s="25" t="s">
        <v>828</v>
      </c>
      <c r="P317" s="25" t="s">
        <v>53</v>
      </c>
      <c r="Q317" s="20" t="s">
        <v>1720</v>
      </c>
      <c r="R317" s="20">
        <v>73036644</v>
      </c>
      <c r="S317" s="25" t="s">
        <v>1721</v>
      </c>
      <c r="T317" s="26" t="s">
        <v>57</v>
      </c>
      <c r="U317" s="23">
        <v>860478064953075</v>
      </c>
      <c r="V317" s="45" t="s">
        <v>110</v>
      </c>
      <c r="W317" s="20" t="s">
        <v>302</v>
      </c>
      <c r="X317" s="20" t="s">
        <v>303</v>
      </c>
      <c r="Y317" s="20" t="s">
        <v>303</v>
      </c>
      <c r="Z317" s="20" t="s">
        <v>80</v>
      </c>
      <c r="AA317" s="20" t="s">
        <v>81</v>
      </c>
      <c r="AB317" s="20" t="s">
        <v>82</v>
      </c>
      <c r="AC317" s="28">
        <v>559.48</v>
      </c>
      <c r="AD317" s="28">
        <f>SUM(BASE[[#This Row],[MONTO DE RENTA ]]*1.16)</f>
        <v>648.99680000000001</v>
      </c>
      <c r="AE317" s="28" t="s">
        <v>83</v>
      </c>
      <c r="AF317" s="28">
        <v>559.48275862068965</v>
      </c>
      <c r="AG317" s="28">
        <v>649</v>
      </c>
      <c r="AH317" s="22" t="s">
        <v>64</v>
      </c>
      <c r="AI317" s="63">
        <v>45703</v>
      </c>
      <c r="AJ317" s="63">
        <v>46433</v>
      </c>
      <c r="AK3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7" s="30"/>
      <c r="AN317" s="20" t="s">
        <v>65</v>
      </c>
      <c r="AP317" s="20" t="s">
        <v>84</v>
      </c>
    </row>
    <row r="318" spans="1:43" ht="16">
      <c r="A318" s="20">
        <v>2223161838</v>
      </c>
      <c r="B318" s="21">
        <v>1075167</v>
      </c>
      <c r="C318" s="20" t="s">
        <v>639</v>
      </c>
      <c r="D318" s="20" t="s">
        <v>1722</v>
      </c>
      <c r="E318" s="20" t="s">
        <v>1723</v>
      </c>
      <c r="F318" s="20" t="s">
        <v>104</v>
      </c>
      <c r="G318" s="20" t="s">
        <v>104</v>
      </c>
      <c r="H318" s="20" t="s">
        <v>48</v>
      </c>
      <c r="I318" s="20" t="s">
        <v>104</v>
      </c>
      <c r="J318" s="22" t="s">
        <v>1724</v>
      </c>
      <c r="K318" s="22" t="s">
        <v>1724</v>
      </c>
      <c r="L318" s="25" t="s">
        <v>1708</v>
      </c>
      <c r="M318" s="24" t="s">
        <v>7753</v>
      </c>
      <c r="N318" s="23">
        <v>18635000</v>
      </c>
      <c r="O318" s="25" t="s">
        <v>828</v>
      </c>
      <c r="P318" s="25" t="s">
        <v>53</v>
      </c>
      <c r="Q318" s="20" t="s">
        <v>1725</v>
      </c>
      <c r="R318" s="20">
        <v>73004462</v>
      </c>
      <c r="S318" s="25" t="s">
        <v>1726</v>
      </c>
      <c r="T318" s="26" t="s">
        <v>57</v>
      </c>
      <c r="U318" s="23">
        <v>860478063558883</v>
      </c>
      <c r="V318" s="45" t="s">
        <v>110</v>
      </c>
      <c r="W318" s="20" t="s">
        <v>302</v>
      </c>
      <c r="X318" s="20" t="s">
        <v>303</v>
      </c>
      <c r="Y318" s="20" t="s">
        <v>303</v>
      </c>
      <c r="Z318" s="20" t="s">
        <v>80</v>
      </c>
      <c r="AA318" s="20" t="s">
        <v>81</v>
      </c>
      <c r="AB318" s="20" t="s">
        <v>82</v>
      </c>
      <c r="AC318" s="28">
        <v>559.48</v>
      </c>
      <c r="AD318" s="28">
        <f>SUM(BASE[[#This Row],[MONTO DE RENTA ]]*1.16)</f>
        <v>648.99680000000001</v>
      </c>
      <c r="AE318" s="28" t="s">
        <v>83</v>
      </c>
      <c r="AF318" s="28">
        <v>559.48275862068965</v>
      </c>
      <c r="AG318" s="28">
        <v>649</v>
      </c>
      <c r="AH318" s="22" t="s">
        <v>64</v>
      </c>
      <c r="AI318" s="63">
        <v>45703</v>
      </c>
      <c r="AJ318" s="63">
        <v>46433</v>
      </c>
      <c r="AK3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18" s="30"/>
      <c r="AN318" s="20" t="s">
        <v>65</v>
      </c>
      <c r="AP318" s="20" t="s">
        <v>84</v>
      </c>
    </row>
    <row r="319" spans="1:43" ht="16">
      <c r="A319" s="20">
        <v>2211828050</v>
      </c>
      <c r="B319" s="49">
        <v>20100</v>
      </c>
      <c r="C319" s="20" t="s">
        <v>119</v>
      </c>
      <c r="D319" s="20" t="s">
        <v>437</v>
      </c>
      <c r="E319" s="20" t="s">
        <v>1675</v>
      </c>
      <c r="F319" s="20" t="s">
        <v>70</v>
      </c>
      <c r="G319" s="20" t="s">
        <v>70</v>
      </c>
      <c r="H319" s="20" t="s">
        <v>48</v>
      </c>
      <c r="I319" s="20" t="s">
        <v>70</v>
      </c>
      <c r="J319" s="32" t="s">
        <v>1727</v>
      </c>
      <c r="K319" s="32" t="s">
        <v>1727</v>
      </c>
      <c r="L319" s="23" t="s">
        <v>1708</v>
      </c>
      <c r="M319" s="24" t="s">
        <v>7753</v>
      </c>
      <c r="N319" s="23">
        <v>18635000</v>
      </c>
      <c r="O319" s="25" t="s">
        <v>828</v>
      </c>
      <c r="P319" s="25" t="s">
        <v>53</v>
      </c>
      <c r="Q319" s="20" t="s">
        <v>1728</v>
      </c>
      <c r="R319" s="20">
        <v>72922681</v>
      </c>
      <c r="S319" s="25" t="s">
        <v>55</v>
      </c>
      <c r="T319" s="26" t="s">
        <v>56</v>
      </c>
      <c r="U319" s="23">
        <v>357894929196041</v>
      </c>
      <c r="V319" s="27" t="s">
        <v>78</v>
      </c>
      <c r="W319" s="20" t="s">
        <v>95</v>
      </c>
      <c r="X319" s="20" t="s">
        <v>95</v>
      </c>
      <c r="Y319" s="20" t="s">
        <v>95</v>
      </c>
      <c r="Z319" s="20" t="s">
        <v>60</v>
      </c>
      <c r="AA319" s="20" t="s">
        <v>61</v>
      </c>
      <c r="AB319" s="20" t="s">
        <v>82</v>
      </c>
      <c r="AC319" s="28">
        <v>559.48</v>
      </c>
      <c r="AD319" s="28">
        <f>SUM(BASE[[#This Row],[MONTO DE RENTA ]]*1.16)</f>
        <v>648.99680000000001</v>
      </c>
      <c r="AE319" s="28" t="s">
        <v>83</v>
      </c>
      <c r="AF319" s="28">
        <v>559.48275862068965</v>
      </c>
      <c r="AG319" s="28">
        <v>649</v>
      </c>
      <c r="AI319" s="63">
        <v>44937</v>
      </c>
      <c r="AJ319" s="63">
        <v>46043</v>
      </c>
      <c r="AK3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19" s="30"/>
      <c r="AN319" s="20" t="s">
        <v>99</v>
      </c>
      <c r="AP319" s="20" t="s">
        <v>84</v>
      </c>
      <c r="AQ319" s="20" t="s">
        <v>100</v>
      </c>
    </row>
    <row r="320" spans="1:43" ht="16">
      <c r="A320" s="20">
        <v>3311538208</v>
      </c>
      <c r="B320" s="21">
        <v>1013243</v>
      </c>
      <c r="C320" s="20" t="s">
        <v>1729</v>
      </c>
      <c r="D320" s="20" t="s">
        <v>205</v>
      </c>
      <c r="E320" s="20" t="s">
        <v>476</v>
      </c>
      <c r="F320" s="20" t="s">
        <v>418</v>
      </c>
      <c r="G320" s="20" t="s">
        <v>47</v>
      </c>
      <c r="H320" s="20" t="s">
        <v>48</v>
      </c>
      <c r="I320" s="20" t="s">
        <v>418</v>
      </c>
      <c r="J320" s="22" t="s">
        <v>1730</v>
      </c>
      <c r="K320" s="22" t="s">
        <v>1730</v>
      </c>
      <c r="L320" s="23" t="s">
        <v>1731</v>
      </c>
      <c r="M320" s="24" t="s">
        <v>7746</v>
      </c>
      <c r="N320" s="23">
        <v>18636000</v>
      </c>
      <c r="O320" s="25" t="s">
        <v>677</v>
      </c>
      <c r="P320" s="25" t="s">
        <v>53</v>
      </c>
      <c r="Q320" s="20" t="s">
        <v>1732</v>
      </c>
      <c r="R320" s="20">
        <v>53354226</v>
      </c>
      <c r="S320" s="25" t="s">
        <v>1733</v>
      </c>
      <c r="T320" s="44" t="s">
        <v>57</v>
      </c>
      <c r="U320" s="23">
        <v>860900062254974</v>
      </c>
      <c r="V320" s="45" t="s">
        <v>110</v>
      </c>
      <c r="W320" s="20" t="s">
        <v>58</v>
      </c>
      <c r="X320" s="20" t="s">
        <v>59</v>
      </c>
      <c r="Y320" s="20" t="s">
        <v>59</v>
      </c>
      <c r="Z320" s="20" t="s">
        <v>80</v>
      </c>
      <c r="AA320" s="20" t="s">
        <v>81</v>
      </c>
      <c r="AB320" s="20" t="s">
        <v>96</v>
      </c>
      <c r="AC320" s="28">
        <v>369.83</v>
      </c>
      <c r="AD320" s="28">
        <f>SUM(BASE[[#This Row],[MONTO DE RENTA ]]*1.16)</f>
        <v>429.00279999999998</v>
      </c>
      <c r="AE320" s="28" t="s">
        <v>63</v>
      </c>
      <c r="AF320" s="28">
        <v>369.82758620689657</v>
      </c>
      <c r="AG320" s="28">
        <v>429</v>
      </c>
      <c r="AI320" s="63">
        <v>44937</v>
      </c>
      <c r="AJ320" s="63">
        <v>46681</v>
      </c>
      <c r="AK320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320" s="30" t="s">
        <v>1734</v>
      </c>
      <c r="AN320" s="20" t="s">
        <v>65</v>
      </c>
      <c r="AP320" s="20" t="s">
        <v>84</v>
      </c>
    </row>
    <row r="321" spans="1:43" ht="16">
      <c r="A321" s="20">
        <v>3311530473</v>
      </c>
      <c r="B321" s="21">
        <v>1008823</v>
      </c>
      <c r="C321" s="20" t="s">
        <v>1735</v>
      </c>
      <c r="D321" s="20" t="s">
        <v>1517</v>
      </c>
      <c r="E321" s="20" t="s">
        <v>1736</v>
      </c>
      <c r="F321" s="20" t="s">
        <v>451</v>
      </c>
      <c r="G321" s="20" t="s">
        <v>248</v>
      </c>
      <c r="H321" s="20" t="s">
        <v>48</v>
      </c>
      <c r="I321" s="20" t="s">
        <v>451</v>
      </c>
      <c r="J321" s="22" t="s">
        <v>1737</v>
      </c>
      <c r="K321" s="22" t="s">
        <v>1737</v>
      </c>
      <c r="L321" s="23" t="s">
        <v>1731</v>
      </c>
      <c r="M321" s="24" t="s">
        <v>7746</v>
      </c>
      <c r="N321" s="23">
        <v>18636000</v>
      </c>
      <c r="O321" s="25" t="s">
        <v>677</v>
      </c>
      <c r="P321" s="25" t="s">
        <v>53</v>
      </c>
      <c r="Q321" s="20" t="s">
        <v>1738</v>
      </c>
      <c r="R321" s="20">
        <v>53335823</v>
      </c>
      <c r="S321" s="25" t="s">
        <v>1739</v>
      </c>
      <c r="T321" s="26" t="s">
        <v>57</v>
      </c>
      <c r="U321" s="23">
        <v>860900062256094</v>
      </c>
      <c r="V321" s="27" t="s">
        <v>57</v>
      </c>
      <c r="W321" s="20" t="s">
        <v>58</v>
      </c>
      <c r="X321" s="20" t="s">
        <v>59</v>
      </c>
      <c r="Y321" s="20" t="s">
        <v>59</v>
      </c>
      <c r="Z321" s="20" t="s">
        <v>80</v>
      </c>
      <c r="AA321" s="20" t="s">
        <v>81</v>
      </c>
      <c r="AB321" s="20" t="s">
        <v>96</v>
      </c>
      <c r="AC321" s="28">
        <v>369.83</v>
      </c>
      <c r="AD321" s="28">
        <f>SUM(BASE[[#This Row],[MONTO DE RENTA ]]*1.16)</f>
        <v>429.00279999999998</v>
      </c>
      <c r="AE321" s="28" t="s">
        <v>63</v>
      </c>
      <c r="AF321" s="28">
        <v>369.82758620689657</v>
      </c>
      <c r="AG321" s="28">
        <v>429</v>
      </c>
      <c r="AH321" s="22" t="s">
        <v>64</v>
      </c>
      <c r="AI321" s="63">
        <v>45703</v>
      </c>
      <c r="AJ321" s="63">
        <v>46433</v>
      </c>
      <c r="AK3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1" s="30"/>
      <c r="AN321" s="20" t="s">
        <v>65</v>
      </c>
      <c r="AP321" s="20" t="s">
        <v>84</v>
      </c>
    </row>
    <row r="322" spans="1:43" ht="16">
      <c r="A322" s="20">
        <v>3360591712</v>
      </c>
      <c r="B322" s="21">
        <v>720389</v>
      </c>
      <c r="C322" s="20" t="s">
        <v>1235</v>
      </c>
      <c r="D322" s="20" t="s">
        <v>298</v>
      </c>
      <c r="E322" s="20" t="s">
        <v>1740</v>
      </c>
      <c r="F322" s="20" t="s">
        <v>257</v>
      </c>
      <c r="G322" s="20" t="s">
        <v>257</v>
      </c>
      <c r="H322" s="20" t="s">
        <v>48</v>
      </c>
      <c r="I322" s="20" t="s">
        <v>257</v>
      </c>
      <c r="J322" s="22" t="s">
        <v>1741</v>
      </c>
      <c r="K322" s="22" t="s">
        <v>1741</v>
      </c>
      <c r="L322" s="23" t="s">
        <v>1731</v>
      </c>
      <c r="M322" s="24" t="s">
        <v>7746</v>
      </c>
      <c r="N322" s="23">
        <v>18636000</v>
      </c>
      <c r="O322" s="25" t="s">
        <v>677</v>
      </c>
      <c r="P322" s="25" t="s">
        <v>53</v>
      </c>
      <c r="Q322" s="20" t="s">
        <v>1742</v>
      </c>
      <c r="R322" s="20">
        <v>53345594</v>
      </c>
      <c r="S322" s="25" t="s">
        <v>1743</v>
      </c>
      <c r="T322" s="26" t="s">
        <v>57</v>
      </c>
      <c r="U322" s="23">
        <v>866223056002216</v>
      </c>
      <c r="V322" s="45" t="s">
        <v>110</v>
      </c>
      <c r="W322" s="20" t="s">
        <v>649</v>
      </c>
      <c r="X322" s="20" t="s">
        <v>650</v>
      </c>
      <c r="Y322" s="20" t="s">
        <v>650</v>
      </c>
      <c r="Z322" s="20" t="s">
        <v>80</v>
      </c>
      <c r="AA322" s="20" t="s">
        <v>81</v>
      </c>
      <c r="AB322" s="20" t="s">
        <v>82</v>
      </c>
      <c r="AC322" s="28">
        <v>559.48</v>
      </c>
      <c r="AD322" s="28">
        <f>SUM(BASE[[#This Row],[MONTO DE RENTA ]]*1.16)</f>
        <v>648.99680000000001</v>
      </c>
      <c r="AE322" s="28" t="s">
        <v>83</v>
      </c>
      <c r="AF322" s="28">
        <v>559.48275862068965</v>
      </c>
      <c r="AG322" s="28">
        <v>649</v>
      </c>
      <c r="AH322" s="22" t="s">
        <v>64</v>
      </c>
      <c r="AI322" s="63">
        <v>45687</v>
      </c>
      <c r="AJ322" s="63">
        <v>46417</v>
      </c>
      <c r="AK32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322" s="30"/>
      <c r="AN322" s="20" t="s">
        <v>65</v>
      </c>
      <c r="AP322" s="20" t="s">
        <v>84</v>
      </c>
    </row>
    <row r="323" spans="1:43" ht="16">
      <c r="A323" s="20">
        <v>3360597928</v>
      </c>
      <c r="B323" s="21">
        <v>720341</v>
      </c>
      <c r="C323" s="20" t="s">
        <v>1744</v>
      </c>
      <c r="D323" s="20" t="s">
        <v>507</v>
      </c>
      <c r="E323" s="20" t="s">
        <v>1745</v>
      </c>
      <c r="F323" s="20" t="s">
        <v>104</v>
      </c>
      <c r="G323" s="20" t="s">
        <v>104</v>
      </c>
      <c r="H323" s="20" t="s">
        <v>48</v>
      </c>
      <c r="I323" s="20" t="s">
        <v>104</v>
      </c>
      <c r="J323" s="22" t="s">
        <v>1746</v>
      </c>
      <c r="K323" s="22" t="s">
        <v>1746</v>
      </c>
      <c r="L323" s="23" t="s">
        <v>1731</v>
      </c>
      <c r="M323" s="24" t="s">
        <v>7746</v>
      </c>
      <c r="N323" s="23">
        <v>18636000</v>
      </c>
      <c r="O323" s="25" t="s">
        <v>677</v>
      </c>
      <c r="P323" s="25" t="s">
        <v>53</v>
      </c>
      <c r="Q323" s="20" t="s">
        <v>1747</v>
      </c>
      <c r="R323" s="20">
        <v>53345597</v>
      </c>
      <c r="S323" s="25" t="s">
        <v>1748</v>
      </c>
      <c r="T323" s="26" t="s">
        <v>57</v>
      </c>
      <c r="U323" s="23">
        <v>860478064809012</v>
      </c>
      <c r="V323" s="45" t="s">
        <v>110</v>
      </c>
      <c r="W323" s="20" t="s">
        <v>302</v>
      </c>
      <c r="X323" s="20" t="s">
        <v>303</v>
      </c>
      <c r="Y323" s="20" t="s">
        <v>303</v>
      </c>
      <c r="Z323" s="20" t="s">
        <v>80</v>
      </c>
      <c r="AA323" s="20" t="s">
        <v>81</v>
      </c>
      <c r="AB323" s="20" t="s">
        <v>82</v>
      </c>
      <c r="AC323" s="28">
        <v>559.48</v>
      </c>
      <c r="AD323" s="28">
        <f>SUM(BASE[[#This Row],[MONTO DE RENTA ]]*1.16)</f>
        <v>648.99680000000001</v>
      </c>
      <c r="AE323" s="28" t="s">
        <v>83</v>
      </c>
      <c r="AF323" s="28">
        <v>559.48275862068965</v>
      </c>
      <c r="AG323" s="28">
        <v>649</v>
      </c>
      <c r="AH323" s="22" t="s">
        <v>64</v>
      </c>
      <c r="AI323" s="63">
        <v>45703</v>
      </c>
      <c r="AJ323" s="63">
        <v>46433</v>
      </c>
      <c r="AK3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3" s="30"/>
      <c r="AN323" s="20" t="s">
        <v>65</v>
      </c>
      <c r="AP323" s="20" t="s">
        <v>84</v>
      </c>
    </row>
    <row r="324" spans="1:43" ht="16">
      <c r="A324" s="182">
        <v>3315010906</v>
      </c>
      <c r="B324" s="21">
        <v>1022977</v>
      </c>
      <c r="C324" s="20" t="s">
        <v>1749</v>
      </c>
      <c r="D324" s="20" t="s">
        <v>598</v>
      </c>
      <c r="E324" s="20" t="s">
        <v>477</v>
      </c>
      <c r="F324" s="20" t="s">
        <v>104</v>
      </c>
      <c r="G324" s="20" t="s">
        <v>104</v>
      </c>
      <c r="H324" s="20" t="s">
        <v>48</v>
      </c>
      <c r="I324" s="20" t="s">
        <v>104</v>
      </c>
      <c r="J324" s="22" t="s">
        <v>1750</v>
      </c>
      <c r="K324" s="22" t="s">
        <v>1750</v>
      </c>
      <c r="L324" s="23" t="s">
        <v>1731</v>
      </c>
      <c r="M324" s="24" t="s">
        <v>7746</v>
      </c>
      <c r="N324" s="23">
        <v>18636000</v>
      </c>
      <c r="O324" s="25" t="s">
        <v>677</v>
      </c>
      <c r="P324" s="25" t="s">
        <v>53</v>
      </c>
      <c r="Q324" s="20" t="s">
        <v>1751</v>
      </c>
      <c r="R324" s="20">
        <v>53345587</v>
      </c>
      <c r="S324" s="25" t="s">
        <v>1752</v>
      </c>
      <c r="T324" s="26" t="s">
        <v>57</v>
      </c>
      <c r="U324" s="23">
        <v>867353050248918</v>
      </c>
      <c r="V324" s="45" t="s">
        <v>110</v>
      </c>
      <c r="W324" s="20" t="s">
        <v>149</v>
      </c>
      <c r="X324" s="20" t="s">
        <v>150</v>
      </c>
      <c r="Y324" s="20" t="s">
        <v>150</v>
      </c>
      <c r="Z324" s="20" t="s">
        <v>1753</v>
      </c>
      <c r="AA324" s="20" t="s">
        <v>1754</v>
      </c>
      <c r="AB324" s="20" t="s">
        <v>1755</v>
      </c>
      <c r="AC324" s="28">
        <v>369.83</v>
      </c>
      <c r="AD324" s="28">
        <f>SUM(BASE[[#This Row],[MONTO DE RENTA ]]*1.16)</f>
        <v>429.00279999999998</v>
      </c>
      <c r="AE324" s="28" t="s">
        <v>97</v>
      </c>
      <c r="AF324" s="28">
        <v>473.27586206896552</v>
      </c>
      <c r="AG324" s="28">
        <v>549</v>
      </c>
      <c r="AI324" s="63">
        <v>44937</v>
      </c>
      <c r="AJ324" s="73">
        <v>46043</v>
      </c>
      <c r="AK3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24" s="30"/>
      <c r="AN324" s="20" t="s">
        <v>99</v>
      </c>
      <c r="AP324" s="20" t="s">
        <v>66</v>
      </c>
      <c r="AQ324" s="20" t="s">
        <v>100</v>
      </c>
    </row>
    <row r="325" spans="1:43" ht="16">
      <c r="A325" s="20">
        <v>3312742733</v>
      </c>
      <c r="B325" s="49">
        <v>1007799</v>
      </c>
      <c r="C325" s="20" t="s">
        <v>1756</v>
      </c>
      <c r="D325" s="20" t="s">
        <v>1757</v>
      </c>
      <c r="E325" s="20" t="s">
        <v>340</v>
      </c>
      <c r="F325" s="20" t="s">
        <v>70</v>
      </c>
      <c r="G325" s="20" t="s">
        <v>70</v>
      </c>
      <c r="H325" s="20" t="s">
        <v>48</v>
      </c>
      <c r="I325" s="20" t="s">
        <v>70</v>
      </c>
      <c r="J325" s="22" t="s">
        <v>1758</v>
      </c>
      <c r="K325" s="22" t="s">
        <v>1758</v>
      </c>
      <c r="L325" s="23" t="s">
        <v>1731</v>
      </c>
      <c r="M325" s="24" t="s">
        <v>7746</v>
      </c>
      <c r="N325" s="23">
        <v>18772000</v>
      </c>
      <c r="O325" s="25" t="s">
        <v>677</v>
      </c>
      <c r="P325" s="25" t="s">
        <v>53</v>
      </c>
      <c r="Q325" s="20" t="s">
        <v>1759</v>
      </c>
      <c r="R325" s="20">
        <v>53162346</v>
      </c>
      <c r="S325" s="25" t="s">
        <v>55</v>
      </c>
      <c r="T325" s="26" t="s">
        <v>56</v>
      </c>
      <c r="U325" s="23">
        <v>357654178762780</v>
      </c>
      <c r="V325" s="27" t="s">
        <v>78</v>
      </c>
      <c r="W325" s="20" t="s">
        <v>95</v>
      </c>
      <c r="X325" s="20" t="s">
        <v>95</v>
      </c>
      <c r="Y325" s="20" t="s">
        <v>95</v>
      </c>
      <c r="Z325" s="20" t="s">
        <v>60</v>
      </c>
      <c r="AA325" s="20" t="s">
        <v>61</v>
      </c>
      <c r="AB325" s="20" t="s">
        <v>82</v>
      </c>
      <c r="AC325" s="28">
        <v>559.48</v>
      </c>
      <c r="AD325" s="28">
        <f>SUM(BASE[[#This Row],[MONTO DE RENTA ]]*1.16)</f>
        <v>648.99680000000001</v>
      </c>
      <c r="AE325" s="28" t="s">
        <v>83</v>
      </c>
      <c r="AF325" s="28">
        <v>559.48275862068965</v>
      </c>
      <c r="AG325" s="28">
        <v>649</v>
      </c>
      <c r="AI325" s="29">
        <v>44937</v>
      </c>
      <c r="AJ325" s="50">
        <v>46043</v>
      </c>
      <c r="AK3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25" s="30"/>
      <c r="AN325" s="20" t="s">
        <v>99</v>
      </c>
      <c r="AP325" s="20" t="s">
        <v>84</v>
      </c>
      <c r="AQ325" s="20" t="s">
        <v>100</v>
      </c>
    </row>
    <row r="326" spans="1:43" ht="16">
      <c r="A326" s="20">
        <v>5518856226</v>
      </c>
      <c r="B326" s="21">
        <v>250078</v>
      </c>
      <c r="C326" s="20" t="s">
        <v>1249</v>
      </c>
      <c r="D326" s="20" t="s">
        <v>280</v>
      </c>
      <c r="E326" s="20" t="s">
        <v>442</v>
      </c>
      <c r="F326" s="20" t="s">
        <v>1038</v>
      </c>
      <c r="G326" s="20" t="s">
        <v>47</v>
      </c>
      <c r="H326" s="20" t="s">
        <v>48</v>
      </c>
      <c r="I326" s="20" t="s">
        <v>1038</v>
      </c>
      <c r="J326" s="22" t="s">
        <v>1760</v>
      </c>
      <c r="K326" s="22" t="s">
        <v>1760</v>
      </c>
      <c r="L326" s="23" t="s">
        <v>1761</v>
      </c>
      <c r="M326" s="24" t="s">
        <v>7741</v>
      </c>
      <c r="N326" s="23">
        <v>18725000</v>
      </c>
      <c r="O326" s="25" t="s">
        <v>52</v>
      </c>
      <c r="P326" s="25" t="s">
        <v>53</v>
      </c>
      <c r="Q326" s="20" t="s">
        <v>1762</v>
      </c>
      <c r="R326" s="20">
        <v>90182559</v>
      </c>
      <c r="S326" s="25" t="s">
        <v>1763</v>
      </c>
      <c r="T326" s="26" t="s">
        <v>57</v>
      </c>
      <c r="U326" s="23">
        <v>860900062336698</v>
      </c>
      <c r="V326" s="27" t="s">
        <v>57</v>
      </c>
      <c r="W326" s="20" t="s">
        <v>58</v>
      </c>
      <c r="X326" s="20" t="s">
        <v>59</v>
      </c>
      <c r="Y326" s="20" t="s">
        <v>59</v>
      </c>
      <c r="Z326" s="20" t="s">
        <v>60</v>
      </c>
      <c r="AA326" s="20" t="s">
        <v>61</v>
      </c>
      <c r="AB326" s="20" t="s">
        <v>96</v>
      </c>
      <c r="AC326" s="28">
        <v>369.83</v>
      </c>
      <c r="AD326" s="28">
        <f>SUM(BASE[[#This Row],[MONTO DE RENTA ]]*1.16)</f>
        <v>429.00279999999998</v>
      </c>
      <c r="AE326" s="28" t="s">
        <v>63</v>
      </c>
      <c r="AF326" s="28">
        <v>369.82758620689657</v>
      </c>
      <c r="AG326" s="28">
        <v>429</v>
      </c>
      <c r="AH326" s="22" t="s">
        <v>64</v>
      </c>
      <c r="AI326" s="63">
        <v>45703</v>
      </c>
      <c r="AJ326" s="63">
        <v>46433</v>
      </c>
      <c r="AK3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6" s="30"/>
      <c r="AN326" s="20" t="s">
        <v>65</v>
      </c>
      <c r="AP326" s="20" t="s">
        <v>84</v>
      </c>
    </row>
    <row r="327" spans="1:43" ht="16">
      <c r="A327" s="20">
        <v>5514163552</v>
      </c>
      <c r="B327" s="21">
        <v>1007553</v>
      </c>
      <c r="C327" s="20" t="s">
        <v>1764</v>
      </c>
      <c r="D327" s="20" t="s">
        <v>340</v>
      </c>
      <c r="E327" s="20" t="s">
        <v>45</v>
      </c>
      <c r="F327" s="20" t="s">
        <v>451</v>
      </c>
      <c r="G327" s="20" t="s">
        <v>248</v>
      </c>
      <c r="H327" s="20" t="s">
        <v>48</v>
      </c>
      <c r="I327" s="20" t="s">
        <v>451</v>
      </c>
      <c r="J327" s="22" t="s">
        <v>1765</v>
      </c>
      <c r="K327" s="22" t="s">
        <v>1765</v>
      </c>
      <c r="L327" s="23" t="s">
        <v>1761</v>
      </c>
      <c r="M327" s="24" t="s">
        <v>7741</v>
      </c>
      <c r="N327" s="23">
        <v>18637000</v>
      </c>
      <c r="O327" s="25" t="s">
        <v>52</v>
      </c>
      <c r="P327" s="25" t="s">
        <v>53</v>
      </c>
      <c r="Q327" s="20" t="s">
        <v>1766</v>
      </c>
      <c r="R327" s="20">
        <v>90136459</v>
      </c>
      <c r="S327" s="25" t="s">
        <v>1767</v>
      </c>
      <c r="T327" s="26" t="s">
        <v>57</v>
      </c>
      <c r="U327" s="23">
        <v>860900062336458</v>
      </c>
      <c r="V327" s="27" t="s">
        <v>57</v>
      </c>
      <c r="W327" s="20" t="s">
        <v>58</v>
      </c>
      <c r="X327" s="20" t="s">
        <v>59</v>
      </c>
      <c r="Y327" s="20" t="s">
        <v>59</v>
      </c>
      <c r="Z327" s="20" t="s">
        <v>60</v>
      </c>
      <c r="AA327" s="20" t="s">
        <v>61</v>
      </c>
      <c r="AB327" s="20" t="s">
        <v>96</v>
      </c>
      <c r="AC327" s="28">
        <v>369.83</v>
      </c>
      <c r="AD327" s="28">
        <f>SUM(BASE[[#This Row],[MONTO DE RENTA ]]*1.16)</f>
        <v>429.00279999999998</v>
      </c>
      <c r="AE327" s="28" t="s">
        <v>63</v>
      </c>
      <c r="AF327" s="28">
        <v>369.82758620689657</v>
      </c>
      <c r="AG327" s="28">
        <v>429</v>
      </c>
      <c r="AH327" s="22" t="s">
        <v>64</v>
      </c>
      <c r="AI327" s="63">
        <v>45703</v>
      </c>
      <c r="AJ327" s="63">
        <v>46433</v>
      </c>
      <c r="AK3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7" s="30"/>
      <c r="AN327" s="20" t="s">
        <v>65</v>
      </c>
      <c r="AP327" s="20" t="s">
        <v>84</v>
      </c>
    </row>
    <row r="328" spans="1:43" ht="16">
      <c r="A328" s="183">
        <v>5533077908</v>
      </c>
      <c r="B328" s="184">
        <v>240606</v>
      </c>
      <c r="C328" s="20" t="s">
        <v>663</v>
      </c>
      <c r="D328" s="20" t="s">
        <v>1768</v>
      </c>
      <c r="E328" s="20" t="s">
        <v>476</v>
      </c>
      <c r="F328" s="20" t="s">
        <v>483</v>
      </c>
      <c r="G328" s="20" t="s">
        <v>257</v>
      </c>
      <c r="H328" s="20" t="s">
        <v>48</v>
      </c>
      <c r="I328" s="20" t="s">
        <v>483</v>
      </c>
      <c r="J328" s="22" t="s">
        <v>1769</v>
      </c>
      <c r="K328" s="22" t="s">
        <v>1769</v>
      </c>
      <c r="L328" s="23" t="s">
        <v>1761</v>
      </c>
      <c r="M328" s="24" t="s">
        <v>7741</v>
      </c>
      <c r="N328" s="23">
        <v>18647000</v>
      </c>
      <c r="O328" s="25" t="s">
        <v>52</v>
      </c>
      <c r="P328" s="25" t="s">
        <v>53</v>
      </c>
      <c r="Q328" s="20" t="s">
        <v>1770</v>
      </c>
      <c r="R328" s="20">
        <v>90069881</v>
      </c>
      <c r="S328" s="25" t="s">
        <v>1771</v>
      </c>
      <c r="T328" s="26" t="s">
        <v>57</v>
      </c>
      <c r="U328" s="23">
        <v>860478060690564</v>
      </c>
      <c r="V328" s="45" t="s">
        <v>110</v>
      </c>
      <c r="W328" s="20" t="s">
        <v>302</v>
      </c>
      <c r="X328" s="20" t="s">
        <v>303</v>
      </c>
      <c r="Y328" s="20" t="s">
        <v>303</v>
      </c>
      <c r="Z328" s="20" t="s">
        <v>131</v>
      </c>
      <c r="AA328" s="20" t="s">
        <v>132</v>
      </c>
      <c r="AB328" s="20" t="s">
        <v>82</v>
      </c>
      <c r="AC328" s="28">
        <v>559.48</v>
      </c>
      <c r="AD328" s="28">
        <f>SUM(BASE[[#This Row],[MONTO DE RENTA ]]*1.16)</f>
        <v>648.99680000000001</v>
      </c>
      <c r="AE328" s="28" t="s">
        <v>83</v>
      </c>
      <c r="AF328" s="28">
        <v>559.48275862068965</v>
      </c>
      <c r="AG328" s="28">
        <v>649</v>
      </c>
      <c r="AH328" s="22" t="s">
        <v>64</v>
      </c>
      <c r="AI328" s="63">
        <v>45703</v>
      </c>
      <c r="AJ328" s="63">
        <v>46433</v>
      </c>
      <c r="AK3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8" s="30"/>
      <c r="AN328" s="20" t="s">
        <v>65</v>
      </c>
      <c r="AP328" s="20" t="s">
        <v>84</v>
      </c>
    </row>
    <row r="329" spans="1:43" ht="16">
      <c r="A329" s="20">
        <v>5533078865</v>
      </c>
      <c r="B329" s="21">
        <v>1068316</v>
      </c>
      <c r="C329" s="20" t="s">
        <v>1264</v>
      </c>
      <c r="D329" s="20" t="s">
        <v>102</v>
      </c>
      <c r="E329" s="20" t="s">
        <v>1772</v>
      </c>
      <c r="F329" s="20" t="s">
        <v>104</v>
      </c>
      <c r="G329" s="20" t="s">
        <v>104</v>
      </c>
      <c r="H329" s="20" t="s">
        <v>48</v>
      </c>
      <c r="I329" s="20" t="s">
        <v>104</v>
      </c>
      <c r="J329" s="22" t="s">
        <v>1773</v>
      </c>
      <c r="K329" s="32" t="s">
        <v>1773</v>
      </c>
      <c r="L329" s="23" t="s">
        <v>1761</v>
      </c>
      <c r="M329" s="24" t="s">
        <v>7741</v>
      </c>
      <c r="N329" s="23">
        <v>18637000</v>
      </c>
      <c r="O329" s="25" t="s">
        <v>52</v>
      </c>
      <c r="P329" s="25" t="s">
        <v>53</v>
      </c>
      <c r="Q329" s="20" t="s">
        <v>1774</v>
      </c>
      <c r="R329" s="20">
        <v>90069513</v>
      </c>
      <c r="S329" s="25" t="s">
        <v>1775</v>
      </c>
      <c r="T329" s="26" t="s">
        <v>57</v>
      </c>
      <c r="U329" s="23">
        <v>860478062353260</v>
      </c>
      <c r="V329" s="45" t="s">
        <v>110</v>
      </c>
      <c r="W329" s="20" t="s">
        <v>302</v>
      </c>
      <c r="X329" s="20" t="s">
        <v>303</v>
      </c>
      <c r="Y329" s="20" t="s">
        <v>303</v>
      </c>
      <c r="Z329" s="20" t="s">
        <v>131</v>
      </c>
      <c r="AA329" s="20" t="s">
        <v>132</v>
      </c>
      <c r="AB329" s="20" t="s">
        <v>82</v>
      </c>
      <c r="AC329" s="28">
        <v>559.48</v>
      </c>
      <c r="AD329" s="28">
        <f>SUM(BASE[[#This Row],[MONTO DE RENTA ]]*1.16)</f>
        <v>648.99680000000001</v>
      </c>
      <c r="AE329" s="28" t="s">
        <v>83</v>
      </c>
      <c r="AF329" s="28">
        <v>559.48275862068965</v>
      </c>
      <c r="AG329" s="28">
        <v>649</v>
      </c>
      <c r="AH329" s="22" t="s">
        <v>64</v>
      </c>
      <c r="AI329" s="63">
        <v>45703</v>
      </c>
      <c r="AJ329" s="63">
        <v>46433</v>
      </c>
      <c r="AK3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29" s="30"/>
      <c r="AN329" s="20" t="s">
        <v>65</v>
      </c>
      <c r="AP329" s="20" t="s">
        <v>84</v>
      </c>
    </row>
    <row r="330" spans="1:43" ht="16">
      <c r="A330" s="20">
        <v>5528115280</v>
      </c>
      <c r="B330" s="21">
        <v>375042</v>
      </c>
      <c r="C330" s="20" t="s">
        <v>1776</v>
      </c>
      <c r="D330" s="20" t="s">
        <v>442</v>
      </c>
      <c r="E330" s="20" t="s">
        <v>477</v>
      </c>
      <c r="F330" s="20" t="s">
        <v>384</v>
      </c>
      <c r="G330" s="20" t="s">
        <v>104</v>
      </c>
      <c r="H330" s="20" t="s">
        <v>48</v>
      </c>
      <c r="I330" s="20" t="s">
        <v>384</v>
      </c>
      <c r="J330" s="22" t="s">
        <v>1777</v>
      </c>
      <c r="K330" s="22" t="s">
        <v>1777</v>
      </c>
      <c r="L330" s="23" t="s">
        <v>1761</v>
      </c>
      <c r="M330" s="24" t="s">
        <v>7741</v>
      </c>
      <c r="N330" s="23">
        <v>18637000</v>
      </c>
      <c r="O330" s="25" t="s">
        <v>52</v>
      </c>
      <c r="P330" s="25" t="s">
        <v>53</v>
      </c>
      <c r="Q330" s="20" t="s">
        <v>1778</v>
      </c>
      <c r="R330" s="20">
        <v>90069669</v>
      </c>
      <c r="S330" s="25" t="s">
        <v>1779</v>
      </c>
      <c r="T330" s="26" t="s">
        <v>57</v>
      </c>
      <c r="U330" s="23">
        <v>860478062365983</v>
      </c>
      <c r="V330" s="45" t="s">
        <v>110</v>
      </c>
      <c r="W330" s="20" t="s">
        <v>302</v>
      </c>
      <c r="X330" s="20" t="s">
        <v>303</v>
      </c>
      <c r="Y330" s="20" t="s">
        <v>303</v>
      </c>
      <c r="Z330" s="20" t="s">
        <v>131</v>
      </c>
      <c r="AA330" s="20" t="s">
        <v>132</v>
      </c>
      <c r="AB330" s="20" t="s">
        <v>82</v>
      </c>
      <c r="AC330" s="28">
        <v>559.48</v>
      </c>
      <c r="AD330" s="28">
        <f>SUM(BASE[[#This Row],[MONTO DE RENTA ]]*1.16)</f>
        <v>648.99680000000001</v>
      </c>
      <c r="AE330" s="28" t="s">
        <v>83</v>
      </c>
      <c r="AF330" s="28">
        <v>559.48275862068965</v>
      </c>
      <c r="AG330" s="28">
        <v>649</v>
      </c>
      <c r="AH330" s="22" t="s">
        <v>64</v>
      </c>
      <c r="AI330" s="63">
        <v>45703</v>
      </c>
      <c r="AJ330" s="63">
        <v>46433</v>
      </c>
      <c r="AK3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0" s="30"/>
      <c r="AN330" s="20" t="s">
        <v>65</v>
      </c>
      <c r="AP330" s="20" t="s">
        <v>84</v>
      </c>
    </row>
    <row r="331" spans="1:43" ht="16">
      <c r="A331" s="20">
        <v>5542680212</v>
      </c>
      <c r="B331" s="86">
        <v>470006</v>
      </c>
      <c r="C331" s="20" t="s">
        <v>1780</v>
      </c>
      <c r="D331" s="20" t="s">
        <v>1781</v>
      </c>
      <c r="E331" s="20" t="s">
        <v>143</v>
      </c>
      <c r="F331" s="20" t="s">
        <v>70</v>
      </c>
      <c r="G331" s="20" t="s">
        <v>70</v>
      </c>
      <c r="H331" s="20" t="s">
        <v>48</v>
      </c>
      <c r="I331" s="20" t="s">
        <v>70</v>
      </c>
      <c r="J331" s="22" t="s">
        <v>1782</v>
      </c>
      <c r="K331" s="22" t="s">
        <v>1782</v>
      </c>
      <c r="L331" s="23" t="s">
        <v>1761</v>
      </c>
      <c r="M331" s="24" t="s">
        <v>7741</v>
      </c>
      <c r="N331" s="23">
        <v>18637000</v>
      </c>
      <c r="O331" s="25" t="s">
        <v>52</v>
      </c>
      <c r="P331" s="25" t="s">
        <v>53</v>
      </c>
      <c r="Q331" s="20" t="s">
        <v>1783</v>
      </c>
      <c r="R331" s="20">
        <v>9808573</v>
      </c>
      <c r="S331" s="25" t="s">
        <v>55</v>
      </c>
      <c r="T331" s="26" t="s">
        <v>56</v>
      </c>
      <c r="U331" s="23">
        <v>357654179157469</v>
      </c>
      <c r="V331" s="27" t="s">
        <v>78</v>
      </c>
      <c r="W331" s="20" t="s">
        <v>95</v>
      </c>
      <c r="X331" s="20" t="s">
        <v>95</v>
      </c>
      <c r="Y331" s="20" t="s">
        <v>95</v>
      </c>
      <c r="Z331" s="20" t="s">
        <v>60</v>
      </c>
      <c r="AA331" s="20" t="s">
        <v>61</v>
      </c>
      <c r="AB331" s="20" t="s">
        <v>82</v>
      </c>
      <c r="AC331" s="28">
        <v>559.48</v>
      </c>
      <c r="AD331" s="28">
        <f>SUM(BASE[[#This Row],[MONTO DE RENTA ]]*1.16)</f>
        <v>648.99680000000001</v>
      </c>
      <c r="AE331" s="28" t="s">
        <v>83</v>
      </c>
      <c r="AF331" s="28">
        <v>559.48275862068965</v>
      </c>
      <c r="AG331" s="28">
        <v>649</v>
      </c>
      <c r="AI331" s="63">
        <v>44937</v>
      </c>
      <c r="AJ331" s="73">
        <v>46043</v>
      </c>
      <c r="AK33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31" s="30"/>
      <c r="AN331" s="20" t="s">
        <v>99</v>
      </c>
      <c r="AP331" s="20" t="s">
        <v>84</v>
      </c>
      <c r="AQ331" s="20" t="s">
        <v>100</v>
      </c>
    </row>
    <row r="332" spans="1:43" ht="16">
      <c r="A332" s="20">
        <v>8787882683</v>
      </c>
      <c r="B332" s="49">
        <v>385087</v>
      </c>
      <c r="C332" s="20" t="s">
        <v>1784</v>
      </c>
      <c r="D332" s="20" t="s">
        <v>1587</v>
      </c>
      <c r="E332" s="20" t="s">
        <v>216</v>
      </c>
      <c r="F332" s="20" t="s">
        <v>47</v>
      </c>
      <c r="G332" s="20" t="s">
        <v>47</v>
      </c>
      <c r="H332" s="20" t="s">
        <v>48</v>
      </c>
      <c r="I332" s="20" t="s">
        <v>47</v>
      </c>
      <c r="J332" s="54" t="s">
        <v>1785</v>
      </c>
      <c r="K332" s="54" t="s">
        <v>1785</v>
      </c>
      <c r="L332" s="23" t="s">
        <v>1786</v>
      </c>
      <c r="M332" s="24" t="s">
        <v>7739</v>
      </c>
      <c r="N332" s="23">
        <v>18638000</v>
      </c>
      <c r="O332" s="25" t="s">
        <v>74</v>
      </c>
      <c r="P332" s="25" t="s">
        <v>53</v>
      </c>
      <c r="Q332" s="20" t="s">
        <v>1787</v>
      </c>
      <c r="R332" s="20">
        <v>44114624</v>
      </c>
      <c r="S332" s="25" t="s">
        <v>55</v>
      </c>
      <c r="T332" s="65" t="s">
        <v>56</v>
      </c>
      <c r="U332" s="23">
        <v>865356065728263</v>
      </c>
      <c r="V332" s="27" t="s">
        <v>183</v>
      </c>
      <c r="W332" s="20" t="s">
        <v>129</v>
      </c>
      <c r="X332" s="20" t="s">
        <v>130</v>
      </c>
      <c r="Y332" s="20" t="s">
        <v>130</v>
      </c>
      <c r="Z332" s="20" t="s">
        <v>60</v>
      </c>
      <c r="AA332" s="20" t="s">
        <v>61</v>
      </c>
      <c r="AB332" s="20" t="s">
        <v>96</v>
      </c>
      <c r="AC332" s="28">
        <v>369.83</v>
      </c>
      <c r="AD332" s="28">
        <f>SUM(BASE[[#This Row],[MONTO DE RENTA ]]*1.16)</f>
        <v>429.00279999999998</v>
      </c>
      <c r="AE332" s="28" t="s">
        <v>63</v>
      </c>
      <c r="AF332" s="28">
        <v>369.82758620689657</v>
      </c>
      <c r="AG332" s="28">
        <v>429</v>
      </c>
      <c r="AH332" s="22" t="s">
        <v>116</v>
      </c>
      <c r="AI332" s="63">
        <v>45602</v>
      </c>
      <c r="AJ332" s="63">
        <v>46040</v>
      </c>
      <c r="AK33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332" s="20">
        <v>18638000</v>
      </c>
      <c r="AM332" s="30" t="s">
        <v>1788</v>
      </c>
      <c r="AN332" s="20" t="s">
        <v>99</v>
      </c>
      <c r="AP332" s="20" t="s">
        <v>84</v>
      </c>
      <c r="AQ332" s="20" t="s">
        <v>100</v>
      </c>
    </row>
    <row r="333" spans="1:43" ht="16">
      <c r="A333" s="20">
        <v>8781254679</v>
      </c>
      <c r="B333" s="59">
        <v>995001</v>
      </c>
      <c r="C333" s="20" t="s">
        <v>755</v>
      </c>
      <c r="D333" s="20" t="s">
        <v>1789</v>
      </c>
      <c r="E333" s="20" t="s">
        <v>172</v>
      </c>
      <c r="F333" s="20" t="s">
        <v>248</v>
      </c>
      <c r="G333" s="20" t="s">
        <v>248</v>
      </c>
      <c r="H333" s="20" t="s">
        <v>48</v>
      </c>
      <c r="I333" s="20" t="s">
        <v>248</v>
      </c>
      <c r="J333" s="22" t="s">
        <v>1790</v>
      </c>
      <c r="K333" s="22" t="s">
        <v>1790</v>
      </c>
      <c r="L333" s="23" t="s">
        <v>1786</v>
      </c>
      <c r="M333" s="24" t="s">
        <v>7739</v>
      </c>
      <c r="N333" s="23">
        <v>18638000</v>
      </c>
      <c r="O333" s="25" t="s">
        <v>74</v>
      </c>
      <c r="P333" s="25" t="s">
        <v>53</v>
      </c>
      <c r="Q333" s="20" t="s">
        <v>1791</v>
      </c>
      <c r="R333" s="20">
        <v>43121158</v>
      </c>
      <c r="S333" s="25" t="s">
        <v>1792</v>
      </c>
      <c r="T333" s="26" t="s">
        <v>57</v>
      </c>
      <c r="U333" s="23">
        <v>860900062336672</v>
      </c>
      <c r="V333" s="27" t="s">
        <v>57</v>
      </c>
      <c r="W333" s="20" t="s">
        <v>58</v>
      </c>
      <c r="X333" s="20" t="s">
        <v>59</v>
      </c>
      <c r="Y333" s="20" t="s">
        <v>59</v>
      </c>
      <c r="Z333" s="20" t="s">
        <v>167</v>
      </c>
      <c r="AA333" s="20" t="s">
        <v>168</v>
      </c>
      <c r="AB333" s="20" t="s">
        <v>96</v>
      </c>
      <c r="AC333" s="28">
        <v>369.83</v>
      </c>
      <c r="AD333" s="28">
        <f>SUM(BASE[[#This Row],[MONTO DE RENTA ]]*1.16)</f>
        <v>429.00279999999998</v>
      </c>
      <c r="AE333" s="28" t="s">
        <v>63</v>
      </c>
      <c r="AF333" s="28">
        <v>369.82758620689657</v>
      </c>
      <c r="AG333" s="28">
        <v>429</v>
      </c>
      <c r="AH333" s="22" t="s">
        <v>64</v>
      </c>
      <c r="AI333" s="63">
        <v>45713</v>
      </c>
      <c r="AJ333" s="63">
        <v>46433</v>
      </c>
      <c r="AK3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3" s="30"/>
      <c r="AN333" s="20" t="s">
        <v>65</v>
      </c>
      <c r="AP333" s="20" t="s">
        <v>84</v>
      </c>
    </row>
    <row r="334" spans="1:43" ht="16">
      <c r="A334" s="20">
        <v>8781016993</v>
      </c>
      <c r="B334" s="21">
        <v>445014</v>
      </c>
      <c r="C334" s="20" t="s">
        <v>1793</v>
      </c>
      <c r="D334" s="20" t="s">
        <v>172</v>
      </c>
      <c r="E334" s="20" t="s">
        <v>172</v>
      </c>
      <c r="F334" s="20" t="s">
        <v>257</v>
      </c>
      <c r="G334" s="20" t="s">
        <v>257</v>
      </c>
      <c r="H334" s="20" t="s">
        <v>48</v>
      </c>
      <c r="I334" s="20" t="s">
        <v>257</v>
      </c>
      <c r="J334" s="22" t="s">
        <v>1794</v>
      </c>
      <c r="K334" s="22" t="s">
        <v>1794</v>
      </c>
      <c r="L334" s="23" t="s">
        <v>1786</v>
      </c>
      <c r="M334" s="24" t="s">
        <v>7739</v>
      </c>
      <c r="N334" s="23">
        <v>18638000</v>
      </c>
      <c r="O334" s="25" t="s">
        <v>74</v>
      </c>
      <c r="P334" s="25" t="s">
        <v>53</v>
      </c>
      <c r="Q334" s="20" t="s">
        <v>1795</v>
      </c>
      <c r="R334" s="20">
        <v>43090189</v>
      </c>
      <c r="S334" s="25" t="s">
        <v>1796</v>
      </c>
      <c r="T334" s="26" t="s">
        <v>57</v>
      </c>
      <c r="U334" s="23">
        <v>860478062096786</v>
      </c>
      <c r="V334" s="45" t="s">
        <v>110</v>
      </c>
      <c r="W334" s="20" t="s">
        <v>302</v>
      </c>
      <c r="X334" s="20" t="s">
        <v>303</v>
      </c>
      <c r="Y334" s="20" t="s">
        <v>303</v>
      </c>
      <c r="Z334" s="20" t="s">
        <v>80</v>
      </c>
      <c r="AA334" s="20" t="s">
        <v>81</v>
      </c>
      <c r="AB334" s="20" t="s">
        <v>82</v>
      </c>
      <c r="AC334" s="28">
        <v>559.48</v>
      </c>
      <c r="AD334" s="28">
        <f>SUM(BASE[[#This Row],[MONTO DE RENTA ]]*1.16)</f>
        <v>648.99680000000001</v>
      </c>
      <c r="AE334" s="28" t="s">
        <v>83</v>
      </c>
      <c r="AF334" s="28">
        <v>559.48275862068965</v>
      </c>
      <c r="AG334" s="28">
        <v>649</v>
      </c>
      <c r="AH334" s="22" t="s">
        <v>64</v>
      </c>
      <c r="AI334" s="63">
        <v>45713</v>
      </c>
      <c r="AJ334" s="63">
        <v>46433</v>
      </c>
      <c r="AK3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4" s="30"/>
      <c r="AN334" s="20" t="s">
        <v>65</v>
      </c>
      <c r="AP334" s="20" t="s">
        <v>84</v>
      </c>
    </row>
    <row r="335" spans="1:43" ht="16">
      <c r="A335" s="20">
        <v>8781101936</v>
      </c>
      <c r="B335" s="21">
        <v>385012</v>
      </c>
      <c r="C335" s="20" t="s">
        <v>1797</v>
      </c>
      <c r="D335" s="20" t="s">
        <v>293</v>
      </c>
      <c r="E335" s="20" t="s">
        <v>1798</v>
      </c>
      <c r="F335" s="20" t="s">
        <v>104</v>
      </c>
      <c r="G335" s="20" t="s">
        <v>104</v>
      </c>
      <c r="H335" s="20" t="s">
        <v>48</v>
      </c>
      <c r="I335" s="20" t="s">
        <v>104</v>
      </c>
      <c r="J335" s="32" t="s">
        <v>1799</v>
      </c>
      <c r="K335" s="32" t="s">
        <v>1799</v>
      </c>
      <c r="L335" s="23" t="s">
        <v>1786</v>
      </c>
      <c r="M335" s="24" t="s">
        <v>7739</v>
      </c>
      <c r="N335" s="23">
        <v>18638000</v>
      </c>
      <c r="O335" s="25" t="s">
        <v>74</v>
      </c>
      <c r="P335" s="25" t="s">
        <v>53</v>
      </c>
      <c r="Q335" s="20" t="s">
        <v>1800</v>
      </c>
      <c r="R335" s="20">
        <v>43090192</v>
      </c>
      <c r="S335" s="25" t="s">
        <v>1801</v>
      </c>
      <c r="T335" s="26" t="s">
        <v>57</v>
      </c>
      <c r="U335" s="23">
        <v>860478062096588</v>
      </c>
      <c r="V335" s="45" t="s">
        <v>110</v>
      </c>
      <c r="W335" s="20" t="s">
        <v>302</v>
      </c>
      <c r="X335" s="20" t="s">
        <v>303</v>
      </c>
      <c r="Y335" s="20" t="s">
        <v>303</v>
      </c>
      <c r="Z335" s="20" t="s">
        <v>80</v>
      </c>
      <c r="AA335" s="20" t="s">
        <v>81</v>
      </c>
      <c r="AB335" s="20" t="s">
        <v>82</v>
      </c>
      <c r="AC335" s="28">
        <v>559.48</v>
      </c>
      <c r="AD335" s="28">
        <f>SUM(BASE[[#This Row],[MONTO DE RENTA ]]*1.16)</f>
        <v>648.99680000000001</v>
      </c>
      <c r="AE335" s="28" t="s">
        <v>83</v>
      </c>
      <c r="AF335" s="28">
        <v>559.48275862068965</v>
      </c>
      <c r="AG335" s="28">
        <v>649</v>
      </c>
      <c r="AH335" s="22" t="s">
        <v>64</v>
      </c>
      <c r="AI335" s="63">
        <v>45713</v>
      </c>
      <c r="AJ335" s="63">
        <v>46433</v>
      </c>
      <c r="AK3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5" s="30"/>
      <c r="AN335" s="20" t="s">
        <v>65</v>
      </c>
      <c r="AP335" s="20" t="s">
        <v>84</v>
      </c>
    </row>
    <row r="336" spans="1:43" ht="16">
      <c r="A336" s="20">
        <v>8781100020</v>
      </c>
      <c r="B336" s="21">
        <v>385019</v>
      </c>
      <c r="C336" s="20" t="s">
        <v>1802</v>
      </c>
      <c r="D336" s="20" t="s">
        <v>186</v>
      </c>
      <c r="E336" s="20" t="s">
        <v>461</v>
      </c>
      <c r="F336" s="20" t="s">
        <v>104</v>
      </c>
      <c r="G336" s="20" t="s">
        <v>104</v>
      </c>
      <c r="H336" s="20" t="s">
        <v>48</v>
      </c>
      <c r="I336" s="20" t="s">
        <v>104</v>
      </c>
      <c r="J336" s="32" t="s">
        <v>1803</v>
      </c>
      <c r="K336" s="32" t="s">
        <v>1803</v>
      </c>
      <c r="L336" s="23" t="s">
        <v>1786</v>
      </c>
      <c r="M336" s="24" t="s">
        <v>7739</v>
      </c>
      <c r="N336" s="23">
        <v>18638000</v>
      </c>
      <c r="O336" s="25" t="s">
        <v>74</v>
      </c>
      <c r="P336" s="25" t="s">
        <v>53</v>
      </c>
      <c r="Q336" s="20" t="s">
        <v>1804</v>
      </c>
      <c r="R336" s="20">
        <v>43090190</v>
      </c>
      <c r="S336" s="25" t="s">
        <v>1805</v>
      </c>
      <c r="T336" s="26" t="s">
        <v>57</v>
      </c>
      <c r="U336" s="23">
        <v>860478062096513</v>
      </c>
      <c r="V336" s="45" t="s">
        <v>110</v>
      </c>
      <c r="W336" s="20" t="s">
        <v>302</v>
      </c>
      <c r="X336" s="20" t="s">
        <v>303</v>
      </c>
      <c r="Y336" s="20" t="s">
        <v>303</v>
      </c>
      <c r="Z336" s="20" t="s">
        <v>80</v>
      </c>
      <c r="AA336" s="20" t="s">
        <v>81</v>
      </c>
      <c r="AB336" s="20" t="s">
        <v>82</v>
      </c>
      <c r="AC336" s="28">
        <v>559.48</v>
      </c>
      <c r="AD336" s="28">
        <f>SUM(BASE[[#This Row],[MONTO DE RENTA ]]*1.16)</f>
        <v>648.99680000000001</v>
      </c>
      <c r="AE336" s="28" t="s">
        <v>83</v>
      </c>
      <c r="AF336" s="28">
        <v>559.48275862068965</v>
      </c>
      <c r="AG336" s="28">
        <v>649</v>
      </c>
      <c r="AH336" s="22" t="s">
        <v>64</v>
      </c>
      <c r="AI336" s="63">
        <v>45713</v>
      </c>
      <c r="AJ336" s="63">
        <v>46433</v>
      </c>
      <c r="AK3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6" s="30"/>
      <c r="AN336" s="20" t="s">
        <v>65</v>
      </c>
      <c r="AP336" s="20" t="s">
        <v>84</v>
      </c>
    </row>
    <row r="337" spans="1:43" ht="16">
      <c r="A337" s="20">
        <v>8781102065</v>
      </c>
      <c r="B337" s="49">
        <v>1072867</v>
      </c>
      <c r="C337" s="20" t="s">
        <v>1806</v>
      </c>
      <c r="D337" s="20" t="s">
        <v>324</v>
      </c>
      <c r="E337" s="20" t="s">
        <v>1807</v>
      </c>
      <c r="F337" s="20" t="s">
        <v>70</v>
      </c>
      <c r="G337" s="20" t="s">
        <v>70</v>
      </c>
      <c r="H337" s="20" t="s">
        <v>48</v>
      </c>
      <c r="I337" s="20" t="s">
        <v>70</v>
      </c>
      <c r="J337" s="22" t="s">
        <v>1808</v>
      </c>
      <c r="K337" s="22" t="s">
        <v>1808</v>
      </c>
      <c r="L337" s="91" t="s">
        <v>1786</v>
      </c>
      <c r="M337" s="24" t="s">
        <v>7739</v>
      </c>
      <c r="N337" s="23">
        <v>18638000</v>
      </c>
      <c r="O337" s="25" t="s">
        <v>74</v>
      </c>
      <c r="P337" s="25" t="s">
        <v>53</v>
      </c>
      <c r="Q337" s="20" t="s">
        <v>1809</v>
      </c>
      <c r="R337" s="20">
        <v>42977396</v>
      </c>
      <c r="S337" s="25" t="s">
        <v>55</v>
      </c>
      <c r="T337" s="26" t="s">
        <v>56</v>
      </c>
      <c r="U337" s="23">
        <v>357654178669068</v>
      </c>
      <c r="V337" s="27" t="s">
        <v>78</v>
      </c>
      <c r="W337" s="20" t="s">
        <v>95</v>
      </c>
      <c r="X337" s="20" t="s">
        <v>95</v>
      </c>
      <c r="Y337" s="20" t="s">
        <v>95</v>
      </c>
      <c r="Z337" s="20" t="s">
        <v>60</v>
      </c>
      <c r="AA337" s="20" t="s">
        <v>61</v>
      </c>
      <c r="AB337" s="20" t="s">
        <v>82</v>
      </c>
      <c r="AC337" s="28">
        <v>559.48</v>
      </c>
      <c r="AD337" s="28">
        <f>SUM(BASE[[#This Row],[MONTO DE RENTA ]]*1.16)</f>
        <v>648.99680000000001</v>
      </c>
      <c r="AE337" s="28" t="s">
        <v>83</v>
      </c>
      <c r="AF337" s="28">
        <v>559.48275862068965</v>
      </c>
      <c r="AG337" s="28">
        <v>649</v>
      </c>
      <c r="AI337" s="63">
        <v>44937</v>
      </c>
      <c r="AJ337" s="73">
        <v>46043</v>
      </c>
      <c r="AK3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37" s="30"/>
      <c r="AN337" s="20" t="s">
        <v>99</v>
      </c>
      <c r="AP337" s="20" t="s">
        <v>84</v>
      </c>
      <c r="AQ337" s="20" t="s">
        <v>100</v>
      </c>
    </row>
    <row r="338" spans="1:43" ht="16">
      <c r="A338" s="20">
        <v>2223840677</v>
      </c>
      <c r="B338" s="48">
        <v>355106</v>
      </c>
      <c r="C338" s="20" t="s">
        <v>1810</v>
      </c>
      <c r="D338" s="20" t="s">
        <v>497</v>
      </c>
      <c r="E338" s="20" t="s">
        <v>468</v>
      </c>
      <c r="F338" s="20" t="s">
        <v>418</v>
      </c>
      <c r="G338" s="20" t="s">
        <v>47</v>
      </c>
      <c r="H338" s="20" t="s">
        <v>48</v>
      </c>
      <c r="I338" s="20" t="s">
        <v>418</v>
      </c>
      <c r="J338" s="22" t="s">
        <v>1811</v>
      </c>
      <c r="K338" s="22" t="s">
        <v>1811</v>
      </c>
      <c r="L338" s="23" t="s">
        <v>1812</v>
      </c>
      <c r="M338" s="24" t="s">
        <v>7753</v>
      </c>
      <c r="N338" s="23">
        <v>18639000</v>
      </c>
      <c r="O338" s="25" t="s">
        <v>828</v>
      </c>
      <c r="P338" s="25" t="s">
        <v>53</v>
      </c>
      <c r="Q338" s="20" t="s">
        <v>1813</v>
      </c>
      <c r="R338" s="20">
        <v>73085077</v>
      </c>
      <c r="S338" s="25" t="s">
        <v>1814</v>
      </c>
      <c r="T338" s="26" t="s">
        <v>57</v>
      </c>
      <c r="U338" s="23">
        <v>865356065720625</v>
      </c>
      <c r="V338" s="27" t="s">
        <v>183</v>
      </c>
      <c r="W338" s="20" t="s">
        <v>129</v>
      </c>
      <c r="X338" s="20" t="s">
        <v>130</v>
      </c>
      <c r="Y338" s="20" t="s">
        <v>130</v>
      </c>
      <c r="Z338" s="20" t="s">
        <v>60</v>
      </c>
      <c r="AA338" s="20" t="s">
        <v>61</v>
      </c>
      <c r="AB338" s="20" t="s">
        <v>96</v>
      </c>
      <c r="AC338" s="28">
        <v>369.83</v>
      </c>
      <c r="AD338" s="28">
        <f>SUM(BASE[[#This Row],[MONTO DE RENTA ]]*1.16)</f>
        <v>429.00279999999998</v>
      </c>
      <c r="AE338" s="28" t="s">
        <v>63</v>
      </c>
      <c r="AF338" s="28">
        <v>369.82758620689657</v>
      </c>
      <c r="AG338" s="28">
        <v>429</v>
      </c>
      <c r="AI338" s="63">
        <v>44937</v>
      </c>
      <c r="AJ338" s="84">
        <v>46054</v>
      </c>
      <c r="AK33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38" s="30"/>
      <c r="AN338" s="20" t="s">
        <v>99</v>
      </c>
      <c r="AP338" s="20" t="s">
        <v>84</v>
      </c>
      <c r="AQ338" s="20" t="s">
        <v>100</v>
      </c>
    </row>
    <row r="339" spans="1:43" ht="16">
      <c r="A339" s="20">
        <v>2225401590</v>
      </c>
      <c r="B339" s="21">
        <v>350163</v>
      </c>
      <c r="C339" s="20" t="s">
        <v>1815</v>
      </c>
      <c r="D339" s="20" t="s">
        <v>1816</v>
      </c>
      <c r="E339" s="20" t="s">
        <v>598</v>
      </c>
      <c r="F339" s="20" t="s">
        <v>46</v>
      </c>
      <c r="G339" s="20" t="s">
        <v>248</v>
      </c>
      <c r="H339" s="20" t="s">
        <v>48</v>
      </c>
      <c r="I339" s="20" t="s">
        <v>46</v>
      </c>
      <c r="J339" s="22" t="s">
        <v>1817</v>
      </c>
      <c r="K339" s="22" t="s">
        <v>1817</v>
      </c>
      <c r="L339" s="23" t="s">
        <v>1812</v>
      </c>
      <c r="M339" s="24" t="s">
        <v>7753</v>
      </c>
      <c r="N339" s="23">
        <v>18639000</v>
      </c>
      <c r="O339" s="25" t="s">
        <v>828</v>
      </c>
      <c r="P339" s="25" t="s">
        <v>53</v>
      </c>
      <c r="Q339" s="20" t="s">
        <v>1818</v>
      </c>
      <c r="R339" s="20">
        <v>73065647</v>
      </c>
      <c r="S339" s="25" t="s">
        <v>1819</v>
      </c>
      <c r="T339" s="26" t="s">
        <v>57</v>
      </c>
      <c r="U339" s="23">
        <v>860900062321492</v>
      </c>
      <c r="V339" s="27" t="s">
        <v>57</v>
      </c>
      <c r="W339" s="20" t="s">
        <v>58</v>
      </c>
      <c r="X339" s="20" t="s">
        <v>59</v>
      </c>
      <c r="Y339" s="20" t="s">
        <v>59</v>
      </c>
      <c r="Z339" s="20" t="s">
        <v>60</v>
      </c>
      <c r="AA339" s="20" t="s">
        <v>61</v>
      </c>
      <c r="AB339" s="20" t="s">
        <v>96</v>
      </c>
      <c r="AC339" s="28">
        <v>369.83</v>
      </c>
      <c r="AD339" s="28">
        <f>SUM(BASE[[#This Row],[MONTO DE RENTA ]]*1.16)</f>
        <v>429.00279999999998</v>
      </c>
      <c r="AE339" s="28" t="s">
        <v>63</v>
      </c>
      <c r="AF339" s="28">
        <v>369.82758620689657</v>
      </c>
      <c r="AG339" s="28">
        <v>429</v>
      </c>
      <c r="AH339" s="22" t="s">
        <v>64</v>
      </c>
      <c r="AI339" s="63">
        <v>45703</v>
      </c>
      <c r="AJ339" s="63">
        <v>46433</v>
      </c>
      <c r="AK3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39" s="30"/>
      <c r="AN339" s="20" t="s">
        <v>65</v>
      </c>
      <c r="AP339" s="20" t="s">
        <v>84</v>
      </c>
    </row>
    <row r="340" spans="1:43" ht="16">
      <c r="A340" s="20">
        <v>2223161140</v>
      </c>
      <c r="B340" s="21">
        <v>980152</v>
      </c>
      <c r="C340" s="20" t="s">
        <v>1820</v>
      </c>
      <c r="D340" s="20" t="s">
        <v>1821</v>
      </c>
      <c r="E340" s="20" t="s">
        <v>1822</v>
      </c>
      <c r="F340" s="20" t="s">
        <v>257</v>
      </c>
      <c r="G340" s="20" t="s">
        <v>257</v>
      </c>
      <c r="H340" s="20" t="s">
        <v>48</v>
      </c>
      <c r="I340" s="20" t="s">
        <v>257</v>
      </c>
      <c r="J340" s="22" t="s">
        <v>1823</v>
      </c>
      <c r="K340" s="22" t="s">
        <v>1823</v>
      </c>
      <c r="L340" s="23" t="s">
        <v>1812</v>
      </c>
      <c r="M340" s="24" t="s">
        <v>7753</v>
      </c>
      <c r="N340" s="23">
        <v>18639000</v>
      </c>
      <c r="O340" s="25" t="s">
        <v>828</v>
      </c>
      <c r="P340" s="25" t="s">
        <v>53</v>
      </c>
      <c r="Q340" s="20" t="s">
        <v>1824</v>
      </c>
      <c r="R340" s="20">
        <v>73076040</v>
      </c>
      <c r="S340" s="25" t="s">
        <v>1825</v>
      </c>
      <c r="T340" s="26" t="s">
        <v>57</v>
      </c>
      <c r="U340" s="23">
        <v>860478060033864</v>
      </c>
      <c r="V340" s="45" t="s">
        <v>110</v>
      </c>
      <c r="W340" s="20" t="s">
        <v>302</v>
      </c>
      <c r="X340" s="20" t="s">
        <v>303</v>
      </c>
      <c r="Y340" s="20" t="s">
        <v>303</v>
      </c>
      <c r="Z340" s="20" t="s">
        <v>80</v>
      </c>
      <c r="AA340" s="20" t="s">
        <v>81</v>
      </c>
      <c r="AB340" s="20" t="s">
        <v>82</v>
      </c>
      <c r="AC340" s="28">
        <v>559.48</v>
      </c>
      <c r="AD340" s="28">
        <f>SUM(BASE[[#This Row],[MONTO DE RENTA ]]*1.16)</f>
        <v>648.99680000000001</v>
      </c>
      <c r="AE340" s="28" t="s">
        <v>83</v>
      </c>
      <c r="AF340" s="28">
        <v>559.48275862068965</v>
      </c>
      <c r="AG340" s="28">
        <v>649</v>
      </c>
      <c r="AH340" s="22" t="s">
        <v>64</v>
      </c>
      <c r="AI340" s="63">
        <v>45703</v>
      </c>
      <c r="AJ340" s="63">
        <v>46433</v>
      </c>
      <c r="AK3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0" s="30"/>
      <c r="AN340" s="20" t="s">
        <v>65</v>
      </c>
      <c r="AP340" s="20" t="s">
        <v>84</v>
      </c>
    </row>
    <row r="341" spans="1:43" ht="16">
      <c r="A341" s="20">
        <v>2223161155</v>
      </c>
      <c r="B341" s="21">
        <v>1013799</v>
      </c>
      <c r="C341" s="20" t="s">
        <v>1826</v>
      </c>
      <c r="D341" s="20" t="s">
        <v>1827</v>
      </c>
      <c r="E341" s="20" t="s">
        <v>1828</v>
      </c>
      <c r="F341" s="20" t="s">
        <v>104</v>
      </c>
      <c r="G341" s="20" t="s">
        <v>104</v>
      </c>
      <c r="H341" s="20" t="s">
        <v>48</v>
      </c>
      <c r="I341" s="20" t="s">
        <v>104</v>
      </c>
      <c r="J341" s="22" t="s">
        <v>1829</v>
      </c>
      <c r="K341" s="22" t="s">
        <v>1829</v>
      </c>
      <c r="L341" s="23" t="s">
        <v>1812</v>
      </c>
      <c r="M341" s="24" t="s">
        <v>7753</v>
      </c>
      <c r="N341" s="23">
        <v>18639000</v>
      </c>
      <c r="O341" s="25" t="s">
        <v>828</v>
      </c>
      <c r="P341" s="25" t="s">
        <v>53</v>
      </c>
      <c r="Q341" s="20" t="s">
        <v>1830</v>
      </c>
      <c r="R341" s="20">
        <v>73076042</v>
      </c>
      <c r="S341" s="25" t="s">
        <v>1831</v>
      </c>
      <c r="T341" s="26" t="s">
        <v>57</v>
      </c>
      <c r="U341" s="23">
        <v>860478064969378</v>
      </c>
      <c r="V341" s="45" t="s">
        <v>110</v>
      </c>
      <c r="W341" s="20" t="s">
        <v>302</v>
      </c>
      <c r="X341" s="20" t="s">
        <v>303</v>
      </c>
      <c r="Y341" s="20" t="s">
        <v>303</v>
      </c>
      <c r="Z341" s="20" t="s">
        <v>80</v>
      </c>
      <c r="AA341" s="20" t="s">
        <v>81</v>
      </c>
      <c r="AB341" s="20" t="s">
        <v>82</v>
      </c>
      <c r="AC341" s="28">
        <v>559.48</v>
      </c>
      <c r="AD341" s="28">
        <f>SUM(BASE[[#This Row],[MONTO DE RENTA ]]*1.16)</f>
        <v>648.99680000000001</v>
      </c>
      <c r="AE341" s="28" t="s">
        <v>83</v>
      </c>
      <c r="AF341" s="28">
        <v>559.48275862068965</v>
      </c>
      <c r="AG341" s="28">
        <v>649</v>
      </c>
      <c r="AH341" s="22" t="s">
        <v>64</v>
      </c>
      <c r="AI341" s="63">
        <v>45703</v>
      </c>
      <c r="AJ341" s="63">
        <v>46433</v>
      </c>
      <c r="AK3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1" s="30"/>
      <c r="AN341" s="20" t="s">
        <v>65</v>
      </c>
      <c r="AP341" s="20" t="s">
        <v>84</v>
      </c>
    </row>
    <row r="342" spans="1:43" ht="16">
      <c r="A342" s="20">
        <v>2223161809</v>
      </c>
      <c r="B342" s="21">
        <v>1058074</v>
      </c>
      <c r="C342" s="20" t="s">
        <v>1832</v>
      </c>
      <c r="D342" s="20" t="s">
        <v>1833</v>
      </c>
      <c r="E342" s="20" t="s">
        <v>1834</v>
      </c>
      <c r="F342" s="20" t="s">
        <v>104</v>
      </c>
      <c r="G342" s="20" t="s">
        <v>104</v>
      </c>
      <c r="H342" s="20" t="s">
        <v>48</v>
      </c>
      <c r="I342" s="20" t="s">
        <v>104</v>
      </c>
      <c r="J342" s="22" t="s">
        <v>1835</v>
      </c>
      <c r="K342" s="22" t="s">
        <v>1835</v>
      </c>
      <c r="L342" s="23" t="s">
        <v>1812</v>
      </c>
      <c r="M342" s="24" t="s">
        <v>7753</v>
      </c>
      <c r="N342" s="23">
        <v>18639000</v>
      </c>
      <c r="O342" s="25" t="s">
        <v>828</v>
      </c>
      <c r="P342" s="25" t="s">
        <v>53</v>
      </c>
      <c r="Q342" s="20" t="s">
        <v>1836</v>
      </c>
      <c r="R342" s="20">
        <v>73004442</v>
      </c>
      <c r="S342" s="25" t="s">
        <v>1837</v>
      </c>
      <c r="T342" s="26" t="s">
        <v>57</v>
      </c>
      <c r="U342" s="23">
        <v>860478064978726</v>
      </c>
      <c r="V342" s="45" t="s">
        <v>110</v>
      </c>
      <c r="W342" s="20" t="s">
        <v>302</v>
      </c>
      <c r="X342" s="20" t="s">
        <v>303</v>
      </c>
      <c r="Y342" s="20" t="s">
        <v>303</v>
      </c>
      <c r="Z342" s="20" t="s">
        <v>80</v>
      </c>
      <c r="AA342" s="20" t="s">
        <v>81</v>
      </c>
      <c r="AB342" s="20" t="s">
        <v>82</v>
      </c>
      <c r="AC342" s="28">
        <v>559.48</v>
      </c>
      <c r="AD342" s="28">
        <f>SUM(BASE[[#This Row],[MONTO DE RENTA ]]*1.16)</f>
        <v>648.99680000000001</v>
      </c>
      <c r="AE342" s="28" t="s">
        <v>83</v>
      </c>
      <c r="AF342" s="28">
        <v>559.48275862068965</v>
      </c>
      <c r="AG342" s="28">
        <v>649</v>
      </c>
      <c r="AH342" s="22" t="s">
        <v>64</v>
      </c>
      <c r="AI342" s="63">
        <v>45703</v>
      </c>
      <c r="AJ342" s="63">
        <v>46433</v>
      </c>
      <c r="AK3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2" s="30"/>
      <c r="AN342" s="20" t="s">
        <v>65</v>
      </c>
      <c r="AP342" s="20" t="s">
        <v>84</v>
      </c>
    </row>
    <row r="343" spans="1:43" ht="16">
      <c r="A343" s="20">
        <v>2226127326</v>
      </c>
      <c r="B343" s="86">
        <v>350292</v>
      </c>
      <c r="C343" s="20" t="s">
        <v>1838</v>
      </c>
      <c r="D343" s="20" t="s">
        <v>143</v>
      </c>
      <c r="E343" s="20" t="s">
        <v>1839</v>
      </c>
      <c r="F343" s="20" t="s">
        <v>70</v>
      </c>
      <c r="G343" s="20" t="s">
        <v>70</v>
      </c>
      <c r="H343" s="20" t="s">
        <v>48</v>
      </c>
      <c r="I343" s="20" t="s">
        <v>70</v>
      </c>
      <c r="J343" s="22" t="s">
        <v>1840</v>
      </c>
      <c r="K343" s="22" t="s">
        <v>1840</v>
      </c>
      <c r="L343" s="23" t="s">
        <v>1812</v>
      </c>
      <c r="M343" s="24" t="s">
        <v>7753</v>
      </c>
      <c r="N343" s="23">
        <v>18639000</v>
      </c>
      <c r="O343" s="25" t="s">
        <v>828</v>
      </c>
      <c r="P343" s="25" t="s">
        <v>53</v>
      </c>
      <c r="Q343" s="20" t="s">
        <v>1841</v>
      </c>
      <c r="R343" s="20">
        <v>72922706</v>
      </c>
      <c r="S343" s="25" t="s">
        <v>55</v>
      </c>
      <c r="T343" s="26" t="s">
        <v>56</v>
      </c>
      <c r="U343" s="23">
        <v>357894928547913</v>
      </c>
      <c r="V343" s="27" t="s">
        <v>78</v>
      </c>
      <c r="W343" s="20" t="s">
        <v>95</v>
      </c>
      <c r="X343" s="20" t="s">
        <v>95</v>
      </c>
      <c r="Y343" s="20" t="s">
        <v>95</v>
      </c>
      <c r="Z343" s="20" t="s">
        <v>60</v>
      </c>
      <c r="AA343" s="20" t="s">
        <v>61</v>
      </c>
      <c r="AB343" s="20" t="s">
        <v>82</v>
      </c>
      <c r="AC343" s="28">
        <v>559.48</v>
      </c>
      <c r="AD343" s="28">
        <f>SUM(BASE[[#This Row],[MONTO DE RENTA ]]*1.16)</f>
        <v>648.99680000000001</v>
      </c>
      <c r="AE343" s="28" t="s">
        <v>83</v>
      </c>
      <c r="AF343" s="28">
        <v>559.48275862068965</v>
      </c>
      <c r="AG343" s="28">
        <v>649</v>
      </c>
      <c r="AI343" s="63">
        <v>44937</v>
      </c>
      <c r="AJ343" s="63">
        <v>46043</v>
      </c>
      <c r="AK3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43" s="30"/>
      <c r="AN343" s="20" t="s">
        <v>99</v>
      </c>
      <c r="AP343" s="20" t="s">
        <v>84</v>
      </c>
      <c r="AQ343" s="20" t="s">
        <v>100</v>
      </c>
    </row>
    <row r="344" spans="1:43" ht="16">
      <c r="A344" s="20">
        <v>4521410485</v>
      </c>
      <c r="B344" s="21">
        <v>1022313</v>
      </c>
      <c r="C344" s="20" t="s">
        <v>254</v>
      </c>
      <c r="D344" s="20" t="s">
        <v>1842</v>
      </c>
      <c r="E344" s="20" t="s">
        <v>347</v>
      </c>
      <c r="F344" s="20" t="s">
        <v>1843</v>
      </c>
      <c r="G344" s="20" t="s">
        <v>47</v>
      </c>
      <c r="H344" s="20" t="s">
        <v>48</v>
      </c>
      <c r="I344" s="20" t="s">
        <v>1843</v>
      </c>
      <c r="J344" s="22" t="s">
        <v>1844</v>
      </c>
      <c r="K344" s="22" t="s">
        <v>1844</v>
      </c>
      <c r="L344" s="23" t="s">
        <v>1845</v>
      </c>
      <c r="M344" s="24" t="s">
        <v>7743</v>
      </c>
      <c r="N344" s="23">
        <v>18642000</v>
      </c>
      <c r="O344" s="25" t="s">
        <v>677</v>
      </c>
      <c r="P344" s="25" t="s">
        <v>53</v>
      </c>
      <c r="Q344" s="20" t="s">
        <v>1846</v>
      </c>
      <c r="R344" s="20">
        <v>53354238</v>
      </c>
      <c r="S344" s="25" t="s">
        <v>1847</v>
      </c>
      <c r="T344" s="26" t="s">
        <v>57</v>
      </c>
      <c r="U344" s="23">
        <v>860900062337860</v>
      </c>
      <c r="V344" s="27" t="s">
        <v>57</v>
      </c>
      <c r="W344" s="20" t="s">
        <v>58</v>
      </c>
      <c r="X344" s="20" t="s">
        <v>59</v>
      </c>
      <c r="Y344" s="20" t="s">
        <v>59</v>
      </c>
      <c r="Z344" s="20" t="s">
        <v>60</v>
      </c>
      <c r="AA344" s="20" t="s">
        <v>61</v>
      </c>
      <c r="AB344" s="20" t="s">
        <v>96</v>
      </c>
      <c r="AC344" s="28">
        <v>369.83</v>
      </c>
      <c r="AD344" s="28">
        <f>SUM(BASE[[#This Row],[MONTO DE RENTA ]]*1.16)</f>
        <v>429.00279999999998</v>
      </c>
      <c r="AE344" s="28" t="s">
        <v>63</v>
      </c>
      <c r="AF344" s="28">
        <v>369.82758620689657</v>
      </c>
      <c r="AG344" s="28">
        <v>429</v>
      </c>
      <c r="AH344" s="22" t="s">
        <v>64</v>
      </c>
      <c r="AI344" s="63">
        <v>45703</v>
      </c>
      <c r="AJ344" s="63">
        <v>46433</v>
      </c>
      <c r="AK3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4" s="30"/>
      <c r="AN344" s="20" t="s">
        <v>65</v>
      </c>
      <c r="AP344" s="20" t="s">
        <v>84</v>
      </c>
    </row>
    <row r="345" spans="1:43" ht="16">
      <c r="A345" s="20">
        <v>4521374022</v>
      </c>
      <c r="B345" s="21">
        <v>1003793</v>
      </c>
      <c r="C345" s="20" t="s">
        <v>1848</v>
      </c>
      <c r="D345" s="20" t="s">
        <v>598</v>
      </c>
      <c r="E345" s="20" t="s">
        <v>329</v>
      </c>
      <c r="F345" s="20" t="s">
        <v>557</v>
      </c>
      <c r="G345" s="20" t="s">
        <v>248</v>
      </c>
      <c r="H345" s="20" t="s">
        <v>48</v>
      </c>
      <c r="I345" s="20" t="s">
        <v>557</v>
      </c>
      <c r="J345" s="22" t="s">
        <v>1849</v>
      </c>
      <c r="K345" s="22" t="s">
        <v>1849</v>
      </c>
      <c r="L345" s="23" t="s">
        <v>1845</v>
      </c>
      <c r="M345" s="24" t="s">
        <v>7743</v>
      </c>
      <c r="N345" s="23">
        <v>18741003</v>
      </c>
      <c r="O345" s="25" t="s">
        <v>677</v>
      </c>
      <c r="P345" s="25" t="s">
        <v>53</v>
      </c>
      <c r="Q345" s="20" t="s">
        <v>1850</v>
      </c>
      <c r="R345" s="20">
        <v>53335830</v>
      </c>
      <c r="S345" s="25" t="s">
        <v>1851</v>
      </c>
      <c r="T345" s="26" t="s">
        <v>57</v>
      </c>
      <c r="U345" s="23">
        <v>866223056001762</v>
      </c>
      <c r="V345" s="27" t="s">
        <v>183</v>
      </c>
      <c r="W345" s="20" t="s">
        <v>649</v>
      </c>
      <c r="X345" s="20" t="s">
        <v>650</v>
      </c>
      <c r="Y345" s="20" t="s">
        <v>650</v>
      </c>
      <c r="Z345" s="20" t="s">
        <v>60</v>
      </c>
      <c r="AA345" s="20" t="s">
        <v>61</v>
      </c>
      <c r="AB345" s="20" t="s">
        <v>96</v>
      </c>
      <c r="AC345" s="28">
        <v>369.83</v>
      </c>
      <c r="AD345" s="28">
        <f>SUM(BASE[[#This Row],[MONTO DE RENTA ]]*1.16)</f>
        <v>429.00279999999998</v>
      </c>
      <c r="AE345" s="28" t="s">
        <v>63</v>
      </c>
      <c r="AF345" s="28">
        <v>369.82758620689657</v>
      </c>
      <c r="AG345" s="28">
        <v>429</v>
      </c>
      <c r="AI345" s="63">
        <v>45213</v>
      </c>
      <c r="AJ345" s="63">
        <v>45944</v>
      </c>
      <c r="AK345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345" s="30"/>
      <c r="AN345" s="20" t="s">
        <v>99</v>
      </c>
      <c r="AP345" s="20" t="s">
        <v>84</v>
      </c>
      <c r="AQ345" s="20" t="s">
        <v>100</v>
      </c>
    </row>
    <row r="346" spans="1:43" ht="16">
      <c r="A346" s="20">
        <v>4521375200</v>
      </c>
      <c r="B346" s="21">
        <v>425095</v>
      </c>
      <c r="C346" s="20" t="s">
        <v>1235</v>
      </c>
      <c r="D346" s="20" t="s">
        <v>280</v>
      </c>
      <c r="E346" s="20" t="s">
        <v>497</v>
      </c>
      <c r="F346" s="20" t="s">
        <v>257</v>
      </c>
      <c r="G346" s="20" t="s">
        <v>257</v>
      </c>
      <c r="H346" s="20" t="s">
        <v>48</v>
      </c>
      <c r="I346" s="20" t="s">
        <v>257</v>
      </c>
      <c r="J346" s="22" t="s">
        <v>1852</v>
      </c>
      <c r="K346" s="22" t="s">
        <v>1852</v>
      </c>
      <c r="L346" s="23" t="s">
        <v>1845</v>
      </c>
      <c r="M346" s="24" t="s">
        <v>7743</v>
      </c>
      <c r="N346" s="23">
        <v>18642000</v>
      </c>
      <c r="O346" s="25" t="s">
        <v>677</v>
      </c>
      <c r="P346" s="25" t="s">
        <v>53</v>
      </c>
      <c r="Q346" s="20" t="s">
        <v>1853</v>
      </c>
      <c r="R346" s="20">
        <v>53345639</v>
      </c>
      <c r="S346" s="25" t="s">
        <v>1854</v>
      </c>
      <c r="T346" s="26" t="s">
        <v>57</v>
      </c>
      <c r="U346" s="23">
        <v>860478064847228</v>
      </c>
      <c r="V346" s="45" t="s">
        <v>110</v>
      </c>
      <c r="W346" s="20" t="s">
        <v>302</v>
      </c>
      <c r="X346" s="20" t="s">
        <v>303</v>
      </c>
      <c r="Y346" s="20" t="s">
        <v>303</v>
      </c>
      <c r="Z346" s="20" t="s">
        <v>80</v>
      </c>
      <c r="AA346" s="20" t="s">
        <v>81</v>
      </c>
      <c r="AB346" s="20" t="s">
        <v>82</v>
      </c>
      <c r="AC346" s="28">
        <v>559.48</v>
      </c>
      <c r="AD346" s="28">
        <f>SUM(BASE[[#This Row],[MONTO DE RENTA ]]*1.16)</f>
        <v>648.99680000000001</v>
      </c>
      <c r="AE346" s="28" t="s">
        <v>83</v>
      </c>
      <c r="AF346" s="28">
        <v>559.48275862068965</v>
      </c>
      <c r="AG346" s="28">
        <v>649</v>
      </c>
      <c r="AH346" s="22" t="s">
        <v>64</v>
      </c>
      <c r="AI346" s="29">
        <v>45703</v>
      </c>
      <c r="AJ346" s="29">
        <v>46433</v>
      </c>
      <c r="AK3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6" s="30"/>
      <c r="AN346" s="20" t="s">
        <v>65</v>
      </c>
      <c r="AP346" s="20" t="s">
        <v>84</v>
      </c>
    </row>
    <row r="347" spans="1:43" ht="16">
      <c r="A347" s="20">
        <v>4521375206</v>
      </c>
      <c r="B347" s="21">
        <v>1007199</v>
      </c>
      <c r="C347" s="20" t="s">
        <v>1855</v>
      </c>
      <c r="D347" s="20" t="s">
        <v>1856</v>
      </c>
      <c r="E347" s="20" t="s">
        <v>1857</v>
      </c>
      <c r="F347" s="20" t="s">
        <v>104</v>
      </c>
      <c r="G347" s="20" t="s">
        <v>104</v>
      </c>
      <c r="H347" s="20" t="s">
        <v>48</v>
      </c>
      <c r="I347" s="20" t="s">
        <v>104</v>
      </c>
      <c r="J347" s="32" t="s">
        <v>1858</v>
      </c>
      <c r="K347" s="32" t="s">
        <v>1859</v>
      </c>
      <c r="L347" s="23" t="s">
        <v>1845</v>
      </c>
      <c r="M347" s="24" t="s">
        <v>7743</v>
      </c>
      <c r="N347" s="23">
        <v>18642000</v>
      </c>
      <c r="O347" s="25" t="s">
        <v>677</v>
      </c>
      <c r="P347" s="25" t="s">
        <v>53</v>
      </c>
      <c r="Q347" s="20" t="s">
        <v>1860</v>
      </c>
      <c r="R347" s="20">
        <v>53345650</v>
      </c>
      <c r="S347" s="25" t="s">
        <v>1861</v>
      </c>
      <c r="T347" s="26" t="s">
        <v>57</v>
      </c>
      <c r="U347" s="23">
        <v>860478064166496</v>
      </c>
      <c r="V347" s="45" t="s">
        <v>110</v>
      </c>
      <c r="W347" s="20" t="s">
        <v>302</v>
      </c>
      <c r="X347" s="20" t="s">
        <v>303</v>
      </c>
      <c r="Y347" s="20" t="s">
        <v>303</v>
      </c>
      <c r="Z347" s="20" t="s">
        <v>80</v>
      </c>
      <c r="AA347" s="20" t="s">
        <v>81</v>
      </c>
      <c r="AB347" s="20" t="s">
        <v>82</v>
      </c>
      <c r="AC347" s="28">
        <v>559.48</v>
      </c>
      <c r="AD347" s="28">
        <f>SUM(BASE[[#This Row],[MONTO DE RENTA ]]*1.16)</f>
        <v>648.99680000000001</v>
      </c>
      <c r="AE347" s="28" t="s">
        <v>83</v>
      </c>
      <c r="AF347" s="28">
        <v>559.48275862068965</v>
      </c>
      <c r="AG347" s="28">
        <v>649</v>
      </c>
      <c r="AH347" s="22" t="s">
        <v>64</v>
      </c>
      <c r="AI347" s="63">
        <v>45703</v>
      </c>
      <c r="AJ347" s="63">
        <v>46433</v>
      </c>
      <c r="AK3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7" s="30"/>
      <c r="AN347" s="20" t="s">
        <v>65</v>
      </c>
      <c r="AP347" s="20" t="s">
        <v>84</v>
      </c>
    </row>
    <row r="348" spans="1:43" ht="16">
      <c r="A348" s="20">
        <v>4521375202</v>
      </c>
      <c r="B348" s="21">
        <v>425086</v>
      </c>
      <c r="C348" s="20" t="s">
        <v>1862</v>
      </c>
      <c r="D348" s="20" t="s">
        <v>1517</v>
      </c>
      <c r="E348" s="20" t="s">
        <v>340</v>
      </c>
      <c r="F348" s="20" t="s">
        <v>104</v>
      </c>
      <c r="G348" s="20" t="s">
        <v>104</v>
      </c>
      <c r="H348" s="20" t="s">
        <v>48</v>
      </c>
      <c r="I348" s="20" t="s">
        <v>104</v>
      </c>
      <c r="J348" s="32" t="s">
        <v>1863</v>
      </c>
      <c r="K348" s="32" t="s">
        <v>1863</v>
      </c>
      <c r="L348" s="23" t="s">
        <v>1845</v>
      </c>
      <c r="M348" s="24" t="s">
        <v>7743</v>
      </c>
      <c r="N348" s="23">
        <v>18642000</v>
      </c>
      <c r="O348" s="25" t="s">
        <v>677</v>
      </c>
      <c r="P348" s="25" t="s">
        <v>53</v>
      </c>
      <c r="Q348" s="20" t="s">
        <v>1864</v>
      </c>
      <c r="R348" s="20">
        <v>53345646</v>
      </c>
      <c r="S348" s="25" t="s">
        <v>1865</v>
      </c>
      <c r="T348" s="26" t="s">
        <v>57</v>
      </c>
      <c r="U348" s="23">
        <v>860478064847236</v>
      </c>
      <c r="V348" s="45" t="s">
        <v>110</v>
      </c>
      <c r="W348" s="20" t="s">
        <v>302</v>
      </c>
      <c r="X348" s="20" t="s">
        <v>303</v>
      </c>
      <c r="Y348" s="20" t="s">
        <v>303</v>
      </c>
      <c r="Z348" s="20" t="s">
        <v>80</v>
      </c>
      <c r="AA348" s="20" t="s">
        <v>81</v>
      </c>
      <c r="AB348" s="20" t="s">
        <v>82</v>
      </c>
      <c r="AC348" s="28">
        <v>559.48</v>
      </c>
      <c r="AD348" s="28">
        <f>SUM(BASE[[#This Row],[MONTO DE RENTA ]]*1.16)</f>
        <v>648.99680000000001</v>
      </c>
      <c r="AE348" s="28" t="s">
        <v>83</v>
      </c>
      <c r="AF348" s="28">
        <v>559.48275862068965</v>
      </c>
      <c r="AG348" s="28">
        <v>649</v>
      </c>
      <c r="AH348" s="22" t="s">
        <v>64</v>
      </c>
      <c r="AI348" s="63">
        <v>45703</v>
      </c>
      <c r="AJ348" s="63">
        <v>46433</v>
      </c>
      <c r="AK3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48" s="30"/>
      <c r="AN348" s="20" t="s">
        <v>65</v>
      </c>
      <c r="AP348" s="20" t="s">
        <v>84</v>
      </c>
    </row>
    <row r="349" spans="1:43" ht="16">
      <c r="A349" s="20">
        <v>4522031658</v>
      </c>
      <c r="B349" s="49">
        <v>425122</v>
      </c>
      <c r="C349" s="20" t="s">
        <v>1866</v>
      </c>
      <c r="D349" s="20" t="s">
        <v>357</v>
      </c>
      <c r="E349" s="20" t="s">
        <v>456</v>
      </c>
      <c r="F349" s="20" t="s">
        <v>451</v>
      </c>
      <c r="G349" s="20" t="s">
        <v>122</v>
      </c>
      <c r="H349" s="20" t="s">
        <v>48</v>
      </c>
      <c r="I349" s="20" t="s">
        <v>451</v>
      </c>
      <c r="J349" s="22" t="s">
        <v>1867</v>
      </c>
      <c r="K349" s="22" t="s">
        <v>1867</v>
      </c>
      <c r="L349" s="23" t="s">
        <v>1845</v>
      </c>
      <c r="M349" s="24" t="s">
        <v>7743</v>
      </c>
      <c r="N349" s="23">
        <v>18642000</v>
      </c>
      <c r="O349" s="25" t="s">
        <v>677</v>
      </c>
      <c r="P349" s="25" t="s">
        <v>53</v>
      </c>
      <c r="Q349" s="20" t="s">
        <v>1868</v>
      </c>
      <c r="R349" s="20">
        <v>53826898</v>
      </c>
      <c r="S349" s="25" t="s">
        <v>55</v>
      </c>
      <c r="T349" s="26" t="s">
        <v>56</v>
      </c>
      <c r="U349" s="23">
        <v>865356065668329</v>
      </c>
      <c r="V349" s="27" t="s">
        <v>183</v>
      </c>
      <c r="W349" s="20" t="s">
        <v>129</v>
      </c>
      <c r="X349" s="20" t="s">
        <v>130</v>
      </c>
      <c r="Y349" s="20" t="s">
        <v>130</v>
      </c>
      <c r="Z349" s="20" t="s">
        <v>60</v>
      </c>
      <c r="AA349" s="20" t="s">
        <v>61</v>
      </c>
      <c r="AB349" s="20" t="s">
        <v>96</v>
      </c>
      <c r="AC349" s="28">
        <v>369.83</v>
      </c>
      <c r="AD349" s="28">
        <f>SUM(BASE[[#This Row],[MONTO DE RENTA ]]*1.16)</f>
        <v>429.00279999999998</v>
      </c>
      <c r="AE349" s="28" t="s">
        <v>63</v>
      </c>
      <c r="AF349" s="28">
        <v>369.82758620689657</v>
      </c>
      <c r="AG349" s="28">
        <v>429</v>
      </c>
      <c r="AI349" s="63">
        <v>44937</v>
      </c>
      <c r="AJ349" s="73">
        <v>46043</v>
      </c>
      <c r="AK3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49" s="30"/>
      <c r="AN349" s="20" t="s">
        <v>99</v>
      </c>
      <c r="AP349" s="20" t="s">
        <v>84</v>
      </c>
      <c r="AQ349" s="20" t="s">
        <v>100</v>
      </c>
    </row>
    <row r="350" spans="1:43" ht="16">
      <c r="A350" s="20">
        <v>4521171030</v>
      </c>
      <c r="B350" s="49">
        <v>260280</v>
      </c>
      <c r="C350" s="20" t="s">
        <v>1869</v>
      </c>
      <c r="D350" s="20" t="s">
        <v>461</v>
      </c>
      <c r="E350" s="20" t="s">
        <v>1870</v>
      </c>
      <c r="F350" s="20" t="s">
        <v>70</v>
      </c>
      <c r="G350" s="20" t="s">
        <v>70</v>
      </c>
      <c r="H350" s="20" t="s">
        <v>48</v>
      </c>
      <c r="I350" s="20" t="s">
        <v>70</v>
      </c>
      <c r="J350" s="22" t="s">
        <v>1871</v>
      </c>
      <c r="K350" s="22" t="s">
        <v>1871</v>
      </c>
      <c r="L350" s="23" t="s">
        <v>1845</v>
      </c>
      <c r="M350" s="24" t="s">
        <v>7743</v>
      </c>
      <c r="N350" s="23">
        <v>18642000</v>
      </c>
      <c r="O350" s="25" t="s">
        <v>677</v>
      </c>
      <c r="P350" s="25" t="s">
        <v>53</v>
      </c>
      <c r="Q350" s="20" t="s">
        <v>1872</v>
      </c>
      <c r="R350" s="20">
        <v>53197257</v>
      </c>
      <c r="S350" s="25" t="s">
        <v>55</v>
      </c>
      <c r="T350" s="26" t="s">
        <v>56</v>
      </c>
      <c r="U350" s="23">
        <v>357654177912634</v>
      </c>
      <c r="V350" s="27" t="s">
        <v>78</v>
      </c>
      <c r="W350" s="20" t="s">
        <v>95</v>
      </c>
      <c r="X350" s="20" t="s">
        <v>95</v>
      </c>
      <c r="Y350" s="20" t="s">
        <v>95</v>
      </c>
      <c r="Z350" s="20" t="s">
        <v>60</v>
      </c>
      <c r="AA350" s="20" t="s">
        <v>61</v>
      </c>
      <c r="AB350" s="20" t="s">
        <v>82</v>
      </c>
      <c r="AC350" s="28">
        <v>559.48</v>
      </c>
      <c r="AD350" s="28">
        <f>SUM(BASE[[#This Row],[MONTO DE RENTA ]]*1.16)</f>
        <v>648.99680000000001</v>
      </c>
      <c r="AE350" s="28" t="s">
        <v>83</v>
      </c>
      <c r="AF350" s="28">
        <v>559.48275862068965</v>
      </c>
      <c r="AG350" s="28">
        <v>649</v>
      </c>
      <c r="AI350" s="63">
        <v>44937</v>
      </c>
      <c r="AJ350" s="73">
        <v>46043</v>
      </c>
      <c r="AK3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50" s="30"/>
      <c r="AN350" s="20" t="s">
        <v>99</v>
      </c>
      <c r="AP350" s="20" t="s">
        <v>84</v>
      </c>
      <c r="AQ350" s="20" t="s">
        <v>100</v>
      </c>
    </row>
    <row r="351" spans="1:43" ht="16">
      <c r="A351" s="20">
        <v>3314795846</v>
      </c>
      <c r="B351" s="21">
        <v>720001</v>
      </c>
      <c r="C351" s="20" t="s">
        <v>1873</v>
      </c>
      <c r="D351" s="20" t="s">
        <v>1874</v>
      </c>
      <c r="E351" s="20" t="s">
        <v>1875</v>
      </c>
      <c r="F351" s="20" t="s">
        <v>47</v>
      </c>
      <c r="G351" s="20" t="s">
        <v>47</v>
      </c>
      <c r="H351" s="20" t="s">
        <v>48</v>
      </c>
      <c r="I351" s="20" t="s">
        <v>47</v>
      </c>
      <c r="J351" s="22" t="s">
        <v>1876</v>
      </c>
      <c r="K351" s="22" t="s">
        <v>1876</v>
      </c>
      <c r="L351" s="23" t="s">
        <v>1877</v>
      </c>
      <c r="M351" s="24" t="s">
        <v>7746</v>
      </c>
      <c r="N351" s="23">
        <v>18643000</v>
      </c>
      <c r="O351" s="25" t="s">
        <v>677</v>
      </c>
      <c r="P351" s="25" t="s">
        <v>53</v>
      </c>
      <c r="Q351" s="20" t="s">
        <v>1878</v>
      </c>
      <c r="R351" s="20">
        <v>53354228</v>
      </c>
      <c r="S351" s="25" t="s">
        <v>1879</v>
      </c>
      <c r="T351" s="26" t="s">
        <v>57</v>
      </c>
      <c r="U351" s="23">
        <v>860900062254982</v>
      </c>
      <c r="V351" s="27" t="s">
        <v>57</v>
      </c>
      <c r="W351" s="20" t="s">
        <v>58</v>
      </c>
      <c r="X351" s="20" t="s">
        <v>59</v>
      </c>
      <c r="Y351" s="20" t="s">
        <v>59</v>
      </c>
      <c r="Z351" s="20" t="s">
        <v>80</v>
      </c>
      <c r="AA351" s="20" t="s">
        <v>81</v>
      </c>
      <c r="AB351" s="20" t="s">
        <v>96</v>
      </c>
      <c r="AC351" s="28">
        <v>369.83</v>
      </c>
      <c r="AD351" s="28">
        <f>SUM(BASE[[#This Row],[MONTO DE RENTA ]]*1.16)</f>
        <v>429.00279999999998</v>
      </c>
      <c r="AE351" s="28" t="s">
        <v>63</v>
      </c>
      <c r="AF351" s="28">
        <v>369.82758620689657</v>
      </c>
      <c r="AG351" s="28">
        <v>429</v>
      </c>
      <c r="AH351" s="22" t="s">
        <v>64</v>
      </c>
      <c r="AI351" s="29">
        <v>45703</v>
      </c>
      <c r="AJ351" s="29">
        <v>46433</v>
      </c>
      <c r="AK3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1" s="30"/>
      <c r="AN351" s="20" t="s">
        <v>65</v>
      </c>
      <c r="AP351" s="20" t="s">
        <v>84</v>
      </c>
    </row>
    <row r="352" spans="1:43" ht="16">
      <c r="A352" s="20">
        <v>3311530433</v>
      </c>
      <c r="B352" s="185">
        <v>435097</v>
      </c>
      <c r="C352" s="20" t="s">
        <v>1880</v>
      </c>
      <c r="D352" s="20" t="s">
        <v>476</v>
      </c>
      <c r="E352" s="20" t="s">
        <v>311</v>
      </c>
      <c r="F352" s="20" t="s">
        <v>248</v>
      </c>
      <c r="G352" s="20" t="s">
        <v>248</v>
      </c>
      <c r="H352" s="20" t="s">
        <v>48</v>
      </c>
      <c r="I352" s="20" t="s">
        <v>248</v>
      </c>
      <c r="J352" s="22" t="s">
        <v>1881</v>
      </c>
      <c r="K352" s="22" t="s">
        <v>1882</v>
      </c>
      <c r="L352" s="23" t="s">
        <v>1877</v>
      </c>
      <c r="M352" s="24" t="s">
        <v>7746</v>
      </c>
      <c r="N352" s="23">
        <v>18643000</v>
      </c>
      <c r="O352" s="25" t="s">
        <v>677</v>
      </c>
      <c r="P352" s="25" t="s">
        <v>53</v>
      </c>
      <c r="Q352" s="20" t="s">
        <v>1883</v>
      </c>
      <c r="R352" s="20">
        <v>53335819</v>
      </c>
      <c r="S352" s="25" t="s">
        <v>1884</v>
      </c>
      <c r="T352" s="26" t="s">
        <v>57</v>
      </c>
      <c r="U352" s="23">
        <v>860900062256086</v>
      </c>
      <c r="V352" s="27" t="s">
        <v>57</v>
      </c>
      <c r="W352" s="20" t="s">
        <v>58</v>
      </c>
      <c r="X352" s="20" t="s">
        <v>59</v>
      </c>
      <c r="Y352" s="20" t="s">
        <v>59</v>
      </c>
      <c r="Z352" s="20" t="s">
        <v>80</v>
      </c>
      <c r="AA352" s="20" t="s">
        <v>81</v>
      </c>
      <c r="AB352" s="20" t="s">
        <v>96</v>
      </c>
      <c r="AC352" s="28">
        <v>369.83</v>
      </c>
      <c r="AD352" s="28">
        <f>SUM(BASE[[#This Row],[MONTO DE RENTA ]]*1.16)</f>
        <v>429.00279999999998</v>
      </c>
      <c r="AE352" s="28" t="s">
        <v>63</v>
      </c>
      <c r="AF352" s="28">
        <v>369.82758620689657</v>
      </c>
      <c r="AG352" s="28">
        <v>429</v>
      </c>
      <c r="AH352" s="22" t="s">
        <v>64</v>
      </c>
      <c r="AI352" s="29">
        <v>45703</v>
      </c>
      <c r="AJ352" s="29">
        <v>46433</v>
      </c>
      <c r="AK3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2" s="30"/>
      <c r="AN352" s="20" t="s">
        <v>65</v>
      </c>
      <c r="AP352" s="20" t="s">
        <v>84</v>
      </c>
    </row>
    <row r="353" spans="1:43" ht="16">
      <c r="A353" s="20">
        <v>3315019447</v>
      </c>
      <c r="B353" s="21">
        <v>995370</v>
      </c>
      <c r="C353" s="20" t="s">
        <v>1885</v>
      </c>
      <c r="D353" s="20" t="s">
        <v>1886</v>
      </c>
      <c r="E353" s="20" t="s">
        <v>845</v>
      </c>
      <c r="F353" s="20" t="s">
        <v>257</v>
      </c>
      <c r="G353" s="20" t="s">
        <v>257</v>
      </c>
      <c r="H353" s="20" t="s">
        <v>48</v>
      </c>
      <c r="I353" s="20" t="s">
        <v>257</v>
      </c>
      <c r="J353" s="22" t="s">
        <v>1887</v>
      </c>
      <c r="K353" s="22" t="s">
        <v>1887</v>
      </c>
      <c r="L353" s="25" t="s">
        <v>1877</v>
      </c>
      <c r="M353" s="24" t="s">
        <v>7746</v>
      </c>
      <c r="N353" s="23">
        <v>18643000</v>
      </c>
      <c r="O353" s="25" t="s">
        <v>677</v>
      </c>
      <c r="P353" s="25" t="s">
        <v>53</v>
      </c>
      <c r="Q353" s="20" t="s">
        <v>1888</v>
      </c>
      <c r="R353" s="20">
        <v>53375191</v>
      </c>
      <c r="S353" s="25" t="s">
        <v>1889</v>
      </c>
      <c r="T353" s="26" t="s">
        <v>57</v>
      </c>
      <c r="U353" s="23">
        <v>860478063794728</v>
      </c>
      <c r="V353" s="45" t="s">
        <v>110</v>
      </c>
      <c r="W353" s="20" t="s">
        <v>302</v>
      </c>
      <c r="X353" s="20" t="s">
        <v>303</v>
      </c>
      <c r="Y353" s="20" t="s">
        <v>303</v>
      </c>
      <c r="Z353" s="20" t="s">
        <v>80</v>
      </c>
      <c r="AA353" s="20" t="s">
        <v>81</v>
      </c>
      <c r="AB353" s="20" t="s">
        <v>82</v>
      </c>
      <c r="AC353" s="28">
        <v>559.48</v>
      </c>
      <c r="AD353" s="28">
        <f>SUM(BASE[[#This Row],[MONTO DE RENTA ]]*1.16)</f>
        <v>648.99680000000001</v>
      </c>
      <c r="AE353" s="28" t="s">
        <v>83</v>
      </c>
      <c r="AF353" s="28">
        <v>559.48275862068965</v>
      </c>
      <c r="AG353" s="28">
        <v>649</v>
      </c>
      <c r="AH353" s="22" t="s">
        <v>64</v>
      </c>
      <c r="AI353" s="63">
        <v>45703</v>
      </c>
      <c r="AJ353" s="63">
        <v>46433</v>
      </c>
      <c r="AK3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3" s="30"/>
      <c r="AN353" s="20" t="s">
        <v>65</v>
      </c>
      <c r="AP353" s="20" t="s">
        <v>84</v>
      </c>
    </row>
    <row r="354" spans="1:43" ht="16">
      <c r="A354" s="20">
        <v>3315004918</v>
      </c>
      <c r="B354" s="21">
        <v>1069815</v>
      </c>
      <c r="C354" s="20" t="s">
        <v>1890</v>
      </c>
      <c r="D354" s="20" t="s">
        <v>1807</v>
      </c>
      <c r="E354" s="20" t="s">
        <v>172</v>
      </c>
      <c r="F354" s="20" t="s">
        <v>104</v>
      </c>
      <c r="G354" s="20" t="s">
        <v>104</v>
      </c>
      <c r="H354" s="20" t="s">
        <v>48</v>
      </c>
      <c r="I354" s="20" t="s">
        <v>104</v>
      </c>
      <c r="J354" s="22" t="s">
        <v>1891</v>
      </c>
      <c r="K354" s="22" t="s">
        <v>1891</v>
      </c>
      <c r="L354" s="23" t="s">
        <v>1877</v>
      </c>
      <c r="M354" s="24" t="s">
        <v>7746</v>
      </c>
      <c r="N354" s="23">
        <v>18643000</v>
      </c>
      <c r="O354" s="25" t="s">
        <v>677</v>
      </c>
      <c r="P354" s="25" t="s">
        <v>53</v>
      </c>
      <c r="Q354" s="20" t="s">
        <v>1892</v>
      </c>
      <c r="R354" s="20">
        <v>53375175</v>
      </c>
      <c r="S354" s="25" t="s">
        <v>1893</v>
      </c>
      <c r="T354" s="26" t="s">
        <v>57</v>
      </c>
      <c r="U354" s="23">
        <v>860478063794694</v>
      </c>
      <c r="V354" s="45" t="s">
        <v>110</v>
      </c>
      <c r="W354" s="20" t="s">
        <v>302</v>
      </c>
      <c r="X354" s="20" t="s">
        <v>303</v>
      </c>
      <c r="Y354" s="20" t="s">
        <v>303</v>
      </c>
      <c r="Z354" s="20" t="s">
        <v>80</v>
      </c>
      <c r="AA354" s="20" t="s">
        <v>81</v>
      </c>
      <c r="AB354" s="20" t="s">
        <v>82</v>
      </c>
      <c r="AC354" s="28">
        <v>559.48</v>
      </c>
      <c r="AD354" s="28">
        <f>SUM(BASE[[#This Row],[MONTO DE RENTA ]]*1.16)</f>
        <v>648.99680000000001</v>
      </c>
      <c r="AE354" s="28" t="s">
        <v>83</v>
      </c>
      <c r="AF354" s="28">
        <v>559.48275862068965</v>
      </c>
      <c r="AG354" s="28">
        <v>649</v>
      </c>
      <c r="AH354" s="22" t="s">
        <v>64</v>
      </c>
      <c r="AI354" s="63">
        <v>45703</v>
      </c>
      <c r="AJ354" s="63">
        <v>46433</v>
      </c>
      <c r="AK3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4" s="30"/>
      <c r="AN354" s="20" t="s">
        <v>65</v>
      </c>
      <c r="AP354" s="20" t="s">
        <v>84</v>
      </c>
    </row>
    <row r="355" spans="1:43" ht="16">
      <c r="A355" s="20">
        <v>3312376897</v>
      </c>
      <c r="B355" s="49">
        <v>365002</v>
      </c>
      <c r="C355" s="20" t="s">
        <v>1894</v>
      </c>
      <c r="D355" s="20" t="s">
        <v>143</v>
      </c>
      <c r="E355" s="20" t="s">
        <v>358</v>
      </c>
      <c r="F355" s="20" t="s">
        <v>70</v>
      </c>
      <c r="G355" s="20" t="s">
        <v>70</v>
      </c>
      <c r="H355" s="20" t="s">
        <v>48</v>
      </c>
      <c r="I355" s="20" t="s">
        <v>70</v>
      </c>
      <c r="J355" s="22" t="s">
        <v>1895</v>
      </c>
      <c r="K355" s="22" t="s">
        <v>1895</v>
      </c>
      <c r="L355" s="23" t="s">
        <v>1877</v>
      </c>
      <c r="M355" s="24" t="s">
        <v>7746</v>
      </c>
      <c r="N355" s="23">
        <v>18659000</v>
      </c>
      <c r="O355" s="25" t="s">
        <v>677</v>
      </c>
      <c r="P355" s="25" t="s">
        <v>53</v>
      </c>
      <c r="Q355" s="20" t="s">
        <v>1896</v>
      </c>
      <c r="R355" s="20">
        <v>53162343</v>
      </c>
      <c r="S355" s="25" t="s">
        <v>55</v>
      </c>
      <c r="T355" s="26" t="s">
        <v>56</v>
      </c>
      <c r="U355" s="23">
        <v>357654178849678</v>
      </c>
      <c r="V355" s="27" t="s">
        <v>78</v>
      </c>
      <c r="W355" s="20" t="s">
        <v>95</v>
      </c>
      <c r="X355" s="20" t="s">
        <v>95</v>
      </c>
      <c r="Y355" s="20" t="s">
        <v>95</v>
      </c>
      <c r="Z355" s="20" t="s">
        <v>60</v>
      </c>
      <c r="AA355" s="20" t="s">
        <v>61</v>
      </c>
      <c r="AB355" s="20" t="s">
        <v>82</v>
      </c>
      <c r="AC355" s="28">
        <v>559.48</v>
      </c>
      <c r="AD355" s="28">
        <f>SUM(BASE[[#This Row],[MONTO DE RENTA ]]*1.16)</f>
        <v>648.99680000000001</v>
      </c>
      <c r="AE355" s="28" t="s">
        <v>83</v>
      </c>
      <c r="AF355" s="28">
        <v>559.48275862068965</v>
      </c>
      <c r="AG355" s="28">
        <v>649</v>
      </c>
      <c r="AI355" s="63">
        <v>44937</v>
      </c>
      <c r="AJ355" s="73">
        <v>46043</v>
      </c>
      <c r="AK3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55" s="30"/>
      <c r="AN355" s="20" t="s">
        <v>99</v>
      </c>
      <c r="AP355" s="20" t="s">
        <v>84</v>
      </c>
      <c r="AQ355" s="20" t="s">
        <v>100</v>
      </c>
    </row>
    <row r="356" spans="1:43" ht="16">
      <c r="A356" s="20">
        <v>8681636020</v>
      </c>
      <c r="B356" s="21">
        <v>445025</v>
      </c>
      <c r="C356" s="20" t="s">
        <v>426</v>
      </c>
      <c r="D356" s="20" t="s">
        <v>801</v>
      </c>
      <c r="E356" s="20" t="s">
        <v>1897</v>
      </c>
      <c r="F356" s="20" t="s">
        <v>418</v>
      </c>
      <c r="G356" s="20" t="s">
        <v>47</v>
      </c>
      <c r="H356" s="20" t="s">
        <v>48</v>
      </c>
      <c r="I356" s="20" t="s">
        <v>418</v>
      </c>
      <c r="J356" s="22" t="s">
        <v>1898</v>
      </c>
      <c r="K356" s="22" t="s">
        <v>1898</v>
      </c>
      <c r="L356" s="23" t="s">
        <v>1899</v>
      </c>
      <c r="M356" s="24" t="s">
        <v>7739</v>
      </c>
      <c r="N356" s="23">
        <v>18644000</v>
      </c>
      <c r="O356" s="25" t="s">
        <v>74</v>
      </c>
      <c r="P356" s="25" t="s">
        <v>53</v>
      </c>
      <c r="Q356" s="20" t="s">
        <v>1900</v>
      </c>
      <c r="R356" s="20">
        <v>43141293</v>
      </c>
      <c r="S356" s="25" t="s">
        <v>1901</v>
      </c>
      <c r="T356" s="26" t="s">
        <v>57</v>
      </c>
      <c r="U356" s="23">
        <v>860900062334875</v>
      </c>
      <c r="V356" s="27" t="s">
        <v>57</v>
      </c>
      <c r="W356" s="20" t="s">
        <v>58</v>
      </c>
      <c r="X356" s="20" t="s">
        <v>59</v>
      </c>
      <c r="Y356" s="20" t="s">
        <v>59</v>
      </c>
      <c r="Z356" s="20" t="s">
        <v>167</v>
      </c>
      <c r="AA356" s="20" t="s">
        <v>168</v>
      </c>
      <c r="AB356" s="20" t="s">
        <v>96</v>
      </c>
      <c r="AC356" s="28">
        <v>369.83</v>
      </c>
      <c r="AD356" s="28">
        <f>SUM(BASE[[#This Row],[MONTO DE RENTA ]]*1.16)</f>
        <v>429.00279999999998</v>
      </c>
      <c r="AE356" s="28" t="s">
        <v>63</v>
      </c>
      <c r="AF356" s="28">
        <v>369.82758620689657</v>
      </c>
      <c r="AG356" s="28">
        <v>429</v>
      </c>
      <c r="AH356" s="22" t="s">
        <v>64</v>
      </c>
      <c r="AI356" s="63">
        <v>45713</v>
      </c>
      <c r="AJ356" s="63">
        <v>46433</v>
      </c>
      <c r="AK3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6" s="30"/>
      <c r="AN356" s="20" t="s">
        <v>65</v>
      </c>
      <c r="AP356" s="20" t="s">
        <v>84</v>
      </c>
    </row>
    <row r="357" spans="1:43" ht="16">
      <c r="A357" s="20">
        <v>8681636357</v>
      </c>
      <c r="B357" s="21">
        <v>1003507</v>
      </c>
      <c r="C357" s="20" t="s">
        <v>1902</v>
      </c>
      <c r="D357" s="20" t="s">
        <v>172</v>
      </c>
      <c r="E357" s="20" t="s">
        <v>1903</v>
      </c>
      <c r="F357" s="20" t="s">
        <v>509</v>
      </c>
      <c r="G357" s="20" t="s">
        <v>248</v>
      </c>
      <c r="H357" s="20" t="s">
        <v>48</v>
      </c>
      <c r="I357" s="20" t="s">
        <v>509</v>
      </c>
      <c r="J357" s="22" t="s">
        <v>1904</v>
      </c>
      <c r="K357" s="22" t="s">
        <v>1904</v>
      </c>
      <c r="L357" s="23" t="s">
        <v>1899</v>
      </c>
      <c r="M357" s="24" t="s">
        <v>7739</v>
      </c>
      <c r="N357" s="23">
        <v>18861000</v>
      </c>
      <c r="O357" s="25" t="s">
        <v>74</v>
      </c>
      <c r="P357" s="25" t="s">
        <v>53</v>
      </c>
      <c r="Q357" s="20" t="s">
        <v>1905</v>
      </c>
      <c r="R357" s="20">
        <v>43121161</v>
      </c>
      <c r="S357" s="25" t="s">
        <v>1906</v>
      </c>
      <c r="T357" s="65" t="s">
        <v>57</v>
      </c>
      <c r="U357" s="23">
        <v>860900062730080</v>
      </c>
      <c r="V357" s="27" t="s">
        <v>57</v>
      </c>
      <c r="W357" s="20" t="s">
        <v>58</v>
      </c>
      <c r="X357" s="20" t="s">
        <v>59</v>
      </c>
      <c r="Y357" s="20" t="s">
        <v>59</v>
      </c>
      <c r="Z357" s="20" t="s">
        <v>167</v>
      </c>
      <c r="AA357" s="20" t="s">
        <v>168</v>
      </c>
      <c r="AB357" s="20" t="s">
        <v>96</v>
      </c>
      <c r="AC357" s="28">
        <v>369.83</v>
      </c>
      <c r="AD357" s="28">
        <f>SUM(BASE[[#This Row],[MONTO DE RENTA ]]*1.16)</f>
        <v>429.00279999999998</v>
      </c>
      <c r="AE357" s="28" t="s">
        <v>63</v>
      </c>
      <c r="AF357" s="28">
        <v>369.82758620689657</v>
      </c>
      <c r="AG357" s="28">
        <v>429</v>
      </c>
      <c r="AH357" s="22" t="s">
        <v>448</v>
      </c>
      <c r="AI357" s="63">
        <v>45710</v>
      </c>
      <c r="AJ357" s="63">
        <v>46402</v>
      </c>
      <c r="AK357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357" s="30" t="s">
        <v>1907</v>
      </c>
      <c r="AN357" s="20" t="s">
        <v>65</v>
      </c>
      <c r="AP357" s="20" t="s">
        <v>84</v>
      </c>
    </row>
    <row r="358" spans="1:43" ht="16">
      <c r="A358" s="20">
        <v>8681439780</v>
      </c>
      <c r="B358" s="21">
        <v>445069</v>
      </c>
      <c r="C358" s="20" t="s">
        <v>1908</v>
      </c>
      <c r="D358" s="20" t="s">
        <v>1909</v>
      </c>
      <c r="E358" s="20" t="s">
        <v>1587</v>
      </c>
      <c r="F358" s="20" t="s">
        <v>257</v>
      </c>
      <c r="G358" s="20" t="s">
        <v>257</v>
      </c>
      <c r="H358" s="20" t="s">
        <v>48</v>
      </c>
      <c r="I358" s="20" t="s">
        <v>257</v>
      </c>
      <c r="J358" s="22" t="s">
        <v>1910</v>
      </c>
      <c r="K358" s="22" t="s">
        <v>1910</v>
      </c>
      <c r="L358" s="23" t="s">
        <v>1899</v>
      </c>
      <c r="M358" s="24" t="s">
        <v>7739</v>
      </c>
      <c r="N358" s="23">
        <v>18644000</v>
      </c>
      <c r="O358" s="25" t="s">
        <v>74</v>
      </c>
      <c r="P358" s="25" t="s">
        <v>53</v>
      </c>
      <c r="Q358" s="20" t="s">
        <v>1911</v>
      </c>
      <c r="R358" s="20">
        <v>43090170</v>
      </c>
      <c r="S358" s="25" t="s">
        <v>1912</v>
      </c>
      <c r="T358" s="26" t="s">
        <v>57</v>
      </c>
      <c r="U358" s="23">
        <v>860478064949651</v>
      </c>
      <c r="V358" s="45" t="s">
        <v>110</v>
      </c>
      <c r="W358" s="20" t="s">
        <v>302</v>
      </c>
      <c r="X358" s="20" t="s">
        <v>303</v>
      </c>
      <c r="Y358" s="20" t="s">
        <v>303</v>
      </c>
      <c r="Z358" s="20" t="s">
        <v>167</v>
      </c>
      <c r="AA358" s="20" t="s">
        <v>168</v>
      </c>
      <c r="AB358" s="20" t="s">
        <v>96</v>
      </c>
      <c r="AC358" s="28">
        <v>369.83</v>
      </c>
      <c r="AD358" s="28">
        <f>SUM(BASE[[#This Row],[MONTO DE RENTA ]]*1.16)</f>
        <v>429.00279999999998</v>
      </c>
      <c r="AE358" s="28" t="s">
        <v>97</v>
      </c>
      <c r="AF358" s="28">
        <v>473.27586206896552</v>
      </c>
      <c r="AG358" s="28">
        <v>549</v>
      </c>
      <c r="AH358" s="22" t="s">
        <v>64</v>
      </c>
      <c r="AI358" s="63">
        <v>45713</v>
      </c>
      <c r="AJ358" s="63">
        <v>46433</v>
      </c>
      <c r="AK3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8" s="30"/>
      <c r="AN358" s="20" t="s">
        <v>65</v>
      </c>
      <c r="AP358" s="20" t="s">
        <v>66</v>
      </c>
    </row>
    <row r="359" spans="1:43" ht="16">
      <c r="A359" s="20">
        <v>8681439806</v>
      </c>
      <c r="B359" s="21">
        <v>1023255</v>
      </c>
      <c r="C359" s="20" t="s">
        <v>1913</v>
      </c>
      <c r="D359" s="20" t="s">
        <v>598</v>
      </c>
      <c r="E359" s="20" t="s">
        <v>613</v>
      </c>
      <c r="F359" s="20" t="s">
        <v>104</v>
      </c>
      <c r="G359" s="20" t="s">
        <v>104</v>
      </c>
      <c r="H359" s="20" t="s">
        <v>48</v>
      </c>
      <c r="I359" s="20" t="s">
        <v>104</v>
      </c>
      <c r="J359" s="32" t="s">
        <v>1914</v>
      </c>
      <c r="K359" s="32" t="s">
        <v>1914</v>
      </c>
      <c r="L359" s="23" t="s">
        <v>1899</v>
      </c>
      <c r="M359" s="24" t="s">
        <v>7739</v>
      </c>
      <c r="N359" s="23">
        <v>18644000</v>
      </c>
      <c r="O359" s="25" t="s">
        <v>74</v>
      </c>
      <c r="P359" s="25" t="s">
        <v>53</v>
      </c>
      <c r="Q359" s="20" t="s">
        <v>1915</v>
      </c>
      <c r="R359" s="20">
        <v>43090187</v>
      </c>
      <c r="S359" s="25" t="s">
        <v>1916</v>
      </c>
      <c r="T359" s="26" t="s">
        <v>57</v>
      </c>
      <c r="U359" s="23">
        <v>860478062096752</v>
      </c>
      <c r="V359" s="45" t="s">
        <v>110</v>
      </c>
      <c r="W359" s="20" t="s">
        <v>302</v>
      </c>
      <c r="X359" s="20" t="s">
        <v>303</v>
      </c>
      <c r="Y359" s="20" t="s">
        <v>303</v>
      </c>
      <c r="Z359" s="20" t="s">
        <v>80</v>
      </c>
      <c r="AA359" s="20" t="s">
        <v>81</v>
      </c>
      <c r="AB359" s="20" t="s">
        <v>82</v>
      </c>
      <c r="AC359" s="28">
        <v>559.48</v>
      </c>
      <c r="AD359" s="28">
        <f>SUM(BASE[[#This Row],[MONTO DE RENTA ]]*1.16)</f>
        <v>648.99680000000001</v>
      </c>
      <c r="AE359" s="28" t="s">
        <v>83</v>
      </c>
      <c r="AF359" s="28">
        <v>559.48275862068965</v>
      </c>
      <c r="AG359" s="28">
        <v>649</v>
      </c>
      <c r="AH359" s="22" t="s">
        <v>64</v>
      </c>
      <c r="AI359" s="63">
        <v>45713</v>
      </c>
      <c r="AJ359" s="63">
        <v>46433</v>
      </c>
      <c r="AK3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59" s="30"/>
      <c r="AN359" s="20" t="s">
        <v>65</v>
      </c>
      <c r="AP359" s="20" t="s">
        <v>84</v>
      </c>
    </row>
    <row r="360" spans="1:43" ht="16">
      <c r="A360" s="20">
        <v>8681439737</v>
      </c>
      <c r="B360" s="21">
        <v>445040</v>
      </c>
      <c r="C360" s="20" t="s">
        <v>1917</v>
      </c>
      <c r="D360" s="20" t="s">
        <v>187</v>
      </c>
      <c r="E360" s="20" t="s">
        <v>376</v>
      </c>
      <c r="F360" s="20" t="s">
        <v>104</v>
      </c>
      <c r="G360" s="20" t="s">
        <v>104</v>
      </c>
      <c r="H360" s="20" t="s">
        <v>48</v>
      </c>
      <c r="I360" s="20" t="s">
        <v>104</v>
      </c>
      <c r="J360" s="32" t="s">
        <v>1918</v>
      </c>
      <c r="K360" s="32" t="s">
        <v>1918</v>
      </c>
      <c r="L360" s="23" t="s">
        <v>1899</v>
      </c>
      <c r="M360" s="24" t="s">
        <v>7739</v>
      </c>
      <c r="N360" s="23">
        <v>18644000</v>
      </c>
      <c r="O360" s="25" t="s">
        <v>74</v>
      </c>
      <c r="P360" s="25" t="s">
        <v>53</v>
      </c>
      <c r="Q360" s="20" t="s">
        <v>1919</v>
      </c>
      <c r="R360" s="20">
        <v>43090166</v>
      </c>
      <c r="S360" s="25" t="s">
        <v>1920</v>
      </c>
      <c r="T360" s="26" t="s">
        <v>57</v>
      </c>
      <c r="U360" s="23">
        <v>860478062096802</v>
      </c>
      <c r="V360" s="45" t="s">
        <v>110</v>
      </c>
      <c r="W360" s="20" t="s">
        <v>302</v>
      </c>
      <c r="X360" s="20" t="s">
        <v>303</v>
      </c>
      <c r="Y360" s="20" t="s">
        <v>303</v>
      </c>
      <c r="Z360" s="20" t="s">
        <v>80</v>
      </c>
      <c r="AA360" s="20" t="s">
        <v>81</v>
      </c>
      <c r="AB360" s="20" t="s">
        <v>82</v>
      </c>
      <c r="AC360" s="28">
        <v>559.48</v>
      </c>
      <c r="AD360" s="28">
        <f>SUM(BASE[[#This Row],[MONTO DE RENTA ]]*1.16)</f>
        <v>648.99680000000001</v>
      </c>
      <c r="AE360" s="28" t="s">
        <v>83</v>
      </c>
      <c r="AF360" s="28">
        <v>559.48275862068965</v>
      </c>
      <c r="AG360" s="28">
        <v>649</v>
      </c>
      <c r="AH360" s="22" t="s">
        <v>64</v>
      </c>
      <c r="AI360" s="63">
        <v>45713</v>
      </c>
      <c r="AJ360" s="63">
        <v>46433</v>
      </c>
      <c r="AK3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0" s="30"/>
      <c r="AN360" s="20" t="s">
        <v>65</v>
      </c>
      <c r="AP360" s="20" t="s">
        <v>84</v>
      </c>
    </row>
    <row r="361" spans="1:43" ht="16">
      <c r="A361" s="20">
        <v>8682980356</v>
      </c>
      <c r="B361" s="49">
        <v>1064074</v>
      </c>
      <c r="C361" s="20" t="s">
        <v>1921</v>
      </c>
      <c r="D361" s="20" t="s">
        <v>172</v>
      </c>
      <c r="E361" s="20" t="s">
        <v>1922</v>
      </c>
      <c r="F361" s="20" t="s">
        <v>1923</v>
      </c>
      <c r="G361" s="20" t="s">
        <v>122</v>
      </c>
      <c r="H361" s="20" t="s">
        <v>48</v>
      </c>
      <c r="I361" s="20" t="s">
        <v>1923</v>
      </c>
      <c r="J361" s="22" t="s">
        <v>1924</v>
      </c>
      <c r="K361" s="22" t="s">
        <v>1924</v>
      </c>
      <c r="L361" s="23" t="s">
        <v>1899</v>
      </c>
      <c r="M361" s="24" t="s">
        <v>7739</v>
      </c>
      <c r="N361" s="23">
        <v>18644000</v>
      </c>
      <c r="O361" s="25" t="s">
        <v>74</v>
      </c>
      <c r="P361" s="25" t="s">
        <v>53</v>
      </c>
      <c r="Q361" s="20" t="s">
        <v>1925</v>
      </c>
      <c r="R361" s="20">
        <v>43514789</v>
      </c>
      <c r="S361" s="25" t="s">
        <v>55</v>
      </c>
      <c r="T361" s="26" t="s">
        <v>56</v>
      </c>
      <c r="U361" s="23">
        <v>865356065668584</v>
      </c>
      <c r="V361" s="27" t="s">
        <v>183</v>
      </c>
      <c r="W361" s="20" t="s">
        <v>129</v>
      </c>
      <c r="X361" s="20" t="s">
        <v>130</v>
      </c>
      <c r="Y361" s="20" t="s">
        <v>130</v>
      </c>
      <c r="Z361" s="20" t="s">
        <v>60</v>
      </c>
      <c r="AA361" s="20" t="s">
        <v>61</v>
      </c>
      <c r="AB361" s="20" t="s">
        <v>96</v>
      </c>
      <c r="AC361" s="28">
        <v>369.83</v>
      </c>
      <c r="AD361" s="28">
        <f>SUM(BASE[[#This Row],[MONTO DE RENTA ]]*1.16)</f>
        <v>429.00279999999998</v>
      </c>
      <c r="AE361" s="28" t="s">
        <v>63</v>
      </c>
      <c r="AF361" s="28">
        <v>369.82758620689657</v>
      </c>
      <c r="AG361" s="28">
        <v>429</v>
      </c>
      <c r="AI361" s="29">
        <v>44937</v>
      </c>
      <c r="AJ361" s="50">
        <v>46043</v>
      </c>
      <c r="AK3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61" s="30"/>
      <c r="AN361" s="20" t="s">
        <v>99</v>
      </c>
      <c r="AP361" s="20" t="s">
        <v>84</v>
      </c>
      <c r="AQ361" s="20" t="s">
        <v>100</v>
      </c>
    </row>
    <row r="362" spans="1:43" ht="16">
      <c r="A362" s="20">
        <v>8681139674</v>
      </c>
      <c r="B362" s="49">
        <v>80904</v>
      </c>
      <c r="C362" s="20" t="s">
        <v>1926</v>
      </c>
      <c r="D362" s="20" t="s">
        <v>1927</v>
      </c>
      <c r="E362" s="20" t="s">
        <v>1104</v>
      </c>
      <c r="F362" s="20" t="s">
        <v>70</v>
      </c>
      <c r="G362" s="20" t="s">
        <v>70</v>
      </c>
      <c r="H362" s="20" t="s">
        <v>48</v>
      </c>
      <c r="I362" s="20" t="s">
        <v>70</v>
      </c>
      <c r="J362" s="22" t="s">
        <v>1928</v>
      </c>
      <c r="K362" s="22" t="s">
        <v>1928</v>
      </c>
      <c r="L362" s="23" t="s">
        <v>1899</v>
      </c>
      <c r="M362" s="24" t="s">
        <v>7739</v>
      </c>
      <c r="N362" s="23">
        <v>18644000</v>
      </c>
      <c r="O362" s="25" t="s">
        <v>74</v>
      </c>
      <c r="P362" s="25" t="s">
        <v>53</v>
      </c>
      <c r="Q362" s="20" t="s">
        <v>1929</v>
      </c>
      <c r="R362" s="20">
        <v>42977395</v>
      </c>
      <c r="S362" s="25" t="s">
        <v>55</v>
      </c>
      <c r="T362" s="26" t="s">
        <v>56</v>
      </c>
      <c r="U362" s="23">
        <v>357654178663269</v>
      </c>
      <c r="V362" s="27" t="s">
        <v>78</v>
      </c>
      <c r="W362" s="20" t="s">
        <v>95</v>
      </c>
      <c r="X362" s="20" t="s">
        <v>95</v>
      </c>
      <c r="Y362" s="20" t="s">
        <v>95</v>
      </c>
      <c r="Z362" s="20" t="s">
        <v>60</v>
      </c>
      <c r="AA362" s="20" t="s">
        <v>61</v>
      </c>
      <c r="AB362" s="20" t="s">
        <v>82</v>
      </c>
      <c r="AC362" s="28">
        <v>559.48</v>
      </c>
      <c r="AD362" s="28">
        <f>SUM(BASE[[#This Row],[MONTO DE RENTA ]]*1.16)</f>
        <v>648.99680000000001</v>
      </c>
      <c r="AE362" s="28" t="s">
        <v>83</v>
      </c>
      <c r="AF362" s="28">
        <v>559.48275862068965</v>
      </c>
      <c r="AG362" s="28">
        <v>649</v>
      </c>
      <c r="AI362" s="63">
        <v>44937</v>
      </c>
      <c r="AJ362" s="73">
        <v>46043</v>
      </c>
      <c r="AK36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62" s="30"/>
      <c r="AN362" s="20" t="s">
        <v>99</v>
      </c>
      <c r="AP362" s="20" t="s">
        <v>84</v>
      </c>
      <c r="AQ362" s="20" t="s">
        <v>100</v>
      </c>
    </row>
    <row r="363" spans="1:43" ht="16">
      <c r="A363" s="20">
        <v>5518825196</v>
      </c>
      <c r="B363" s="21">
        <v>250390</v>
      </c>
      <c r="C363" s="20" t="s">
        <v>1930</v>
      </c>
      <c r="D363" s="20" t="s">
        <v>1931</v>
      </c>
      <c r="E363" s="20" t="s">
        <v>216</v>
      </c>
      <c r="F363" s="20" t="s">
        <v>47</v>
      </c>
      <c r="G363" s="20" t="s">
        <v>47</v>
      </c>
      <c r="H363" s="20" t="s">
        <v>48</v>
      </c>
      <c r="I363" s="20" t="s">
        <v>47</v>
      </c>
      <c r="J363" s="22" t="s">
        <v>1932</v>
      </c>
      <c r="K363" s="22" t="s">
        <v>1932</v>
      </c>
      <c r="L363" s="23" t="s">
        <v>1933</v>
      </c>
      <c r="M363" s="24" t="s">
        <v>7741</v>
      </c>
      <c r="N363" s="23">
        <v>18645000</v>
      </c>
      <c r="O363" s="25" t="s">
        <v>52</v>
      </c>
      <c r="P363" s="25" t="s">
        <v>53</v>
      </c>
      <c r="Q363" s="20" t="s">
        <v>1934</v>
      </c>
      <c r="R363" s="20">
        <v>90182543</v>
      </c>
      <c r="S363" s="25" t="s">
        <v>1912</v>
      </c>
      <c r="T363" s="26" t="s">
        <v>57</v>
      </c>
      <c r="U363" s="23">
        <v>860900062337142</v>
      </c>
      <c r="V363" s="27" t="s">
        <v>57</v>
      </c>
      <c r="W363" s="20" t="s">
        <v>58</v>
      </c>
      <c r="X363" s="20" t="s">
        <v>59</v>
      </c>
      <c r="Y363" s="20" t="s">
        <v>59</v>
      </c>
      <c r="Z363" s="20" t="s">
        <v>60</v>
      </c>
      <c r="AA363" s="20" t="s">
        <v>61</v>
      </c>
      <c r="AB363" s="20" t="s">
        <v>96</v>
      </c>
      <c r="AC363" s="28">
        <v>369.83</v>
      </c>
      <c r="AD363" s="28">
        <f>SUM(BASE[[#This Row],[MONTO DE RENTA ]]*1.16)</f>
        <v>429.00279999999998</v>
      </c>
      <c r="AE363" s="28" t="s">
        <v>63</v>
      </c>
      <c r="AF363" s="28">
        <v>369.82758620689657</v>
      </c>
      <c r="AG363" s="28">
        <v>429</v>
      </c>
      <c r="AH363" s="22" t="s">
        <v>448</v>
      </c>
      <c r="AI363" s="63">
        <v>45988</v>
      </c>
      <c r="AJ363" s="63">
        <v>46718</v>
      </c>
      <c r="AK363" s="30">
        <f ca="1">IFERROR(IF(BASE[[#This Row],[FECHA DE RENOVACION ]]&gt;TODAY(), DATEDIF(TODAY(),BASE[[#This Row],[FECHA DE RENOVACION ]],"M"), -DATEDIF(BASE[[#This Row],[FECHA DE RENOVACION ]],TODAY(),"M")), "Sin fecha")</f>
        <v>20</v>
      </c>
      <c r="AL363" s="20">
        <v>18645000</v>
      </c>
      <c r="AM363" s="30"/>
      <c r="AN363" s="20" t="s">
        <v>65</v>
      </c>
      <c r="AP363" s="20" t="s">
        <v>84</v>
      </c>
    </row>
    <row r="364" spans="1:43" ht="16">
      <c r="A364" s="20">
        <v>5514162224</v>
      </c>
      <c r="B364" s="59">
        <v>240477</v>
      </c>
      <c r="C364" s="20" t="s">
        <v>1935</v>
      </c>
      <c r="D364" s="20" t="s">
        <v>45</v>
      </c>
      <c r="E364" s="20" t="s">
        <v>1936</v>
      </c>
      <c r="F364" s="20" t="s">
        <v>46</v>
      </c>
      <c r="G364" s="20" t="s">
        <v>248</v>
      </c>
      <c r="H364" s="20" t="s">
        <v>48</v>
      </c>
      <c r="I364" s="20" t="s">
        <v>46</v>
      </c>
      <c r="J364" s="22" t="s">
        <v>1937</v>
      </c>
      <c r="K364" s="22" t="s">
        <v>1937</v>
      </c>
      <c r="L364" s="23" t="s">
        <v>1933</v>
      </c>
      <c r="M364" s="24" t="s">
        <v>7741</v>
      </c>
      <c r="N364" s="23">
        <v>18645000</v>
      </c>
      <c r="O364" s="25" t="s">
        <v>52</v>
      </c>
      <c r="P364" s="25" t="s">
        <v>53</v>
      </c>
      <c r="Q364" s="20" t="s">
        <v>1938</v>
      </c>
      <c r="R364" s="20">
        <v>90135400</v>
      </c>
      <c r="S364" s="25" t="s">
        <v>1939</v>
      </c>
      <c r="T364" s="26" t="s">
        <v>57</v>
      </c>
      <c r="U364" s="23">
        <v>860900062323514</v>
      </c>
      <c r="V364" s="27" t="s">
        <v>57</v>
      </c>
      <c r="W364" s="20" t="s">
        <v>58</v>
      </c>
      <c r="X364" s="20" t="s">
        <v>59</v>
      </c>
      <c r="Y364" s="20" t="s">
        <v>59</v>
      </c>
      <c r="Z364" s="20" t="s">
        <v>60</v>
      </c>
      <c r="AA364" s="20" t="s">
        <v>61</v>
      </c>
      <c r="AB364" s="20" t="s">
        <v>96</v>
      </c>
      <c r="AC364" s="28">
        <v>369.83</v>
      </c>
      <c r="AD364" s="28">
        <f>SUM(BASE[[#This Row],[MONTO DE RENTA ]]*1.16)</f>
        <v>429.00279999999998</v>
      </c>
      <c r="AE364" s="28" t="s">
        <v>63</v>
      </c>
      <c r="AF364" s="28">
        <v>369.82758620689657</v>
      </c>
      <c r="AG364" s="28">
        <v>429</v>
      </c>
      <c r="AH364" s="22" t="s">
        <v>64</v>
      </c>
      <c r="AI364" s="63">
        <v>45703</v>
      </c>
      <c r="AJ364" s="63">
        <v>46433</v>
      </c>
      <c r="AK3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4" s="30"/>
      <c r="AN364" s="20" t="s">
        <v>65</v>
      </c>
      <c r="AP364" s="20" t="s">
        <v>84</v>
      </c>
    </row>
    <row r="365" spans="1:43" ht="16">
      <c r="A365" s="20">
        <v>5533078201</v>
      </c>
      <c r="B365" s="21">
        <v>1082480</v>
      </c>
      <c r="C365" s="20" t="s">
        <v>1940</v>
      </c>
      <c r="D365" s="20" t="s">
        <v>1941</v>
      </c>
      <c r="E365" s="20" t="s">
        <v>1942</v>
      </c>
      <c r="F365" s="20" t="s">
        <v>257</v>
      </c>
      <c r="G365" s="20" t="s">
        <v>257</v>
      </c>
      <c r="H365" s="20" t="s">
        <v>48</v>
      </c>
      <c r="I365" s="20" t="s">
        <v>257</v>
      </c>
      <c r="J365" s="22" t="s">
        <v>1943</v>
      </c>
      <c r="K365" s="22" t="s">
        <v>1943</v>
      </c>
      <c r="L365" s="23" t="s">
        <v>1933</v>
      </c>
      <c r="M365" s="24" t="s">
        <v>7741</v>
      </c>
      <c r="N365" s="23">
        <v>18645000</v>
      </c>
      <c r="O365" s="25" t="s">
        <v>52</v>
      </c>
      <c r="P365" s="25" t="s">
        <v>53</v>
      </c>
      <c r="Q365" s="20" t="s">
        <v>1944</v>
      </c>
      <c r="R365" s="20">
        <v>9988118</v>
      </c>
      <c r="S365" s="25" t="s">
        <v>1945</v>
      </c>
      <c r="T365" s="26" t="s">
        <v>57</v>
      </c>
      <c r="U365" s="23">
        <v>860478060182190</v>
      </c>
      <c r="V365" s="45" t="s">
        <v>110</v>
      </c>
      <c r="W365" s="20" t="s">
        <v>302</v>
      </c>
      <c r="X365" s="20" t="s">
        <v>303</v>
      </c>
      <c r="Y365" s="20" t="s">
        <v>303</v>
      </c>
      <c r="Z365" s="20" t="s">
        <v>131</v>
      </c>
      <c r="AA365" s="20" t="s">
        <v>132</v>
      </c>
      <c r="AB365" s="20" t="s">
        <v>82</v>
      </c>
      <c r="AC365" s="28">
        <v>559.48</v>
      </c>
      <c r="AD365" s="28">
        <f>SUM(BASE[[#This Row],[MONTO DE RENTA ]]*1.16)</f>
        <v>648.99680000000001</v>
      </c>
      <c r="AE365" s="28" t="s">
        <v>83</v>
      </c>
      <c r="AF365" s="28">
        <v>559.48275862068965</v>
      </c>
      <c r="AG365" s="28">
        <v>649</v>
      </c>
      <c r="AH365" s="22" t="s">
        <v>64</v>
      </c>
      <c r="AI365" s="63">
        <v>45703</v>
      </c>
      <c r="AJ365" s="63">
        <v>46433</v>
      </c>
      <c r="AK3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5" s="30"/>
      <c r="AN365" s="20" t="s">
        <v>65</v>
      </c>
      <c r="AP365" s="20" t="s">
        <v>84</v>
      </c>
    </row>
    <row r="366" spans="1:43" ht="16">
      <c r="A366" s="20">
        <v>5533078997</v>
      </c>
      <c r="B366" s="21">
        <v>1064337</v>
      </c>
      <c r="C366" s="20" t="s">
        <v>1946</v>
      </c>
      <c r="D366" s="20" t="s">
        <v>437</v>
      </c>
      <c r="E366" s="20" t="s">
        <v>477</v>
      </c>
      <c r="F366" s="20" t="s">
        <v>104</v>
      </c>
      <c r="G366" s="20" t="s">
        <v>104</v>
      </c>
      <c r="H366" s="20" t="s">
        <v>48</v>
      </c>
      <c r="I366" s="20" t="s">
        <v>104</v>
      </c>
      <c r="J366" s="22" t="s">
        <v>1947</v>
      </c>
      <c r="K366" s="32" t="s">
        <v>1947</v>
      </c>
      <c r="L366" s="23" t="s">
        <v>1933</v>
      </c>
      <c r="M366" s="24" t="s">
        <v>7741</v>
      </c>
      <c r="N366" s="23">
        <v>18645000</v>
      </c>
      <c r="O366" s="25" t="s">
        <v>52</v>
      </c>
      <c r="P366" s="25" t="s">
        <v>53</v>
      </c>
      <c r="Q366" s="20" t="s">
        <v>1948</v>
      </c>
      <c r="R366" s="20">
        <v>90069531</v>
      </c>
      <c r="S366" s="25" t="s">
        <v>1949</v>
      </c>
      <c r="T366" s="26" t="s">
        <v>57</v>
      </c>
      <c r="U366" s="23">
        <v>860478064064824</v>
      </c>
      <c r="V366" s="45" t="s">
        <v>110</v>
      </c>
      <c r="W366" s="20" t="s">
        <v>302</v>
      </c>
      <c r="X366" s="20" t="s">
        <v>303</v>
      </c>
      <c r="Y366" s="20" t="s">
        <v>303</v>
      </c>
      <c r="Z366" s="20" t="s">
        <v>131</v>
      </c>
      <c r="AA366" s="20" t="s">
        <v>132</v>
      </c>
      <c r="AB366" s="20" t="s">
        <v>82</v>
      </c>
      <c r="AC366" s="28">
        <v>559.48</v>
      </c>
      <c r="AD366" s="28">
        <f>SUM(BASE[[#This Row],[MONTO DE RENTA ]]*1.16)</f>
        <v>648.99680000000001</v>
      </c>
      <c r="AE366" s="28" t="s">
        <v>83</v>
      </c>
      <c r="AF366" s="28">
        <v>559.48275862068965</v>
      </c>
      <c r="AG366" s="28">
        <v>649</v>
      </c>
      <c r="AH366" s="22" t="s">
        <v>64</v>
      </c>
      <c r="AI366" s="63">
        <v>45703</v>
      </c>
      <c r="AJ366" s="63">
        <v>46433</v>
      </c>
      <c r="AK3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6" s="30"/>
      <c r="AN366" s="20" t="s">
        <v>65</v>
      </c>
      <c r="AP366" s="20" t="s">
        <v>84</v>
      </c>
    </row>
    <row r="367" spans="1:43" ht="16">
      <c r="A367" s="20">
        <v>5537779173</v>
      </c>
      <c r="B367" s="21">
        <v>1040289</v>
      </c>
      <c r="C367" s="20" t="s">
        <v>1950</v>
      </c>
      <c r="D367" s="20" t="s">
        <v>1951</v>
      </c>
      <c r="E367" s="20" t="s">
        <v>256</v>
      </c>
      <c r="F367" s="20" t="s">
        <v>104</v>
      </c>
      <c r="G367" s="20" t="s">
        <v>104</v>
      </c>
      <c r="H367" s="20" t="s">
        <v>48</v>
      </c>
      <c r="I367" s="20" t="s">
        <v>104</v>
      </c>
      <c r="J367" s="22" t="s">
        <v>1952</v>
      </c>
      <c r="K367" s="22" t="s">
        <v>1952</v>
      </c>
      <c r="L367" s="23" t="s">
        <v>1933</v>
      </c>
      <c r="M367" s="24" t="s">
        <v>7741</v>
      </c>
      <c r="N367" s="23">
        <v>18645000</v>
      </c>
      <c r="O367" s="25" t="s">
        <v>52</v>
      </c>
      <c r="P367" s="25" t="s">
        <v>53</v>
      </c>
      <c r="Q367" s="20" t="s">
        <v>1953</v>
      </c>
      <c r="R367" s="20">
        <v>90069561</v>
      </c>
      <c r="S367" s="25" t="s">
        <v>1954</v>
      </c>
      <c r="T367" s="26" t="s">
        <v>57</v>
      </c>
      <c r="U367" s="23">
        <v>860478063741471</v>
      </c>
      <c r="V367" s="45" t="s">
        <v>110</v>
      </c>
      <c r="W367" s="20" t="s">
        <v>302</v>
      </c>
      <c r="X367" s="20" t="s">
        <v>303</v>
      </c>
      <c r="Y367" s="20" t="s">
        <v>303</v>
      </c>
      <c r="Z367" s="20" t="s">
        <v>131</v>
      </c>
      <c r="AA367" s="20" t="s">
        <v>132</v>
      </c>
      <c r="AB367" s="20" t="s">
        <v>82</v>
      </c>
      <c r="AC367" s="28">
        <v>559.48</v>
      </c>
      <c r="AD367" s="28">
        <f>SUM(BASE[[#This Row],[MONTO DE RENTA ]]*1.16)</f>
        <v>648.99680000000001</v>
      </c>
      <c r="AE367" s="28" t="s">
        <v>83</v>
      </c>
      <c r="AF367" s="28">
        <v>559.48275862068965</v>
      </c>
      <c r="AG367" s="28">
        <v>649</v>
      </c>
      <c r="AH367" s="22" t="s">
        <v>64</v>
      </c>
      <c r="AI367" s="63">
        <v>45703</v>
      </c>
      <c r="AJ367" s="63">
        <v>46433</v>
      </c>
      <c r="AK3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7" s="30"/>
      <c r="AN367" s="20" t="s">
        <v>65</v>
      </c>
      <c r="AP367" s="20" t="s">
        <v>84</v>
      </c>
    </row>
    <row r="368" spans="1:43" ht="16">
      <c r="A368" s="20">
        <v>5512491069</v>
      </c>
      <c r="B368" s="21">
        <v>455052</v>
      </c>
      <c r="C368" s="20" t="s">
        <v>1955</v>
      </c>
      <c r="D368" s="20" t="s">
        <v>376</v>
      </c>
      <c r="E368" s="20" t="s">
        <v>1956</v>
      </c>
      <c r="F368" s="20" t="s">
        <v>122</v>
      </c>
      <c r="G368" s="20" t="s">
        <v>122</v>
      </c>
      <c r="H368" s="20" t="s">
        <v>48</v>
      </c>
      <c r="I368" s="20" t="s">
        <v>122</v>
      </c>
      <c r="J368" s="22" t="s">
        <v>1957</v>
      </c>
      <c r="K368" s="22" t="s">
        <v>1957</v>
      </c>
      <c r="L368" s="23" t="s">
        <v>1933</v>
      </c>
      <c r="M368" s="24" t="s">
        <v>7741</v>
      </c>
      <c r="N368" s="23">
        <v>18645000</v>
      </c>
      <c r="O368" s="25" t="s">
        <v>52</v>
      </c>
      <c r="P368" s="25" t="s">
        <v>53</v>
      </c>
      <c r="Q368" s="20" t="s">
        <v>1958</v>
      </c>
      <c r="R368" s="20">
        <v>91584395</v>
      </c>
      <c r="S368" s="25" t="s">
        <v>1959</v>
      </c>
      <c r="T368" s="26" t="s">
        <v>57</v>
      </c>
      <c r="U368" s="23">
        <v>860900062335989</v>
      </c>
      <c r="V368" s="27" t="s">
        <v>57</v>
      </c>
      <c r="W368" s="20" t="s">
        <v>58</v>
      </c>
      <c r="X368" s="20" t="s">
        <v>59</v>
      </c>
      <c r="Y368" s="20" t="s">
        <v>59</v>
      </c>
      <c r="Z368" s="20" t="s">
        <v>60</v>
      </c>
      <c r="AA368" s="20" t="s">
        <v>61</v>
      </c>
      <c r="AB368" s="20" t="s">
        <v>96</v>
      </c>
      <c r="AC368" s="28">
        <v>369.83</v>
      </c>
      <c r="AD368" s="28">
        <f>SUM(BASE[[#This Row],[MONTO DE RENTA ]]*1.16)</f>
        <v>429.00279999999998</v>
      </c>
      <c r="AE368" s="28" t="s">
        <v>63</v>
      </c>
      <c r="AF368" s="28">
        <v>369.82758620689657</v>
      </c>
      <c r="AG368" s="28">
        <v>429</v>
      </c>
      <c r="AH368" s="22" t="s">
        <v>64</v>
      </c>
      <c r="AI368" s="63">
        <v>45703</v>
      </c>
      <c r="AJ368" s="63">
        <v>46433</v>
      </c>
      <c r="AK3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68" s="30"/>
      <c r="AN368" s="20" t="s">
        <v>65</v>
      </c>
      <c r="AP368" s="20" t="s">
        <v>84</v>
      </c>
    </row>
    <row r="369" spans="1:43" ht="16">
      <c r="A369" s="20">
        <v>5529889183</v>
      </c>
      <c r="B369" s="49">
        <v>1061601</v>
      </c>
      <c r="C369" s="20" t="s">
        <v>1960</v>
      </c>
      <c r="D369" s="20" t="s">
        <v>143</v>
      </c>
      <c r="E369" s="20" t="s">
        <v>1961</v>
      </c>
      <c r="F369" s="20" t="s">
        <v>70</v>
      </c>
      <c r="G369" s="20" t="s">
        <v>70</v>
      </c>
      <c r="H369" s="20" t="s">
        <v>48</v>
      </c>
      <c r="I369" s="20" t="s">
        <v>70</v>
      </c>
      <c r="J369" s="22" t="s">
        <v>1962</v>
      </c>
      <c r="K369" s="22" t="s">
        <v>1962</v>
      </c>
      <c r="L369" s="23" t="s">
        <v>1933</v>
      </c>
      <c r="M369" s="24" t="s">
        <v>7741</v>
      </c>
      <c r="N369" s="23">
        <v>18645000</v>
      </c>
      <c r="O369" s="25" t="s">
        <v>52</v>
      </c>
      <c r="P369" s="25" t="s">
        <v>53</v>
      </c>
      <c r="Q369" s="20" t="s">
        <v>1963</v>
      </c>
      <c r="R369" s="20">
        <v>9808607</v>
      </c>
      <c r="S369" s="25" t="s">
        <v>55</v>
      </c>
      <c r="T369" s="44" t="s">
        <v>56</v>
      </c>
      <c r="U369" s="23">
        <v>357654178114644</v>
      </c>
      <c r="V369" s="27" t="s">
        <v>78</v>
      </c>
      <c r="W369" s="20" t="s">
        <v>95</v>
      </c>
      <c r="X369" s="20" t="s">
        <v>95</v>
      </c>
      <c r="Y369" s="20" t="s">
        <v>95</v>
      </c>
      <c r="Z369" s="20" t="s">
        <v>60</v>
      </c>
      <c r="AA369" s="20" t="s">
        <v>61</v>
      </c>
      <c r="AB369" s="20" t="s">
        <v>82</v>
      </c>
      <c r="AC369" s="28">
        <v>559.48</v>
      </c>
      <c r="AD369" s="28">
        <f>SUM(BASE[[#This Row],[MONTO DE RENTA ]]*1.16)</f>
        <v>648.99680000000001</v>
      </c>
      <c r="AE369" s="28" t="s">
        <v>83</v>
      </c>
      <c r="AF369" s="28">
        <v>559.48275862068965</v>
      </c>
      <c r="AG369" s="28">
        <v>649</v>
      </c>
      <c r="AH369" s="22" t="s">
        <v>64</v>
      </c>
      <c r="AI369" s="63">
        <v>45323</v>
      </c>
      <c r="AJ369" s="63">
        <v>46054</v>
      </c>
      <c r="AK36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69" s="30"/>
      <c r="AN369" s="20" t="s">
        <v>99</v>
      </c>
      <c r="AP369" s="20" t="s">
        <v>84</v>
      </c>
      <c r="AQ369" s="20" t="s">
        <v>100</v>
      </c>
    </row>
    <row r="370" spans="1:43" ht="16">
      <c r="A370" s="20">
        <v>7351113362</v>
      </c>
      <c r="B370" s="21">
        <v>1007303</v>
      </c>
      <c r="C370" s="20" t="s">
        <v>1793</v>
      </c>
      <c r="D370" s="20" t="s">
        <v>1964</v>
      </c>
      <c r="E370" s="20" t="s">
        <v>292</v>
      </c>
      <c r="F370" s="20" t="s">
        <v>418</v>
      </c>
      <c r="G370" s="20" t="s">
        <v>47</v>
      </c>
      <c r="H370" s="20" t="s">
        <v>48</v>
      </c>
      <c r="I370" s="20" t="s">
        <v>418</v>
      </c>
      <c r="J370" s="22" t="s">
        <v>1965</v>
      </c>
      <c r="K370" s="22" t="s">
        <v>1965</v>
      </c>
      <c r="L370" s="23" t="s">
        <v>1966</v>
      </c>
      <c r="M370" s="24" t="s">
        <v>7742</v>
      </c>
      <c r="N370" s="23">
        <v>18646000</v>
      </c>
      <c r="O370" s="25" t="s">
        <v>52</v>
      </c>
      <c r="P370" s="25" t="s">
        <v>53</v>
      </c>
      <c r="Q370" s="20" t="s">
        <v>1967</v>
      </c>
      <c r="R370" s="20">
        <v>90069505</v>
      </c>
      <c r="S370" s="25" t="s">
        <v>1968</v>
      </c>
      <c r="T370" s="26" t="s">
        <v>57</v>
      </c>
      <c r="U370" s="23">
        <v>860900062238720</v>
      </c>
      <c r="V370" s="27" t="s">
        <v>57</v>
      </c>
      <c r="W370" s="20" t="s">
        <v>58</v>
      </c>
      <c r="X370" s="20" t="s">
        <v>59</v>
      </c>
      <c r="Y370" s="20" t="s">
        <v>59</v>
      </c>
      <c r="Z370" s="20" t="s">
        <v>131</v>
      </c>
      <c r="AA370" s="20" t="s">
        <v>132</v>
      </c>
      <c r="AB370" s="20" t="s">
        <v>96</v>
      </c>
      <c r="AC370" s="28">
        <v>369.83</v>
      </c>
      <c r="AD370" s="28">
        <f>SUM(BASE[[#This Row],[MONTO DE RENTA ]]*1.16)</f>
        <v>429.00279999999998</v>
      </c>
      <c r="AE370" s="28" t="s">
        <v>63</v>
      </c>
      <c r="AF370" s="28">
        <v>369.82758620689657</v>
      </c>
      <c r="AG370" s="28">
        <v>429</v>
      </c>
      <c r="AH370" s="22" t="s">
        <v>64</v>
      </c>
      <c r="AI370" s="63">
        <v>45703</v>
      </c>
      <c r="AJ370" s="63">
        <v>46433</v>
      </c>
      <c r="AK3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0" s="30"/>
      <c r="AN370" s="20" t="s">
        <v>65</v>
      </c>
      <c r="AP370" s="20" t="s">
        <v>84</v>
      </c>
    </row>
    <row r="371" spans="1:43" ht="16">
      <c r="A371" s="20">
        <v>7351877465</v>
      </c>
      <c r="B371" s="21">
        <v>1002358</v>
      </c>
      <c r="C371" s="20" t="s">
        <v>857</v>
      </c>
      <c r="D371" s="20" t="s">
        <v>1969</v>
      </c>
      <c r="E371" s="20" t="s">
        <v>281</v>
      </c>
      <c r="F371" s="20" t="s">
        <v>359</v>
      </c>
      <c r="G371" s="20" t="s">
        <v>248</v>
      </c>
      <c r="H371" s="20" t="s">
        <v>48</v>
      </c>
      <c r="I371" s="20" t="s">
        <v>359</v>
      </c>
      <c r="J371" s="22" t="s">
        <v>1970</v>
      </c>
      <c r="K371" s="22" t="s">
        <v>1970</v>
      </c>
      <c r="L371" s="23" t="s">
        <v>1966</v>
      </c>
      <c r="M371" s="24" t="s">
        <v>7742</v>
      </c>
      <c r="N371" s="23">
        <v>18646000</v>
      </c>
      <c r="O371" s="25" t="s">
        <v>52</v>
      </c>
      <c r="P371" s="25" t="s">
        <v>53</v>
      </c>
      <c r="Q371" s="20" t="s">
        <v>1971</v>
      </c>
      <c r="R371" s="20">
        <v>90136583</v>
      </c>
      <c r="S371" s="25" t="s">
        <v>1972</v>
      </c>
      <c r="T371" s="26" t="s">
        <v>57</v>
      </c>
      <c r="U371" s="23">
        <v>860900062238977</v>
      </c>
      <c r="V371" s="27" t="s">
        <v>57</v>
      </c>
      <c r="W371" s="20" t="s">
        <v>58</v>
      </c>
      <c r="X371" s="20" t="s">
        <v>59</v>
      </c>
      <c r="Y371" s="20" t="s">
        <v>59</v>
      </c>
      <c r="Z371" s="20" t="s">
        <v>131</v>
      </c>
      <c r="AA371" s="20" t="s">
        <v>132</v>
      </c>
      <c r="AB371" s="20" t="s">
        <v>96</v>
      </c>
      <c r="AC371" s="28">
        <v>369.83</v>
      </c>
      <c r="AD371" s="28">
        <f>SUM(BASE[[#This Row],[MONTO DE RENTA ]]*1.16)</f>
        <v>429.00279999999998</v>
      </c>
      <c r="AE371" s="28" t="s">
        <v>63</v>
      </c>
      <c r="AF371" s="28">
        <v>369.82758620689657</v>
      </c>
      <c r="AG371" s="28">
        <v>429</v>
      </c>
      <c r="AH371" s="22" t="s">
        <v>64</v>
      </c>
      <c r="AI371" s="63">
        <v>45703</v>
      </c>
      <c r="AJ371" s="63">
        <v>46433</v>
      </c>
      <c r="AK3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1" s="30"/>
      <c r="AN371" s="20" t="s">
        <v>65</v>
      </c>
      <c r="AP371" s="20" t="s">
        <v>84</v>
      </c>
    </row>
    <row r="372" spans="1:43" ht="16">
      <c r="A372" s="20">
        <v>7351230469</v>
      </c>
      <c r="B372" s="21">
        <v>260450</v>
      </c>
      <c r="C372" s="20" t="s">
        <v>426</v>
      </c>
      <c r="D372" s="20" t="s">
        <v>1973</v>
      </c>
      <c r="E372" s="20" t="s">
        <v>1974</v>
      </c>
      <c r="F372" s="20" t="s">
        <v>257</v>
      </c>
      <c r="G372" s="20" t="s">
        <v>257</v>
      </c>
      <c r="H372" s="20" t="s">
        <v>48</v>
      </c>
      <c r="I372" s="20" t="s">
        <v>257</v>
      </c>
      <c r="J372" s="22" t="s">
        <v>1975</v>
      </c>
      <c r="K372" s="22" t="s">
        <v>1975</v>
      </c>
      <c r="L372" s="23" t="s">
        <v>1966</v>
      </c>
      <c r="M372" s="24" t="s">
        <v>7742</v>
      </c>
      <c r="N372" s="23">
        <v>18646000</v>
      </c>
      <c r="O372" s="25" t="s">
        <v>52</v>
      </c>
      <c r="P372" s="25" t="s">
        <v>53</v>
      </c>
      <c r="Q372" s="20" t="s">
        <v>1976</v>
      </c>
      <c r="R372" s="20">
        <v>9988129</v>
      </c>
      <c r="S372" s="25" t="s">
        <v>1977</v>
      </c>
      <c r="T372" s="26" t="s">
        <v>57</v>
      </c>
      <c r="U372" s="23">
        <v>860478063794587</v>
      </c>
      <c r="V372" s="45" t="s">
        <v>110</v>
      </c>
      <c r="W372" s="20" t="s">
        <v>302</v>
      </c>
      <c r="X372" s="20" t="s">
        <v>303</v>
      </c>
      <c r="Y372" s="20" t="s">
        <v>303</v>
      </c>
      <c r="Z372" s="20" t="s">
        <v>131</v>
      </c>
      <c r="AA372" s="20" t="s">
        <v>132</v>
      </c>
      <c r="AB372" s="20" t="s">
        <v>82</v>
      </c>
      <c r="AC372" s="28">
        <v>559.48</v>
      </c>
      <c r="AD372" s="28">
        <f>SUM(BASE[[#This Row],[MONTO DE RENTA ]]*1.16)</f>
        <v>648.99680000000001</v>
      </c>
      <c r="AE372" s="28" t="s">
        <v>83</v>
      </c>
      <c r="AF372" s="28">
        <v>559.48275862068965</v>
      </c>
      <c r="AG372" s="28">
        <v>649</v>
      </c>
      <c r="AH372" s="22" t="s">
        <v>64</v>
      </c>
      <c r="AI372" s="63">
        <v>45703</v>
      </c>
      <c r="AJ372" s="63">
        <v>46433</v>
      </c>
      <c r="AK3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2" s="30"/>
      <c r="AN372" s="20" t="s">
        <v>65</v>
      </c>
      <c r="AP372" s="20" t="s">
        <v>84</v>
      </c>
    </row>
    <row r="373" spans="1:43" ht="16">
      <c r="A373" s="20">
        <v>7351185968</v>
      </c>
      <c r="B373" s="21">
        <v>1007904</v>
      </c>
      <c r="C373" s="20" t="s">
        <v>1946</v>
      </c>
      <c r="D373" s="20" t="s">
        <v>818</v>
      </c>
      <c r="E373" s="20" t="s">
        <v>377</v>
      </c>
      <c r="F373" s="20" t="s">
        <v>104</v>
      </c>
      <c r="G373" s="20" t="s">
        <v>104</v>
      </c>
      <c r="H373" s="20" t="s">
        <v>48</v>
      </c>
      <c r="I373" s="20" t="s">
        <v>104</v>
      </c>
      <c r="J373" s="32" t="s">
        <v>1978</v>
      </c>
      <c r="K373" s="32" t="s">
        <v>1978</v>
      </c>
      <c r="L373" s="23" t="s">
        <v>1966</v>
      </c>
      <c r="M373" s="24" t="s">
        <v>7742</v>
      </c>
      <c r="N373" s="23">
        <v>18646000</v>
      </c>
      <c r="O373" s="25" t="s">
        <v>52</v>
      </c>
      <c r="P373" s="25" t="s">
        <v>53</v>
      </c>
      <c r="Q373" s="20" t="s">
        <v>1979</v>
      </c>
      <c r="R373" s="20">
        <v>90244828</v>
      </c>
      <c r="S373" s="25" t="s">
        <v>1980</v>
      </c>
      <c r="T373" s="26" t="s">
        <v>57</v>
      </c>
      <c r="U373" s="23">
        <v>860478063794496</v>
      </c>
      <c r="V373" s="45" t="s">
        <v>110</v>
      </c>
      <c r="W373" s="20" t="s">
        <v>302</v>
      </c>
      <c r="X373" s="20" t="s">
        <v>303</v>
      </c>
      <c r="Y373" s="20" t="s">
        <v>303</v>
      </c>
      <c r="Z373" s="20" t="s">
        <v>131</v>
      </c>
      <c r="AA373" s="20" t="s">
        <v>132</v>
      </c>
      <c r="AB373" s="20" t="s">
        <v>82</v>
      </c>
      <c r="AC373" s="28">
        <v>559.48</v>
      </c>
      <c r="AD373" s="28">
        <f>SUM(BASE[[#This Row],[MONTO DE RENTA ]]*1.16)</f>
        <v>648.99680000000001</v>
      </c>
      <c r="AE373" s="28" t="s">
        <v>83</v>
      </c>
      <c r="AF373" s="28">
        <v>559.48275862068965</v>
      </c>
      <c r="AG373" s="28">
        <v>649</v>
      </c>
      <c r="AH373" s="22" t="s">
        <v>64</v>
      </c>
      <c r="AI373" s="63">
        <v>45703</v>
      </c>
      <c r="AJ373" s="63">
        <v>46433</v>
      </c>
      <c r="AK3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3" s="30"/>
      <c r="AN373" s="20" t="s">
        <v>65</v>
      </c>
      <c r="AP373" s="20" t="s">
        <v>84</v>
      </c>
    </row>
    <row r="374" spans="1:43" ht="16">
      <c r="A374" s="20">
        <v>7351443257</v>
      </c>
      <c r="B374" s="59">
        <v>1079279</v>
      </c>
      <c r="C374" s="20" t="s">
        <v>1981</v>
      </c>
      <c r="D374" s="20" t="s">
        <v>598</v>
      </c>
      <c r="E374" s="20" t="s">
        <v>186</v>
      </c>
      <c r="F374" s="20" t="s">
        <v>122</v>
      </c>
      <c r="G374" s="20" t="s">
        <v>122</v>
      </c>
      <c r="H374" s="20" t="s">
        <v>48</v>
      </c>
      <c r="I374" s="20" t="s">
        <v>122</v>
      </c>
      <c r="J374" s="22" t="s">
        <v>1982</v>
      </c>
      <c r="K374" s="22" t="s">
        <v>1982</v>
      </c>
      <c r="L374" s="23" t="s">
        <v>1966</v>
      </c>
      <c r="M374" s="24" t="s">
        <v>7742</v>
      </c>
      <c r="N374" s="23">
        <v>18646000</v>
      </c>
      <c r="O374" s="25" t="s">
        <v>52</v>
      </c>
      <c r="P374" s="25" t="s">
        <v>53</v>
      </c>
      <c r="Q374" s="20" t="s">
        <v>1983</v>
      </c>
      <c r="R374" s="20">
        <v>91855493</v>
      </c>
      <c r="S374" s="25" t="s">
        <v>1984</v>
      </c>
      <c r="T374" s="26" t="s">
        <v>57</v>
      </c>
      <c r="U374" s="23">
        <v>860900062256649</v>
      </c>
      <c r="V374" s="27" t="s">
        <v>57</v>
      </c>
      <c r="W374" s="20" t="s">
        <v>58</v>
      </c>
      <c r="X374" s="20" t="s">
        <v>59</v>
      </c>
      <c r="Y374" s="20" t="s">
        <v>59</v>
      </c>
      <c r="Z374" s="20" t="s">
        <v>131</v>
      </c>
      <c r="AA374" s="20" t="s">
        <v>132</v>
      </c>
      <c r="AB374" s="20" t="s">
        <v>96</v>
      </c>
      <c r="AC374" s="28">
        <v>369.83</v>
      </c>
      <c r="AD374" s="28">
        <f>SUM(BASE[[#This Row],[MONTO DE RENTA ]]*1.16)</f>
        <v>429.00279999999998</v>
      </c>
      <c r="AE374" s="28" t="s">
        <v>63</v>
      </c>
      <c r="AF374" s="28">
        <v>369.82758620689657</v>
      </c>
      <c r="AG374" s="28">
        <v>429</v>
      </c>
      <c r="AH374" s="22" t="s">
        <v>64</v>
      </c>
      <c r="AI374" s="29">
        <v>45703</v>
      </c>
      <c r="AJ374" s="29">
        <v>46433</v>
      </c>
      <c r="AK3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4" s="30"/>
      <c r="AN374" s="20" t="s">
        <v>65</v>
      </c>
      <c r="AP374" s="20" t="s">
        <v>84</v>
      </c>
    </row>
    <row r="375" spans="1:43" ht="16">
      <c r="A375" s="20">
        <v>7352800281</v>
      </c>
      <c r="B375" s="21">
        <v>1022755</v>
      </c>
      <c r="C375" s="20" t="s">
        <v>1985</v>
      </c>
      <c r="D375" s="20" t="s">
        <v>1986</v>
      </c>
      <c r="E375" s="20" t="s">
        <v>1987</v>
      </c>
      <c r="F375" s="20" t="s">
        <v>122</v>
      </c>
      <c r="G375" s="20" t="s">
        <v>122</v>
      </c>
      <c r="H375" s="20" t="s">
        <v>48</v>
      </c>
      <c r="I375" s="20" t="s">
        <v>122</v>
      </c>
      <c r="J375" s="22" t="s">
        <v>1982</v>
      </c>
      <c r="K375" s="22" t="s">
        <v>1982</v>
      </c>
      <c r="L375" s="23" t="s">
        <v>1966</v>
      </c>
      <c r="M375" s="24" t="s">
        <v>7742</v>
      </c>
      <c r="N375" s="23">
        <v>18646000</v>
      </c>
      <c r="O375" s="25" t="s">
        <v>52</v>
      </c>
      <c r="P375" s="25" t="s">
        <v>53</v>
      </c>
      <c r="Q375" s="20" t="s">
        <v>1988</v>
      </c>
      <c r="R375" s="20">
        <v>92332606</v>
      </c>
      <c r="S375" s="25" t="s">
        <v>1989</v>
      </c>
      <c r="T375" s="26" t="s">
        <v>57</v>
      </c>
      <c r="U375" s="23">
        <v>860900062256649</v>
      </c>
      <c r="V375" s="27" t="s">
        <v>57</v>
      </c>
      <c r="W375" s="20" t="s">
        <v>58</v>
      </c>
      <c r="X375" s="20" t="s">
        <v>59</v>
      </c>
      <c r="Y375" s="20" t="s">
        <v>59</v>
      </c>
      <c r="Z375" s="20" t="s">
        <v>131</v>
      </c>
      <c r="AA375" s="20" t="s">
        <v>132</v>
      </c>
      <c r="AB375" s="20" t="s">
        <v>96</v>
      </c>
      <c r="AC375" s="28">
        <v>369.83</v>
      </c>
      <c r="AD375" s="28">
        <f>SUM(BASE[[#This Row],[MONTO DE RENTA ]]*1.16)</f>
        <v>429.00279999999998</v>
      </c>
      <c r="AE375" s="28" t="s">
        <v>63</v>
      </c>
      <c r="AF375" s="28">
        <v>369.82758620689657</v>
      </c>
      <c r="AG375" s="28">
        <v>429</v>
      </c>
      <c r="AH375" s="22" t="s">
        <v>64</v>
      </c>
      <c r="AI375" s="63">
        <v>45703</v>
      </c>
      <c r="AJ375" s="63">
        <v>46433</v>
      </c>
      <c r="AK3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5" s="30"/>
      <c r="AN375" s="20" t="s">
        <v>65</v>
      </c>
      <c r="AP375" s="20" t="s">
        <v>84</v>
      </c>
    </row>
    <row r="376" spans="1:43" ht="16">
      <c r="A376" s="20">
        <v>7351194071</v>
      </c>
      <c r="B376" s="21">
        <v>1007918</v>
      </c>
      <c r="C376" s="20" t="s">
        <v>1990</v>
      </c>
      <c r="D376" s="20" t="s">
        <v>1991</v>
      </c>
      <c r="E376" s="20" t="s">
        <v>427</v>
      </c>
      <c r="F376" s="20" t="s">
        <v>104</v>
      </c>
      <c r="G376" s="20" t="s">
        <v>104</v>
      </c>
      <c r="H376" s="20" t="s">
        <v>48</v>
      </c>
      <c r="I376" s="20" t="s">
        <v>104</v>
      </c>
      <c r="J376" s="22" t="s">
        <v>1992</v>
      </c>
      <c r="K376" s="32" t="s">
        <v>1993</v>
      </c>
      <c r="L376" s="23" t="s">
        <v>1966</v>
      </c>
      <c r="M376" s="24" t="s">
        <v>7742</v>
      </c>
      <c r="N376" s="23">
        <v>18646000</v>
      </c>
      <c r="O376" s="25" t="s">
        <v>52</v>
      </c>
      <c r="P376" s="25" t="s">
        <v>53</v>
      </c>
      <c r="Q376" s="20" t="s">
        <v>1994</v>
      </c>
      <c r="R376" s="20">
        <v>90159579</v>
      </c>
      <c r="S376" s="25" t="s">
        <v>1995</v>
      </c>
      <c r="T376" s="26" t="s">
        <v>57</v>
      </c>
      <c r="U376" s="23">
        <v>860478063757964</v>
      </c>
      <c r="V376" s="45" t="s">
        <v>110</v>
      </c>
      <c r="W376" s="20" t="s">
        <v>302</v>
      </c>
      <c r="X376" s="20" t="s">
        <v>303</v>
      </c>
      <c r="Y376" s="20" t="s">
        <v>303</v>
      </c>
      <c r="Z376" s="20" t="s">
        <v>131</v>
      </c>
      <c r="AA376" s="20" t="s">
        <v>132</v>
      </c>
      <c r="AB376" s="20" t="s">
        <v>82</v>
      </c>
      <c r="AC376" s="28">
        <v>559.48</v>
      </c>
      <c r="AD376" s="28">
        <f>SUM(BASE[[#This Row],[MONTO DE RENTA ]]*1.16)</f>
        <v>648.99680000000001</v>
      </c>
      <c r="AE376" s="28" t="s">
        <v>83</v>
      </c>
      <c r="AF376" s="28">
        <v>559.48275862068965</v>
      </c>
      <c r="AG376" s="28">
        <v>649</v>
      </c>
      <c r="AH376" s="22" t="s">
        <v>64</v>
      </c>
      <c r="AI376" s="63">
        <v>45703</v>
      </c>
      <c r="AJ376" s="63">
        <v>46433</v>
      </c>
      <c r="AK3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6" s="30"/>
      <c r="AN376" s="20" t="s">
        <v>65</v>
      </c>
      <c r="AP376" s="20" t="s">
        <v>84</v>
      </c>
    </row>
    <row r="377" spans="1:43" ht="16">
      <c r="A377" s="20">
        <v>7351230340</v>
      </c>
      <c r="B377" s="49">
        <v>1073370</v>
      </c>
      <c r="C377" s="20" t="s">
        <v>1996</v>
      </c>
      <c r="D377" s="20" t="s">
        <v>1997</v>
      </c>
      <c r="E377" s="20" t="s">
        <v>1998</v>
      </c>
      <c r="F377" s="20" t="s">
        <v>70</v>
      </c>
      <c r="G377" s="20" t="s">
        <v>70</v>
      </c>
      <c r="H377" s="20" t="s">
        <v>48</v>
      </c>
      <c r="I377" s="20" t="s">
        <v>70</v>
      </c>
      <c r="J377" s="22" t="s">
        <v>1999</v>
      </c>
      <c r="K377" s="22" t="s">
        <v>1999</v>
      </c>
      <c r="L377" s="23" t="s">
        <v>1966</v>
      </c>
      <c r="M377" s="24" t="s">
        <v>7742</v>
      </c>
      <c r="N377" s="23">
        <v>18646000</v>
      </c>
      <c r="O377" s="25" t="s">
        <v>52</v>
      </c>
      <c r="P377" s="25" t="s">
        <v>53</v>
      </c>
      <c r="Q377" s="20" t="s">
        <v>2000</v>
      </c>
      <c r="R377" s="20">
        <v>9808601</v>
      </c>
      <c r="S377" s="25" t="s">
        <v>55</v>
      </c>
      <c r="T377" s="26" t="s">
        <v>56</v>
      </c>
      <c r="U377" s="23">
        <v>357654177609032</v>
      </c>
      <c r="V377" s="27" t="s">
        <v>78</v>
      </c>
      <c r="W377" s="20" t="s">
        <v>95</v>
      </c>
      <c r="X377" s="20" t="s">
        <v>95</v>
      </c>
      <c r="Y377" s="20" t="s">
        <v>95</v>
      </c>
      <c r="Z377" s="20" t="s">
        <v>60</v>
      </c>
      <c r="AA377" s="20" t="s">
        <v>61</v>
      </c>
      <c r="AB377" s="20" t="s">
        <v>82</v>
      </c>
      <c r="AC377" s="28">
        <v>559.48</v>
      </c>
      <c r="AD377" s="28">
        <f>SUM(BASE[[#This Row],[MONTO DE RENTA ]]*1.16)</f>
        <v>648.99680000000001</v>
      </c>
      <c r="AE377" s="28" t="s">
        <v>83</v>
      </c>
      <c r="AF377" s="28">
        <v>559.48275862068965</v>
      </c>
      <c r="AG377" s="28">
        <v>649</v>
      </c>
      <c r="AI377" s="63">
        <v>44937</v>
      </c>
      <c r="AJ377" s="73">
        <v>46043</v>
      </c>
      <c r="AK37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77" s="30"/>
      <c r="AN377" s="20" t="s">
        <v>99</v>
      </c>
      <c r="AP377" s="20" t="s">
        <v>84</v>
      </c>
      <c r="AQ377" s="20" t="s">
        <v>100</v>
      </c>
    </row>
    <row r="378" spans="1:43" ht="16">
      <c r="A378" s="20">
        <v>5518814255</v>
      </c>
      <c r="B378" s="21">
        <v>475017</v>
      </c>
      <c r="C378" s="20" t="s">
        <v>2001</v>
      </c>
      <c r="D378" s="20" t="s">
        <v>1997</v>
      </c>
      <c r="E378" s="20" t="s">
        <v>2002</v>
      </c>
      <c r="F378" s="20" t="s">
        <v>47</v>
      </c>
      <c r="G378" s="20" t="s">
        <v>47</v>
      </c>
      <c r="H378" s="20" t="s">
        <v>48</v>
      </c>
      <c r="I378" s="20" t="s">
        <v>47</v>
      </c>
      <c r="J378" s="22" t="s">
        <v>2003</v>
      </c>
      <c r="K378" s="22" t="s">
        <v>2003</v>
      </c>
      <c r="L378" s="23" t="s">
        <v>1660</v>
      </c>
      <c r="M378" s="24" t="s">
        <v>7741</v>
      </c>
      <c r="N378" s="23">
        <v>18647000</v>
      </c>
      <c r="O378" s="25" t="s">
        <v>52</v>
      </c>
      <c r="P378" s="25" t="s">
        <v>53</v>
      </c>
      <c r="Q378" s="20" t="s">
        <v>2004</v>
      </c>
      <c r="R378" s="20">
        <v>90182383</v>
      </c>
      <c r="S378" s="25" t="s">
        <v>2005</v>
      </c>
      <c r="T378" s="26" t="s">
        <v>57</v>
      </c>
      <c r="U378" s="23">
        <v>860900062323126</v>
      </c>
      <c r="V378" s="27" t="s">
        <v>57</v>
      </c>
      <c r="W378" s="20" t="s">
        <v>58</v>
      </c>
      <c r="X378" s="20" t="s">
        <v>59</v>
      </c>
      <c r="Y378" s="20" t="s">
        <v>59</v>
      </c>
      <c r="Z378" s="20" t="s">
        <v>60</v>
      </c>
      <c r="AA378" s="20" t="s">
        <v>61</v>
      </c>
      <c r="AB378" s="20" t="s">
        <v>96</v>
      </c>
      <c r="AC378" s="28">
        <v>369.83</v>
      </c>
      <c r="AD378" s="28">
        <f>SUM(BASE[[#This Row],[MONTO DE RENTA ]]*1.16)</f>
        <v>429.00279999999998</v>
      </c>
      <c r="AE378" s="28" t="s">
        <v>63</v>
      </c>
      <c r="AF378" s="28">
        <v>369.82758620689657</v>
      </c>
      <c r="AG378" s="28">
        <v>429</v>
      </c>
      <c r="AH378" s="22" t="s">
        <v>64</v>
      </c>
      <c r="AI378" s="63">
        <v>45703</v>
      </c>
      <c r="AJ378" s="63">
        <v>46433</v>
      </c>
      <c r="AK3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8" s="30"/>
      <c r="AN378" s="20" t="s">
        <v>65</v>
      </c>
      <c r="AP378" s="20" t="s">
        <v>84</v>
      </c>
    </row>
    <row r="379" spans="1:43" ht="16">
      <c r="A379" s="20">
        <v>5514013012</v>
      </c>
      <c r="B379" s="21">
        <v>1002496</v>
      </c>
      <c r="C379" s="20" t="s">
        <v>304</v>
      </c>
      <c r="D379" s="20" t="s">
        <v>2006</v>
      </c>
      <c r="E379" s="20" t="s">
        <v>442</v>
      </c>
      <c r="F379" s="20" t="s">
        <v>248</v>
      </c>
      <c r="G379" s="20" t="s">
        <v>248</v>
      </c>
      <c r="H379" s="20" t="s">
        <v>48</v>
      </c>
      <c r="I379" s="20" t="s">
        <v>248</v>
      </c>
      <c r="J379" s="22" t="s">
        <v>2007</v>
      </c>
      <c r="K379" s="22" t="s">
        <v>2007</v>
      </c>
      <c r="L379" s="23" t="s">
        <v>1660</v>
      </c>
      <c r="M379" s="24" t="s">
        <v>7741</v>
      </c>
      <c r="N379" s="23">
        <v>18647000</v>
      </c>
      <c r="O379" s="25" t="s">
        <v>52</v>
      </c>
      <c r="P379" s="25" t="s">
        <v>53</v>
      </c>
      <c r="Q379" s="20" t="s">
        <v>2008</v>
      </c>
      <c r="R379" s="20">
        <v>90135349</v>
      </c>
      <c r="S379" s="25" t="s">
        <v>2009</v>
      </c>
      <c r="T379" s="26" t="s">
        <v>57</v>
      </c>
      <c r="U379" s="23">
        <v>860900062323118</v>
      </c>
      <c r="V379" s="27" t="s">
        <v>57</v>
      </c>
      <c r="W379" s="20" t="s">
        <v>58</v>
      </c>
      <c r="X379" s="20" t="s">
        <v>59</v>
      </c>
      <c r="Y379" s="20" t="s">
        <v>59</v>
      </c>
      <c r="Z379" s="20" t="s">
        <v>60</v>
      </c>
      <c r="AA379" s="20" t="s">
        <v>61</v>
      </c>
      <c r="AB379" s="20" t="s">
        <v>96</v>
      </c>
      <c r="AC379" s="28">
        <v>369.83</v>
      </c>
      <c r="AD379" s="28">
        <f>SUM(BASE[[#This Row],[MONTO DE RENTA ]]*1.16)</f>
        <v>429.00279999999998</v>
      </c>
      <c r="AE379" s="28" t="s">
        <v>63</v>
      </c>
      <c r="AF379" s="28">
        <v>369.82758620689657</v>
      </c>
      <c r="AG379" s="28">
        <v>429</v>
      </c>
      <c r="AH379" s="22" t="s">
        <v>64</v>
      </c>
      <c r="AI379" s="63">
        <v>45703</v>
      </c>
      <c r="AJ379" s="63">
        <v>46433</v>
      </c>
      <c r="AK3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79" s="30"/>
      <c r="AN379" s="20" t="s">
        <v>65</v>
      </c>
      <c r="AP379" s="20" t="s">
        <v>84</v>
      </c>
    </row>
    <row r="380" spans="1:43" s="83" customFormat="1" ht="16">
      <c r="A380" s="20">
        <v>5533756601</v>
      </c>
      <c r="B380" s="21">
        <v>1057997</v>
      </c>
      <c r="C380" s="20" t="s">
        <v>2010</v>
      </c>
      <c r="D380" s="20" t="s">
        <v>2011</v>
      </c>
      <c r="E380" s="20" t="s">
        <v>657</v>
      </c>
      <c r="F380" s="20" t="s">
        <v>257</v>
      </c>
      <c r="G380" s="20" t="s">
        <v>257</v>
      </c>
      <c r="H380" s="20" t="s">
        <v>48</v>
      </c>
      <c r="I380" s="20" t="s">
        <v>257</v>
      </c>
      <c r="J380" s="22" t="s">
        <v>2012</v>
      </c>
      <c r="K380" s="22" t="s">
        <v>2012</v>
      </c>
      <c r="L380" s="23" t="s">
        <v>1660</v>
      </c>
      <c r="M380" s="24" t="s">
        <v>7741</v>
      </c>
      <c r="N380" s="23">
        <v>18647000</v>
      </c>
      <c r="O380" s="25" t="s">
        <v>52</v>
      </c>
      <c r="P380" s="25" t="s">
        <v>53</v>
      </c>
      <c r="Q380" s="20" t="s">
        <v>2013</v>
      </c>
      <c r="R380" s="20">
        <v>90069545</v>
      </c>
      <c r="S380" s="25" t="s">
        <v>2014</v>
      </c>
      <c r="T380" s="26" t="s">
        <v>57</v>
      </c>
      <c r="U380" s="23">
        <v>860478063794249</v>
      </c>
      <c r="V380" s="45" t="s">
        <v>110</v>
      </c>
      <c r="W380" s="20" t="s">
        <v>302</v>
      </c>
      <c r="X380" s="20" t="s">
        <v>303</v>
      </c>
      <c r="Y380" s="20" t="s">
        <v>303</v>
      </c>
      <c r="Z380" s="20" t="s">
        <v>131</v>
      </c>
      <c r="AA380" s="20" t="s">
        <v>132</v>
      </c>
      <c r="AB380" s="20" t="s">
        <v>82</v>
      </c>
      <c r="AC380" s="28">
        <v>559.48</v>
      </c>
      <c r="AD380" s="28">
        <f>SUM(BASE[[#This Row],[MONTO DE RENTA ]]*1.16)</f>
        <v>648.99680000000001</v>
      </c>
      <c r="AE380" s="28" t="s">
        <v>83</v>
      </c>
      <c r="AF380" s="28">
        <v>559.48275862068965</v>
      </c>
      <c r="AG380" s="28">
        <v>649</v>
      </c>
      <c r="AH380" s="22" t="s">
        <v>64</v>
      </c>
      <c r="AI380" s="63">
        <v>45703</v>
      </c>
      <c r="AJ380" s="63">
        <v>46433</v>
      </c>
      <c r="AK3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380" s="20"/>
      <c r="AM380" s="30"/>
      <c r="AN380" s="20" t="s">
        <v>65</v>
      </c>
      <c r="AO380" s="20"/>
      <c r="AP380" s="20" t="s">
        <v>84</v>
      </c>
      <c r="AQ380" s="20"/>
    </row>
    <row r="381" spans="1:43" ht="16">
      <c r="A381" s="20">
        <v>5533078342</v>
      </c>
      <c r="B381" s="21">
        <v>1080006</v>
      </c>
      <c r="C381" s="20" t="s">
        <v>2015</v>
      </c>
      <c r="D381" s="20" t="s">
        <v>347</v>
      </c>
      <c r="E381" s="20" t="s">
        <v>2016</v>
      </c>
      <c r="F381" s="20" t="s">
        <v>104</v>
      </c>
      <c r="G381" s="20" t="s">
        <v>104</v>
      </c>
      <c r="H381" s="20" t="s">
        <v>48</v>
      </c>
      <c r="I381" s="20" t="s">
        <v>104</v>
      </c>
      <c r="J381" s="22" t="s">
        <v>2017</v>
      </c>
      <c r="K381" s="32" t="s">
        <v>2017</v>
      </c>
      <c r="L381" s="23" t="s">
        <v>2018</v>
      </c>
      <c r="M381" s="24" t="s">
        <v>7736</v>
      </c>
      <c r="N381" s="23">
        <v>18647000</v>
      </c>
      <c r="O381" s="25" t="s">
        <v>52</v>
      </c>
      <c r="P381" s="25" t="s">
        <v>53</v>
      </c>
      <c r="Q381" s="20" t="s">
        <v>2019</v>
      </c>
      <c r="R381" s="20">
        <v>90069899</v>
      </c>
      <c r="S381" s="25" t="s">
        <v>2020</v>
      </c>
      <c r="T381" s="44" t="s">
        <v>57</v>
      </c>
      <c r="U381" s="23" t="s">
        <v>193</v>
      </c>
      <c r="V381" s="45" t="s">
        <v>110</v>
      </c>
      <c r="W381" s="20" t="s">
        <v>194</v>
      </c>
      <c r="X381" s="20" t="s">
        <v>194</v>
      </c>
      <c r="Y381" s="20" t="s">
        <v>194</v>
      </c>
      <c r="Z381" s="20" t="s">
        <v>131</v>
      </c>
      <c r="AA381" s="20" t="s">
        <v>132</v>
      </c>
      <c r="AB381" s="20" t="s">
        <v>82</v>
      </c>
      <c r="AC381" s="28">
        <v>559.48</v>
      </c>
      <c r="AD381" s="28">
        <f>SUM(BASE[[#This Row],[MONTO DE RENTA ]]*1.16)</f>
        <v>648.99680000000001</v>
      </c>
      <c r="AE381" s="28" t="s">
        <v>83</v>
      </c>
      <c r="AF381" s="28">
        <v>559.48275862068965</v>
      </c>
      <c r="AG381" s="28">
        <v>649</v>
      </c>
      <c r="AI381" s="63">
        <v>44937</v>
      </c>
      <c r="AJ381" s="84">
        <v>46681</v>
      </c>
      <c r="AK381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381" s="30"/>
      <c r="AN381" s="20" t="s">
        <v>65</v>
      </c>
      <c r="AP381" s="20" t="s">
        <v>84</v>
      </c>
    </row>
    <row r="382" spans="1:43" ht="16">
      <c r="A382" s="20">
        <v>8112634931</v>
      </c>
      <c r="B382" s="49">
        <v>1078317</v>
      </c>
      <c r="C382" s="20" t="s">
        <v>2021</v>
      </c>
      <c r="D382" s="20" t="s">
        <v>1277</v>
      </c>
      <c r="E382" s="20" t="s">
        <v>2022</v>
      </c>
      <c r="F382" s="20" t="s">
        <v>2023</v>
      </c>
      <c r="G382" s="20" t="s">
        <v>2023</v>
      </c>
      <c r="H382" s="20" t="s">
        <v>48</v>
      </c>
      <c r="I382" s="20" t="s">
        <v>2023</v>
      </c>
      <c r="J382" s="22" t="s">
        <v>2024</v>
      </c>
      <c r="K382" s="22" t="s">
        <v>2024</v>
      </c>
      <c r="L382" s="23" t="s">
        <v>1298</v>
      </c>
      <c r="M382" s="24" t="s">
        <v>7752</v>
      </c>
      <c r="N382" s="23">
        <v>18061000</v>
      </c>
      <c r="O382" s="25" t="s">
        <v>74</v>
      </c>
      <c r="P382" s="25" t="s">
        <v>53</v>
      </c>
      <c r="Q382" s="20" t="s">
        <v>2025</v>
      </c>
      <c r="R382" s="20">
        <v>42920436</v>
      </c>
      <c r="S382" s="25" t="s">
        <v>55</v>
      </c>
      <c r="T382" s="26" t="s">
        <v>56</v>
      </c>
      <c r="U382" s="23">
        <v>357894929450851</v>
      </c>
      <c r="V382" s="27" t="s">
        <v>78</v>
      </c>
      <c r="W382" s="20" t="s">
        <v>95</v>
      </c>
      <c r="X382" s="20" t="s">
        <v>95</v>
      </c>
      <c r="Y382" s="20" t="s">
        <v>95</v>
      </c>
      <c r="Z382" s="20" t="s">
        <v>584</v>
      </c>
      <c r="AA382" s="20" t="s">
        <v>585</v>
      </c>
      <c r="AB382" s="20" t="s">
        <v>82</v>
      </c>
      <c r="AC382" s="28">
        <v>559.48</v>
      </c>
      <c r="AD382" s="28">
        <f>SUM(BASE[[#This Row],[MONTO DE RENTA ]]*1.16)</f>
        <v>648.99680000000001</v>
      </c>
      <c r="AE382" s="28" t="s">
        <v>83</v>
      </c>
      <c r="AF382" s="28">
        <v>559.48275862068965</v>
      </c>
      <c r="AG382" s="28">
        <v>649</v>
      </c>
      <c r="AI382" s="63">
        <v>44937</v>
      </c>
      <c r="AJ382" s="73">
        <v>46043</v>
      </c>
      <c r="AK3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82" s="30"/>
      <c r="AN382" s="20" t="s">
        <v>99</v>
      </c>
      <c r="AP382" s="20" t="s">
        <v>84</v>
      </c>
      <c r="AQ382" s="20" t="s">
        <v>100</v>
      </c>
    </row>
    <row r="383" spans="1:43" ht="16">
      <c r="A383" s="20">
        <v>5518818839</v>
      </c>
      <c r="B383" s="21">
        <v>470415</v>
      </c>
      <c r="C383" s="20" t="s">
        <v>740</v>
      </c>
      <c r="D383" s="20" t="s">
        <v>2026</v>
      </c>
      <c r="E383" s="20" t="s">
        <v>657</v>
      </c>
      <c r="F383" s="20" t="s">
        <v>418</v>
      </c>
      <c r="G383" s="20" t="s">
        <v>47</v>
      </c>
      <c r="H383" s="20" t="s">
        <v>48</v>
      </c>
      <c r="I383" s="20" t="s">
        <v>418</v>
      </c>
      <c r="J383" s="22" t="s">
        <v>2027</v>
      </c>
      <c r="K383" s="22" t="s">
        <v>2027</v>
      </c>
      <c r="L383" s="23" t="s">
        <v>2028</v>
      </c>
      <c r="M383" s="24" t="s">
        <v>7736</v>
      </c>
      <c r="N383" s="23">
        <v>18648000</v>
      </c>
      <c r="O383" s="25" t="s">
        <v>52</v>
      </c>
      <c r="P383" s="25" t="s">
        <v>53</v>
      </c>
      <c r="Q383" s="20" t="s">
        <v>2029</v>
      </c>
      <c r="R383" s="20">
        <v>90182387</v>
      </c>
      <c r="S383" s="25" t="s">
        <v>2030</v>
      </c>
      <c r="T383" s="26" t="s">
        <v>57</v>
      </c>
      <c r="U383" s="23">
        <v>860900062323449</v>
      </c>
      <c r="V383" s="27" t="s">
        <v>57</v>
      </c>
      <c r="W383" s="20" t="s">
        <v>58</v>
      </c>
      <c r="X383" s="20" t="s">
        <v>59</v>
      </c>
      <c r="Y383" s="20" t="s">
        <v>59</v>
      </c>
      <c r="Z383" s="20" t="s">
        <v>60</v>
      </c>
      <c r="AA383" s="20" t="s">
        <v>61</v>
      </c>
      <c r="AB383" s="20" t="s">
        <v>96</v>
      </c>
      <c r="AC383" s="28">
        <v>369.83</v>
      </c>
      <c r="AD383" s="28">
        <f>SUM(BASE[[#This Row],[MONTO DE RENTA ]]*1.16)</f>
        <v>429.00279999999998</v>
      </c>
      <c r="AE383" s="28" t="s">
        <v>63</v>
      </c>
      <c r="AF383" s="28">
        <v>369.82758620689657</v>
      </c>
      <c r="AG383" s="28">
        <v>429</v>
      </c>
      <c r="AH383" s="22" t="s">
        <v>64</v>
      </c>
      <c r="AI383" s="63">
        <v>45703</v>
      </c>
      <c r="AJ383" s="63">
        <v>46433</v>
      </c>
      <c r="AK3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3" s="30"/>
      <c r="AN383" s="20" t="s">
        <v>65</v>
      </c>
      <c r="AP383" s="20" t="s">
        <v>84</v>
      </c>
    </row>
    <row r="384" spans="1:43" ht="16">
      <c r="A384" s="20">
        <v>5514163740</v>
      </c>
      <c r="B384" s="21">
        <v>485055</v>
      </c>
      <c r="C384" s="20" t="s">
        <v>2031</v>
      </c>
      <c r="D384" s="20" t="s">
        <v>1245</v>
      </c>
      <c r="E384" s="20" t="s">
        <v>741</v>
      </c>
      <c r="F384" s="20" t="s">
        <v>248</v>
      </c>
      <c r="G384" s="20" t="s">
        <v>248</v>
      </c>
      <c r="H384" s="20" t="s">
        <v>48</v>
      </c>
      <c r="I384" s="20" t="s">
        <v>248</v>
      </c>
      <c r="J384" s="22" t="s">
        <v>2032</v>
      </c>
      <c r="K384" s="22" t="s">
        <v>2032</v>
      </c>
      <c r="L384" s="23" t="s">
        <v>2028</v>
      </c>
      <c r="M384" s="24" t="s">
        <v>7736</v>
      </c>
      <c r="N384" s="23">
        <v>18648000</v>
      </c>
      <c r="O384" s="25" t="s">
        <v>52</v>
      </c>
      <c r="P384" s="25" t="s">
        <v>53</v>
      </c>
      <c r="Q384" s="20" t="s">
        <v>2033</v>
      </c>
      <c r="R384" s="20">
        <v>90136488</v>
      </c>
      <c r="S384" s="25" t="s">
        <v>2034</v>
      </c>
      <c r="T384" s="26" t="s">
        <v>57</v>
      </c>
      <c r="U384" s="23">
        <v>860900062319611</v>
      </c>
      <c r="V384" s="27" t="s">
        <v>57</v>
      </c>
      <c r="W384" s="20" t="s">
        <v>58</v>
      </c>
      <c r="X384" s="20" t="s">
        <v>59</v>
      </c>
      <c r="Y384" s="20" t="s">
        <v>59</v>
      </c>
      <c r="Z384" s="20" t="s">
        <v>60</v>
      </c>
      <c r="AA384" s="20" t="s">
        <v>61</v>
      </c>
      <c r="AB384" s="20" t="s">
        <v>96</v>
      </c>
      <c r="AC384" s="28">
        <v>369.83</v>
      </c>
      <c r="AD384" s="28">
        <f>SUM(BASE[[#This Row],[MONTO DE RENTA ]]*1.16)</f>
        <v>429.00279999999998</v>
      </c>
      <c r="AE384" s="28" t="s">
        <v>63</v>
      </c>
      <c r="AF384" s="28">
        <v>369.82758620689657</v>
      </c>
      <c r="AG384" s="28">
        <v>429</v>
      </c>
      <c r="AH384" s="22" t="s">
        <v>64</v>
      </c>
      <c r="AI384" s="63">
        <v>45703</v>
      </c>
      <c r="AJ384" s="63">
        <v>46433</v>
      </c>
      <c r="AK3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4" s="30"/>
      <c r="AN384" s="20" t="s">
        <v>65</v>
      </c>
      <c r="AP384" s="20" t="s">
        <v>84</v>
      </c>
    </row>
    <row r="385" spans="1:43" ht="16">
      <c r="A385" s="20">
        <v>5518739648</v>
      </c>
      <c r="B385" s="21">
        <v>440161</v>
      </c>
      <c r="C385" s="20" t="s">
        <v>2035</v>
      </c>
      <c r="D385" s="20" t="s">
        <v>598</v>
      </c>
      <c r="E385" s="20" t="s">
        <v>280</v>
      </c>
      <c r="F385" s="20" t="s">
        <v>257</v>
      </c>
      <c r="G385" s="20" t="s">
        <v>257</v>
      </c>
      <c r="H385" s="20" t="s">
        <v>48</v>
      </c>
      <c r="I385" s="20" t="s">
        <v>257</v>
      </c>
      <c r="J385" s="22" t="s">
        <v>2036</v>
      </c>
      <c r="K385" s="22" t="s">
        <v>2036</v>
      </c>
      <c r="L385" s="23" t="s">
        <v>2028</v>
      </c>
      <c r="M385" s="24" t="s">
        <v>7736</v>
      </c>
      <c r="N385" s="23">
        <v>18648000</v>
      </c>
      <c r="O385" s="25" t="s">
        <v>52</v>
      </c>
      <c r="P385" s="25" t="s">
        <v>53</v>
      </c>
      <c r="Q385" s="20" t="s">
        <v>2037</v>
      </c>
      <c r="R385" s="20">
        <v>90069657</v>
      </c>
      <c r="S385" s="25" t="s">
        <v>2038</v>
      </c>
      <c r="T385" s="26" t="s">
        <v>57</v>
      </c>
      <c r="U385" s="23">
        <v>860478064859843</v>
      </c>
      <c r="V385" s="45" t="s">
        <v>110</v>
      </c>
      <c r="W385" s="20" t="s">
        <v>302</v>
      </c>
      <c r="X385" s="20" t="s">
        <v>303</v>
      </c>
      <c r="Y385" s="20" t="s">
        <v>303</v>
      </c>
      <c r="Z385" s="20" t="s">
        <v>80</v>
      </c>
      <c r="AA385" s="20" t="s">
        <v>81</v>
      </c>
      <c r="AB385" s="20" t="s">
        <v>82</v>
      </c>
      <c r="AC385" s="28">
        <v>559.48</v>
      </c>
      <c r="AD385" s="28">
        <f>SUM(BASE[[#This Row],[MONTO DE RENTA ]]*1.16)</f>
        <v>648.99680000000001</v>
      </c>
      <c r="AE385" s="28" t="s">
        <v>83</v>
      </c>
      <c r="AF385" s="28">
        <v>559.48275862068965</v>
      </c>
      <c r="AG385" s="28">
        <v>649</v>
      </c>
      <c r="AH385" s="22" t="s">
        <v>64</v>
      </c>
      <c r="AI385" s="63">
        <v>45703</v>
      </c>
      <c r="AJ385" s="63">
        <v>46433</v>
      </c>
      <c r="AK3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5" s="30"/>
      <c r="AN385" s="20" t="s">
        <v>65</v>
      </c>
      <c r="AP385" s="20" t="s">
        <v>84</v>
      </c>
    </row>
    <row r="386" spans="1:43" ht="16">
      <c r="A386" s="20">
        <v>5533962545</v>
      </c>
      <c r="B386" s="21">
        <v>1032578</v>
      </c>
      <c r="C386" s="20" t="s">
        <v>2039</v>
      </c>
      <c r="D386" s="20" t="s">
        <v>2040</v>
      </c>
      <c r="E386" s="20" t="s">
        <v>1997</v>
      </c>
      <c r="F386" s="20" t="s">
        <v>257</v>
      </c>
      <c r="G386" s="20" t="s">
        <v>104</v>
      </c>
      <c r="H386" s="20" t="s">
        <v>48</v>
      </c>
      <c r="I386" s="20" t="s">
        <v>257</v>
      </c>
      <c r="J386" s="97" t="s">
        <v>2041</v>
      </c>
      <c r="K386" s="32" t="s">
        <v>2041</v>
      </c>
      <c r="L386" s="23" t="s">
        <v>2028</v>
      </c>
      <c r="M386" s="24" t="s">
        <v>7736</v>
      </c>
      <c r="N386" s="23">
        <v>11123000</v>
      </c>
      <c r="O386" s="25" t="s">
        <v>52</v>
      </c>
      <c r="P386" s="25" t="s">
        <v>53</v>
      </c>
      <c r="Q386" s="20" t="s">
        <v>2042</v>
      </c>
      <c r="R386" s="20">
        <v>90069781</v>
      </c>
      <c r="S386" s="25" t="s">
        <v>2043</v>
      </c>
      <c r="T386" s="26" t="s">
        <v>57</v>
      </c>
      <c r="U386" s="23">
        <v>860478064859660</v>
      </c>
      <c r="V386" s="45" t="s">
        <v>110</v>
      </c>
      <c r="W386" s="20" t="s">
        <v>302</v>
      </c>
      <c r="X386" s="20" t="s">
        <v>303</v>
      </c>
      <c r="Y386" s="20" t="s">
        <v>303</v>
      </c>
      <c r="Z386" s="20" t="s">
        <v>80</v>
      </c>
      <c r="AA386" s="20" t="s">
        <v>81</v>
      </c>
      <c r="AB386" s="20" t="s">
        <v>82</v>
      </c>
      <c r="AC386" s="28">
        <v>559.48</v>
      </c>
      <c r="AD386" s="28">
        <f>SUM(BASE[[#This Row],[MONTO DE RENTA ]]*1.16)</f>
        <v>648.99680000000001</v>
      </c>
      <c r="AE386" s="28" t="s">
        <v>83</v>
      </c>
      <c r="AF386" s="28">
        <v>559.48275862068965</v>
      </c>
      <c r="AG386" s="28">
        <v>649</v>
      </c>
      <c r="AH386" s="22" t="s">
        <v>64</v>
      </c>
      <c r="AI386" s="63">
        <v>45703</v>
      </c>
      <c r="AJ386" s="63">
        <v>46433</v>
      </c>
      <c r="AK3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6" s="30"/>
      <c r="AN386" s="20" t="s">
        <v>65</v>
      </c>
      <c r="AP386" s="20" t="s">
        <v>84</v>
      </c>
    </row>
    <row r="387" spans="1:43" ht="16">
      <c r="A387" s="20">
        <v>5518830343</v>
      </c>
      <c r="B387" s="21">
        <v>470358</v>
      </c>
      <c r="C387" s="20" t="s">
        <v>2044</v>
      </c>
      <c r="D387" s="20" t="s">
        <v>2045</v>
      </c>
      <c r="E387" s="20" t="s">
        <v>437</v>
      </c>
      <c r="F387" s="20" t="s">
        <v>104</v>
      </c>
      <c r="G387" s="20" t="s">
        <v>104</v>
      </c>
      <c r="H387" s="20" t="s">
        <v>48</v>
      </c>
      <c r="I387" s="20" t="s">
        <v>104</v>
      </c>
      <c r="J387" s="32" t="s">
        <v>2046</v>
      </c>
      <c r="K387" s="32" t="s">
        <v>2046</v>
      </c>
      <c r="L387" s="23" t="s">
        <v>2028</v>
      </c>
      <c r="M387" s="24" t="s">
        <v>7736</v>
      </c>
      <c r="N387" s="23">
        <v>18648000</v>
      </c>
      <c r="O387" s="25" t="s">
        <v>52</v>
      </c>
      <c r="P387" s="25" t="s">
        <v>53</v>
      </c>
      <c r="Q387" s="20" t="s">
        <v>2047</v>
      </c>
      <c r="R387" s="20">
        <v>90069842</v>
      </c>
      <c r="S387" s="25" t="s">
        <v>2048</v>
      </c>
      <c r="T387" s="26" t="s">
        <v>57</v>
      </c>
      <c r="U387" s="23">
        <v>860478064949586</v>
      </c>
      <c r="V387" s="45" t="s">
        <v>110</v>
      </c>
      <c r="W387" s="20" t="s">
        <v>302</v>
      </c>
      <c r="X387" s="20" t="s">
        <v>303</v>
      </c>
      <c r="Y387" s="20" t="s">
        <v>303</v>
      </c>
      <c r="Z387" s="20" t="s">
        <v>80</v>
      </c>
      <c r="AA387" s="20" t="s">
        <v>81</v>
      </c>
      <c r="AB387" s="20" t="s">
        <v>82</v>
      </c>
      <c r="AC387" s="28">
        <v>559.48</v>
      </c>
      <c r="AD387" s="28">
        <f>SUM(BASE[[#This Row],[MONTO DE RENTA ]]*1.16)</f>
        <v>648.99680000000001</v>
      </c>
      <c r="AE387" s="28" t="s">
        <v>83</v>
      </c>
      <c r="AF387" s="28">
        <v>559.48275862068965</v>
      </c>
      <c r="AG387" s="28">
        <v>649</v>
      </c>
      <c r="AH387" s="22" t="s">
        <v>64</v>
      </c>
      <c r="AI387" s="63">
        <v>45703</v>
      </c>
      <c r="AJ387" s="63">
        <v>46433</v>
      </c>
      <c r="AK3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7" s="30"/>
      <c r="AN387" s="20" t="s">
        <v>65</v>
      </c>
      <c r="AP387" s="20" t="s">
        <v>84</v>
      </c>
    </row>
    <row r="388" spans="1:43" ht="16">
      <c r="A388" s="20">
        <v>5540362397</v>
      </c>
      <c r="B388" s="49">
        <v>980130</v>
      </c>
      <c r="C388" s="20" t="s">
        <v>506</v>
      </c>
      <c r="D388" s="20" t="s">
        <v>358</v>
      </c>
      <c r="E388" s="20" t="s">
        <v>172</v>
      </c>
      <c r="F388" s="20" t="s">
        <v>122</v>
      </c>
      <c r="G388" s="20" t="s">
        <v>122</v>
      </c>
      <c r="H388" s="20" t="s">
        <v>48</v>
      </c>
      <c r="I388" s="20" t="s">
        <v>122</v>
      </c>
      <c r="J388" s="22" t="s">
        <v>2049</v>
      </c>
      <c r="K388" s="22" t="s">
        <v>2049</v>
      </c>
      <c r="L388" s="23" t="s">
        <v>2028</v>
      </c>
      <c r="M388" s="24" t="s">
        <v>7736</v>
      </c>
      <c r="N388" s="23">
        <v>18648000</v>
      </c>
      <c r="O388" s="25" t="s">
        <v>52</v>
      </c>
      <c r="P388" s="25" t="s">
        <v>53</v>
      </c>
      <c r="Q388" s="20" t="s">
        <v>2050</v>
      </c>
      <c r="R388" s="20">
        <v>91246596</v>
      </c>
      <c r="S388" s="25" t="s">
        <v>2051</v>
      </c>
      <c r="T388" s="26" t="s">
        <v>57</v>
      </c>
      <c r="U388" s="23">
        <v>865356065728917</v>
      </c>
      <c r="V388" s="27" t="s">
        <v>183</v>
      </c>
      <c r="W388" s="20" t="s">
        <v>129</v>
      </c>
      <c r="X388" s="20" t="s">
        <v>130</v>
      </c>
      <c r="Y388" s="20" t="s">
        <v>130</v>
      </c>
      <c r="Z388" s="20" t="s">
        <v>261</v>
      </c>
      <c r="AA388" s="20" t="s">
        <v>473</v>
      </c>
      <c r="AB388" s="20" t="s">
        <v>262</v>
      </c>
      <c r="AC388" s="28">
        <v>369.83</v>
      </c>
      <c r="AD388" s="28">
        <f>SUM(BASE[[#This Row],[MONTO DE RENTA ]]*1.16)</f>
        <v>429.00279999999998</v>
      </c>
      <c r="AE388" s="28" t="s">
        <v>63</v>
      </c>
      <c r="AF388" s="28">
        <v>369.82758620689657</v>
      </c>
      <c r="AG388" s="28">
        <v>429</v>
      </c>
      <c r="AI388" s="29">
        <v>44937</v>
      </c>
      <c r="AJ388" s="50">
        <v>46043</v>
      </c>
      <c r="AK3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88" s="30"/>
      <c r="AN388" s="20" t="s">
        <v>99</v>
      </c>
      <c r="AP388" s="20" t="s">
        <v>84</v>
      </c>
      <c r="AQ388" s="20" t="s">
        <v>100</v>
      </c>
    </row>
    <row r="389" spans="1:43" ht="16">
      <c r="A389" s="20">
        <v>5554179086</v>
      </c>
      <c r="B389" s="49">
        <v>1065585</v>
      </c>
      <c r="C389" s="20" t="s">
        <v>1147</v>
      </c>
      <c r="D389" s="20" t="s">
        <v>103</v>
      </c>
      <c r="E389" s="20" t="s">
        <v>427</v>
      </c>
      <c r="F389" s="20" t="s">
        <v>70</v>
      </c>
      <c r="G389" s="20" t="s">
        <v>70</v>
      </c>
      <c r="H389" s="20" t="s">
        <v>48</v>
      </c>
      <c r="I389" s="20" t="s">
        <v>70</v>
      </c>
      <c r="J389" s="22" t="s">
        <v>2052</v>
      </c>
      <c r="K389" s="22" t="s">
        <v>2052</v>
      </c>
      <c r="L389" s="23" t="s">
        <v>2028</v>
      </c>
      <c r="M389" s="24" t="s">
        <v>7736</v>
      </c>
      <c r="N389" s="23">
        <v>18648000</v>
      </c>
      <c r="O389" s="25" t="s">
        <v>52</v>
      </c>
      <c r="P389" s="25" t="s">
        <v>53</v>
      </c>
      <c r="Q389" s="20" t="s">
        <v>2053</v>
      </c>
      <c r="R389" s="20">
        <v>9808592</v>
      </c>
      <c r="S389" s="25" t="s">
        <v>2054</v>
      </c>
      <c r="T389" s="26" t="s">
        <v>77</v>
      </c>
      <c r="U389" s="23">
        <v>0</v>
      </c>
      <c r="V389" s="27" t="s">
        <v>78</v>
      </c>
      <c r="W389" s="20" t="s">
        <v>2055</v>
      </c>
      <c r="X389" s="20" t="s">
        <v>2055</v>
      </c>
      <c r="Y389" s="20" t="s">
        <v>2055</v>
      </c>
      <c r="Z389" s="20" t="s">
        <v>261</v>
      </c>
      <c r="AA389" s="20" t="s">
        <v>473</v>
      </c>
      <c r="AB389" s="20" t="s">
        <v>474</v>
      </c>
      <c r="AC389" s="28">
        <v>559.48</v>
      </c>
      <c r="AD389" s="28">
        <f>SUM(BASE[[#This Row],[MONTO DE RENTA ]]*1.16)</f>
        <v>648.99680000000001</v>
      </c>
      <c r="AE389" s="28" t="s">
        <v>83</v>
      </c>
      <c r="AF389" s="28">
        <v>559.48275862068965</v>
      </c>
      <c r="AG389" s="28">
        <v>649</v>
      </c>
      <c r="AH389" s="22" t="s">
        <v>140</v>
      </c>
      <c r="AI389" s="63">
        <v>45951</v>
      </c>
      <c r="AJ389" s="63">
        <v>46429</v>
      </c>
      <c r="AK3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89" s="30"/>
      <c r="AN389" s="20" t="s">
        <v>65</v>
      </c>
      <c r="AP389" s="20" t="s">
        <v>84</v>
      </c>
    </row>
    <row r="390" spans="1:43" ht="16">
      <c r="A390" s="20">
        <v>4271370434</v>
      </c>
      <c r="B390" s="21">
        <v>495011</v>
      </c>
      <c r="C390" s="20" t="s">
        <v>2056</v>
      </c>
      <c r="D390" s="20" t="s">
        <v>187</v>
      </c>
      <c r="E390" s="20" t="s">
        <v>171</v>
      </c>
      <c r="F390" s="20" t="s">
        <v>47</v>
      </c>
      <c r="G390" s="20" t="s">
        <v>47</v>
      </c>
      <c r="H390" s="20" t="s">
        <v>48</v>
      </c>
      <c r="I390" s="20" t="s">
        <v>47</v>
      </c>
      <c r="J390" s="22" t="s">
        <v>2057</v>
      </c>
      <c r="K390" s="22" t="s">
        <v>2057</v>
      </c>
      <c r="L390" s="25" t="s">
        <v>2058</v>
      </c>
      <c r="M390" s="24" t="s">
        <v>7742</v>
      </c>
      <c r="N390" s="23">
        <v>18649000</v>
      </c>
      <c r="O390" s="25" t="s">
        <v>93</v>
      </c>
      <c r="P390" s="25" t="s">
        <v>53</v>
      </c>
      <c r="Q390" s="20" t="s">
        <v>2059</v>
      </c>
      <c r="R390" s="20">
        <v>62129162</v>
      </c>
      <c r="S390" s="25" t="s">
        <v>2060</v>
      </c>
      <c r="T390" s="26" t="s">
        <v>57</v>
      </c>
      <c r="U390" s="23">
        <v>860900062258199</v>
      </c>
      <c r="V390" s="27" t="s">
        <v>57</v>
      </c>
      <c r="W390" s="20" t="s">
        <v>58</v>
      </c>
      <c r="X390" s="20" t="s">
        <v>59</v>
      </c>
      <c r="Y390" s="20" t="s">
        <v>59</v>
      </c>
      <c r="Z390" s="20" t="s">
        <v>131</v>
      </c>
      <c r="AA390" s="20" t="s">
        <v>132</v>
      </c>
      <c r="AB390" s="20" t="s">
        <v>96</v>
      </c>
      <c r="AC390" s="28">
        <v>369.83</v>
      </c>
      <c r="AD390" s="28">
        <f>SUM(BASE[[#This Row],[MONTO DE RENTA ]]*1.16)</f>
        <v>429.00279999999998</v>
      </c>
      <c r="AE390" s="28" t="s">
        <v>63</v>
      </c>
      <c r="AF390" s="28">
        <v>369.82758620689657</v>
      </c>
      <c r="AG390" s="28">
        <v>429</v>
      </c>
      <c r="AH390" s="22" t="s">
        <v>64</v>
      </c>
      <c r="AI390" s="63">
        <v>45703</v>
      </c>
      <c r="AJ390" s="63">
        <v>46433</v>
      </c>
      <c r="AK3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0" s="30"/>
      <c r="AN390" s="20" t="s">
        <v>65</v>
      </c>
      <c r="AP390" s="20" t="s">
        <v>84</v>
      </c>
    </row>
    <row r="391" spans="1:43" ht="16">
      <c r="A391" s="20">
        <v>4271198225</v>
      </c>
      <c r="B391" s="21">
        <v>1072730</v>
      </c>
      <c r="C391" s="20" t="s">
        <v>2061</v>
      </c>
      <c r="D391" s="20" t="s">
        <v>476</v>
      </c>
      <c r="E391" s="20" t="s">
        <v>1245</v>
      </c>
      <c r="F391" s="20" t="s">
        <v>1923</v>
      </c>
      <c r="G391" s="20" t="s">
        <v>248</v>
      </c>
      <c r="H391" s="20" t="s">
        <v>48</v>
      </c>
      <c r="I391" s="20" t="s">
        <v>1923</v>
      </c>
      <c r="J391" s="22" t="s">
        <v>2062</v>
      </c>
      <c r="K391" s="32" t="s">
        <v>2062</v>
      </c>
      <c r="L391" s="23" t="s">
        <v>2058</v>
      </c>
      <c r="M391" s="24" t="s">
        <v>7742</v>
      </c>
      <c r="N391" s="23">
        <v>18649000</v>
      </c>
      <c r="O391" s="25" t="s">
        <v>93</v>
      </c>
      <c r="P391" s="25" t="s">
        <v>53</v>
      </c>
      <c r="Q391" s="20" t="s">
        <v>2063</v>
      </c>
      <c r="R391" s="20">
        <v>62116027</v>
      </c>
      <c r="S391" s="25" t="s">
        <v>2064</v>
      </c>
      <c r="T391" s="26" t="s">
        <v>57</v>
      </c>
      <c r="U391" s="23">
        <v>860900062257696</v>
      </c>
      <c r="V391" s="27" t="s">
        <v>57</v>
      </c>
      <c r="W391" s="20" t="s">
        <v>58</v>
      </c>
      <c r="X391" s="20" t="s">
        <v>59</v>
      </c>
      <c r="Y391" s="20" t="s">
        <v>59</v>
      </c>
      <c r="Z391" s="20" t="s">
        <v>131</v>
      </c>
      <c r="AA391" s="20" t="s">
        <v>132</v>
      </c>
      <c r="AB391" s="20" t="s">
        <v>96</v>
      </c>
      <c r="AC391" s="28">
        <v>369.83</v>
      </c>
      <c r="AD391" s="28">
        <f>SUM(BASE[[#This Row],[MONTO DE RENTA ]]*1.16)</f>
        <v>429.00279999999998</v>
      </c>
      <c r="AE391" s="28" t="s">
        <v>63</v>
      </c>
      <c r="AF391" s="28">
        <v>369.82758620689657</v>
      </c>
      <c r="AG391" s="28">
        <v>429</v>
      </c>
      <c r="AI391" s="63">
        <v>44937</v>
      </c>
      <c r="AJ391" s="63">
        <v>46429</v>
      </c>
      <c r="AK3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1" s="30"/>
      <c r="AN391" s="20" t="s">
        <v>65</v>
      </c>
      <c r="AP391" s="20" t="s">
        <v>84</v>
      </c>
    </row>
    <row r="392" spans="1:43" ht="16">
      <c r="A392" s="20">
        <v>4271370314</v>
      </c>
      <c r="B392" s="21">
        <v>770151</v>
      </c>
      <c r="C392" s="20" t="s">
        <v>2065</v>
      </c>
      <c r="D392" s="20" t="s">
        <v>160</v>
      </c>
      <c r="E392" s="20" t="s">
        <v>187</v>
      </c>
      <c r="F392" s="20" t="s">
        <v>557</v>
      </c>
      <c r="G392" s="20" t="s">
        <v>257</v>
      </c>
      <c r="H392" s="20" t="s">
        <v>48</v>
      </c>
      <c r="I392" s="20" t="s">
        <v>557</v>
      </c>
      <c r="J392" s="22" t="s">
        <v>2066</v>
      </c>
      <c r="K392" s="22" t="s">
        <v>2066</v>
      </c>
      <c r="L392" s="23" t="s">
        <v>2058</v>
      </c>
      <c r="M392" s="24" t="s">
        <v>7742</v>
      </c>
      <c r="N392" s="23">
        <v>11170000</v>
      </c>
      <c r="O392" s="25" t="s">
        <v>93</v>
      </c>
      <c r="P392" s="25" t="s">
        <v>53</v>
      </c>
      <c r="Q392" s="20" t="s">
        <v>2067</v>
      </c>
      <c r="R392" s="20">
        <v>62099420</v>
      </c>
      <c r="S392" s="25" t="s">
        <v>2068</v>
      </c>
      <c r="T392" s="26" t="s">
        <v>57</v>
      </c>
      <c r="U392" s="23">
        <v>860478064863464</v>
      </c>
      <c r="V392" s="45" t="s">
        <v>110</v>
      </c>
      <c r="W392" s="20" t="s">
        <v>302</v>
      </c>
      <c r="X392" s="20" t="s">
        <v>303</v>
      </c>
      <c r="Y392" s="20" t="s">
        <v>303</v>
      </c>
      <c r="Z392" s="20" t="s">
        <v>131</v>
      </c>
      <c r="AA392" s="20" t="s">
        <v>132</v>
      </c>
      <c r="AB392" s="20" t="s">
        <v>96</v>
      </c>
      <c r="AC392" s="28">
        <v>369.83</v>
      </c>
      <c r="AD392" s="28">
        <f>SUM(BASE[[#This Row],[MONTO DE RENTA ]]*1.16)</f>
        <v>429.00279999999998</v>
      </c>
      <c r="AE392" s="28" t="s">
        <v>97</v>
      </c>
      <c r="AF392" s="28">
        <v>473.27586206896552</v>
      </c>
      <c r="AG392" s="28">
        <v>549</v>
      </c>
      <c r="AH392" s="22" t="s">
        <v>64</v>
      </c>
      <c r="AI392" s="63">
        <v>45703</v>
      </c>
      <c r="AJ392" s="63">
        <v>46433</v>
      </c>
      <c r="AK3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2" s="30"/>
      <c r="AN392" s="20" t="s">
        <v>65</v>
      </c>
      <c r="AP392" s="20" t="s">
        <v>66</v>
      </c>
    </row>
    <row r="393" spans="1:43" ht="16">
      <c r="A393" s="20">
        <v>4271370344</v>
      </c>
      <c r="B393" s="21">
        <v>1025082</v>
      </c>
      <c r="C393" s="20" t="s">
        <v>2069</v>
      </c>
      <c r="D393" s="20" t="s">
        <v>2070</v>
      </c>
      <c r="E393" s="20" t="s">
        <v>657</v>
      </c>
      <c r="F393" s="20" t="s">
        <v>384</v>
      </c>
      <c r="G393" s="20" t="s">
        <v>104</v>
      </c>
      <c r="H393" s="20" t="s">
        <v>48</v>
      </c>
      <c r="I393" s="20" t="s">
        <v>384</v>
      </c>
      <c r="J393" s="32" t="s">
        <v>2071</v>
      </c>
      <c r="K393" s="32" t="s">
        <v>2071</v>
      </c>
      <c r="L393" s="23" t="s">
        <v>2058</v>
      </c>
      <c r="M393" s="24" t="s">
        <v>7742</v>
      </c>
      <c r="N393" s="23">
        <v>18649000</v>
      </c>
      <c r="O393" s="25" t="s">
        <v>93</v>
      </c>
      <c r="P393" s="25" t="s">
        <v>53</v>
      </c>
      <c r="Q393" s="20" t="s">
        <v>2072</v>
      </c>
      <c r="R393" s="20">
        <v>62099421</v>
      </c>
      <c r="S393" s="25" t="s">
        <v>2073</v>
      </c>
      <c r="T393" s="26" t="s">
        <v>57</v>
      </c>
      <c r="U393" s="23">
        <v>860478062096877</v>
      </c>
      <c r="V393" s="45" t="s">
        <v>110</v>
      </c>
      <c r="W393" s="20" t="s">
        <v>302</v>
      </c>
      <c r="X393" s="20" t="s">
        <v>303</v>
      </c>
      <c r="Y393" s="20" t="s">
        <v>303</v>
      </c>
      <c r="Z393" s="20" t="s">
        <v>131</v>
      </c>
      <c r="AA393" s="20" t="s">
        <v>132</v>
      </c>
      <c r="AB393" s="20" t="s">
        <v>82</v>
      </c>
      <c r="AC393" s="28">
        <v>559.48</v>
      </c>
      <c r="AD393" s="28">
        <f>SUM(BASE[[#This Row],[MONTO DE RENTA ]]*1.16)</f>
        <v>648.99680000000001</v>
      </c>
      <c r="AE393" s="28" t="s">
        <v>83</v>
      </c>
      <c r="AF393" s="28">
        <v>559.48275862068965</v>
      </c>
      <c r="AG393" s="28">
        <v>649</v>
      </c>
      <c r="AH393" s="22" t="s">
        <v>64</v>
      </c>
      <c r="AI393" s="63">
        <v>45703</v>
      </c>
      <c r="AJ393" s="63">
        <v>46433</v>
      </c>
      <c r="AK3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3" s="30"/>
      <c r="AN393" s="20" t="s">
        <v>65</v>
      </c>
      <c r="AP393" s="20" t="s">
        <v>84</v>
      </c>
    </row>
    <row r="394" spans="1:43" ht="16">
      <c r="A394" s="20">
        <v>4271083469</v>
      </c>
      <c r="B394" s="49">
        <v>410079</v>
      </c>
      <c r="C394" s="20" t="s">
        <v>2074</v>
      </c>
      <c r="D394" s="20" t="s">
        <v>1516</v>
      </c>
      <c r="E394" s="20" t="s">
        <v>477</v>
      </c>
      <c r="F394" s="20" t="s">
        <v>70</v>
      </c>
      <c r="G394" s="20" t="s">
        <v>70</v>
      </c>
      <c r="H394" s="20" t="s">
        <v>48</v>
      </c>
      <c r="I394" s="20" t="s">
        <v>70</v>
      </c>
      <c r="J394" s="22" t="s">
        <v>2075</v>
      </c>
      <c r="K394" s="22" t="s">
        <v>2075</v>
      </c>
      <c r="L394" s="23" t="s">
        <v>2058</v>
      </c>
      <c r="M394" s="24" t="s">
        <v>7742</v>
      </c>
      <c r="N394" s="23">
        <v>18649000</v>
      </c>
      <c r="O394" s="25" t="s">
        <v>93</v>
      </c>
      <c r="P394" s="25" t="s">
        <v>53</v>
      </c>
      <c r="Q394" s="20" t="s">
        <v>2076</v>
      </c>
      <c r="R394" s="20">
        <v>62025830</v>
      </c>
      <c r="S394" s="25" t="s">
        <v>55</v>
      </c>
      <c r="T394" s="26" t="s">
        <v>56</v>
      </c>
      <c r="U394" s="23">
        <v>357894928559314</v>
      </c>
      <c r="V394" s="27" t="s">
        <v>78</v>
      </c>
      <c r="W394" s="20" t="s">
        <v>95</v>
      </c>
      <c r="X394" s="20" t="s">
        <v>95</v>
      </c>
      <c r="Y394" s="20" t="s">
        <v>95</v>
      </c>
      <c r="Z394" s="20" t="s">
        <v>167</v>
      </c>
      <c r="AA394" s="20" t="s">
        <v>168</v>
      </c>
      <c r="AB394" s="20" t="s">
        <v>82</v>
      </c>
      <c r="AC394" s="28">
        <v>559.48</v>
      </c>
      <c r="AD394" s="28">
        <f>SUM(BASE[[#This Row],[MONTO DE RENTA ]]*1.16)</f>
        <v>648.99680000000001</v>
      </c>
      <c r="AE394" s="28" t="s">
        <v>83</v>
      </c>
      <c r="AF394" s="28">
        <v>559.48275862068965</v>
      </c>
      <c r="AG394" s="28">
        <v>649</v>
      </c>
      <c r="AI394" s="63">
        <v>44937</v>
      </c>
      <c r="AJ394" s="73">
        <v>46043</v>
      </c>
      <c r="AK39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394" s="30"/>
      <c r="AN394" s="20" t="s">
        <v>99</v>
      </c>
      <c r="AP394" s="20" t="s">
        <v>84</v>
      </c>
      <c r="AQ394" s="20" t="s">
        <v>100</v>
      </c>
    </row>
    <row r="395" spans="1:43" ht="16">
      <c r="A395" s="20">
        <v>6311120193</v>
      </c>
      <c r="B395" s="186">
        <v>1009459</v>
      </c>
      <c r="C395" s="20" t="s">
        <v>2077</v>
      </c>
      <c r="D395" s="20" t="s">
        <v>44</v>
      </c>
      <c r="E395" s="20" t="s">
        <v>1432</v>
      </c>
      <c r="F395" s="20" t="s">
        <v>530</v>
      </c>
      <c r="G395" s="20" t="s">
        <v>47</v>
      </c>
      <c r="H395" s="20" t="s">
        <v>48</v>
      </c>
      <c r="I395" s="20" t="s">
        <v>530</v>
      </c>
      <c r="J395" s="22" t="s">
        <v>2078</v>
      </c>
      <c r="K395" s="22" t="s">
        <v>2078</v>
      </c>
      <c r="L395" s="23" t="s">
        <v>2079</v>
      </c>
      <c r="M395" s="24" t="s">
        <v>7745</v>
      </c>
      <c r="N395" s="23">
        <v>18651000</v>
      </c>
      <c r="O395" s="25" t="s">
        <v>866</v>
      </c>
      <c r="P395" s="25" t="s">
        <v>53</v>
      </c>
      <c r="Q395" s="20" t="s">
        <v>2080</v>
      </c>
      <c r="R395" s="20">
        <v>22031383</v>
      </c>
      <c r="S395" s="25" t="s">
        <v>2081</v>
      </c>
      <c r="T395" s="26" t="s">
        <v>57</v>
      </c>
      <c r="U395" s="23">
        <v>860900062338066</v>
      </c>
      <c r="V395" s="27" t="s">
        <v>57</v>
      </c>
      <c r="W395" s="20" t="s">
        <v>58</v>
      </c>
      <c r="X395" s="20" t="s">
        <v>59</v>
      </c>
      <c r="Y395" s="20" t="s">
        <v>59</v>
      </c>
      <c r="Z395" s="20" t="s">
        <v>60</v>
      </c>
      <c r="AA395" s="20" t="s">
        <v>61</v>
      </c>
      <c r="AB395" s="20" t="s">
        <v>96</v>
      </c>
      <c r="AC395" s="28">
        <v>369.83</v>
      </c>
      <c r="AD395" s="28">
        <f>SUM(BASE[[#This Row],[MONTO DE RENTA ]]*1.16)</f>
        <v>429.00279999999998</v>
      </c>
      <c r="AE395" s="28" t="s">
        <v>63</v>
      </c>
      <c r="AF395" s="28">
        <v>369.82758620689657</v>
      </c>
      <c r="AG395" s="28">
        <v>429</v>
      </c>
      <c r="AH395" s="22" t="s">
        <v>64</v>
      </c>
      <c r="AI395" s="63">
        <v>45703</v>
      </c>
      <c r="AJ395" s="63">
        <v>46433</v>
      </c>
      <c r="AK3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5" s="30"/>
      <c r="AN395" s="20" t="s">
        <v>65</v>
      </c>
      <c r="AP395" s="20" t="s">
        <v>84</v>
      </c>
    </row>
    <row r="396" spans="1:43" ht="16">
      <c r="A396" s="20">
        <v>6311125264</v>
      </c>
      <c r="B396" s="21">
        <v>515079</v>
      </c>
      <c r="C396" s="20" t="s">
        <v>2082</v>
      </c>
      <c r="D396" s="20" t="s">
        <v>2083</v>
      </c>
      <c r="E396" s="20" t="s">
        <v>2084</v>
      </c>
      <c r="F396" s="20" t="s">
        <v>451</v>
      </c>
      <c r="G396" s="20" t="s">
        <v>248</v>
      </c>
      <c r="H396" s="20" t="s">
        <v>48</v>
      </c>
      <c r="I396" s="20" t="s">
        <v>451</v>
      </c>
      <c r="J396" s="22" t="s">
        <v>2085</v>
      </c>
      <c r="K396" s="22" t="s">
        <v>2085</v>
      </c>
      <c r="L396" s="23" t="s">
        <v>2079</v>
      </c>
      <c r="M396" s="24" t="s">
        <v>7745</v>
      </c>
      <c r="N396" s="23">
        <v>18651000</v>
      </c>
      <c r="O396" s="25" t="s">
        <v>866</v>
      </c>
      <c r="P396" s="25" t="s">
        <v>53</v>
      </c>
      <c r="Q396" s="20" t="s">
        <v>2086</v>
      </c>
      <c r="R396" s="20">
        <v>22020385</v>
      </c>
      <c r="S396" s="25" t="s">
        <v>2087</v>
      </c>
      <c r="T396" s="26" t="s">
        <v>57</v>
      </c>
      <c r="U396" s="23">
        <v>860900062337183</v>
      </c>
      <c r="V396" s="27" t="s">
        <v>57</v>
      </c>
      <c r="W396" s="20" t="s">
        <v>58</v>
      </c>
      <c r="X396" s="20" t="s">
        <v>59</v>
      </c>
      <c r="Y396" s="20" t="s">
        <v>59</v>
      </c>
      <c r="Z396" s="20" t="s">
        <v>60</v>
      </c>
      <c r="AA396" s="20" t="s">
        <v>61</v>
      </c>
      <c r="AB396" s="20" t="s">
        <v>96</v>
      </c>
      <c r="AC396" s="28">
        <v>369.83</v>
      </c>
      <c r="AD396" s="28">
        <f>SUM(BASE[[#This Row],[MONTO DE RENTA ]]*1.16)</f>
        <v>429.00279999999998</v>
      </c>
      <c r="AE396" s="28" t="s">
        <v>63</v>
      </c>
      <c r="AF396" s="28">
        <v>369.82758620689657</v>
      </c>
      <c r="AG396" s="28">
        <v>429</v>
      </c>
      <c r="AH396" s="22" t="s">
        <v>64</v>
      </c>
      <c r="AI396" s="63">
        <v>45703</v>
      </c>
      <c r="AJ396" s="63">
        <v>46433</v>
      </c>
      <c r="AK3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6" s="30"/>
      <c r="AN396" s="20" t="s">
        <v>65</v>
      </c>
      <c r="AP396" s="20" t="s">
        <v>84</v>
      </c>
    </row>
    <row r="397" spans="1:43" ht="16">
      <c r="A397" s="20">
        <v>6311146935</v>
      </c>
      <c r="B397" s="21">
        <v>515019</v>
      </c>
      <c r="C397" s="20" t="s">
        <v>2088</v>
      </c>
      <c r="D397" s="20" t="s">
        <v>2089</v>
      </c>
      <c r="E397" s="20" t="s">
        <v>256</v>
      </c>
      <c r="F397" s="20" t="s">
        <v>257</v>
      </c>
      <c r="G397" s="20" t="s">
        <v>257</v>
      </c>
      <c r="H397" s="20" t="s">
        <v>48</v>
      </c>
      <c r="I397" s="20" t="s">
        <v>257</v>
      </c>
      <c r="J397" s="22" t="s">
        <v>2090</v>
      </c>
      <c r="K397" s="22" t="s">
        <v>2090</v>
      </c>
      <c r="L397" s="23" t="s">
        <v>2079</v>
      </c>
      <c r="M397" s="24" t="s">
        <v>7745</v>
      </c>
      <c r="N397" s="23">
        <v>18651000</v>
      </c>
      <c r="O397" s="25" t="s">
        <v>866</v>
      </c>
      <c r="P397" s="25" t="s">
        <v>53</v>
      </c>
      <c r="Q397" s="20" t="s">
        <v>2091</v>
      </c>
      <c r="R397" s="20">
        <v>22026218</v>
      </c>
      <c r="S397" s="25" t="s">
        <v>2092</v>
      </c>
      <c r="T397" s="26" t="s">
        <v>57</v>
      </c>
      <c r="U397" s="23">
        <v>860478064863266</v>
      </c>
      <c r="V397" s="45" t="s">
        <v>110</v>
      </c>
      <c r="W397" s="20" t="s">
        <v>302</v>
      </c>
      <c r="X397" s="20" t="s">
        <v>303</v>
      </c>
      <c r="Y397" s="20" t="s">
        <v>303</v>
      </c>
      <c r="Z397" s="20" t="s">
        <v>80</v>
      </c>
      <c r="AA397" s="20" t="s">
        <v>81</v>
      </c>
      <c r="AB397" s="20" t="s">
        <v>82</v>
      </c>
      <c r="AC397" s="28">
        <v>559.48</v>
      </c>
      <c r="AD397" s="28">
        <f>SUM(BASE[[#This Row],[MONTO DE RENTA ]]*1.16)</f>
        <v>648.99680000000001</v>
      </c>
      <c r="AE397" s="28" t="s">
        <v>83</v>
      </c>
      <c r="AF397" s="28">
        <v>559.48275862068965</v>
      </c>
      <c r="AG397" s="28">
        <v>649</v>
      </c>
      <c r="AH397" s="22" t="s">
        <v>64</v>
      </c>
      <c r="AI397" s="63">
        <v>45703</v>
      </c>
      <c r="AJ397" s="63">
        <v>46433</v>
      </c>
      <c r="AK3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7" s="30"/>
      <c r="AN397" s="20" t="s">
        <v>65</v>
      </c>
      <c r="AP397" s="20" t="s">
        <v>84</v>
      </c>
    </row>
    <row r="398" spans="1:43" ht="16">
      <c r="A398" s="20">
        <v>6311141441</v>
      </c>
      <c r="B398" s="21">
        <v>1007985</v>
      </c>
      <c r="C398" s="20" t="s">
        <v>2093</v>
      </c>
      <c r="D398" s="20" t="s">
        <v>2094</v>
      </c>
      <c r="E398" s="20" t="s">
        <v>657</v>
      </c>
      <c r="F398" s="20" t="s">
        <v>104</v>
      </c>
      <c r="G398" s="20" t="s">
        <v>104</v>
      </c>
      <c r="H398" s="20" t="s">
        <v>48</v>
      </c>
      <c r="I398" s="20" t="s">
        <v>104</v>
      </c>
      <c r="J398" s="32" t="s">
        <v>2095</v>
      </c>
      <c r="K398" s="32" t="s">
        <v>2095</v>
      </c>
      <c r="L398" s="23" t="s">
        <v>2079</v>
      </c>
      <c r="M398" s="24" t="s">
        <v>7745</v>
      </c>
      <c r="N398" s="23">
        <v>18651000</v>
      </c>
      <c r="O398" s="25" t="s">
        <v>866</v>
      </c>
      <c r="P398" s="25" t="s">
        <v>53</v>
      </c>
      <c r="Q398" s="20" t="s">
        <v>2096</v>
      </c>
      <c r="R398" s="20">
        <v>22026210</v>
      </c>
      <c r="S398" s="25" t="s">
        <v>2097</v>
      </c>
      <c r="T398" s="26" t="s">
        <v>57</v>
      </c>
      <c r="U398" s="23">
        <v>860478064953059</v>
      </c>
      <c r="V398" s="45" t="s">
        <v>110</v>
      </c>
      <c r="W398" s="20" t="s">
        <v>302</v>
      </c>
      <c r="X398" s="20" t="s">
        <v>303</v>
      </c>
      <c r="Y398" s="20" t="s">
        <v>303</v>
      </c>
      <c r="Z398" s="20" t="s">
        <v>80</v>
      </c>
      <c r="AA398" s="20" t="s">
        <v>81</v>
      </c>
      <c r="AB398" s="20" t="s">
        <v>82</v>
      </c>
      <c r="AC398" s="28">
        <v>559.48</v>
      </c>
      <c r="AD398" s="28">
        <f>SUM(BASE[[#This Row],[MONTO DE RENTA ]]*1.16)</f>
        <v>648.99680000000001</v>
      </c>
      <c r="AE398" s="28" t="s">
        <v>83</v>
      </c>
      <c r="AF398" s="28">
        <v>559.48275862068965</v>
      </c>
      <c r="AG398" s="28">
        <v>649</v>
      </c>
      <c r="AH398" s="22" t="s">
        <v>64</v>
      </c>
      <c r="AI398" s="63">
        <v>45703</v>
      </c>
      <c r="AJ398" s="63">
        <v>46433</v>
      </c>
      <c r="AK3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8" s="30"/>
      <c r="AN398" s="20" t="s">
        <v>65</v>
      </c>
      <c r="AP398" s="20" t="s">
        <v>84</v>
      </c>
    </row>
    <row r="399" spans="1:43" ht="16">
      <c r="A399" s="20">
        <v>6311149063</v>
      </c>
      <c r="B399" s="21">
        <v>515107</v>
      </c>
      <c r="C399" s="20" t="s">
        <v>2098</v>
      </c>
      <c r="D399" s="20" t="s">
        <v>456</v>
      </c>
      <c r="E399" s="20" t="s">
        <v>347</v>
      </c>
      <c r="F399" s="20" t="s">
        <v>104</v>
      </c>
      <c r="G399" s="20" t="s">
        <v>104</v>
      </c>
      <c r="H399" s="20" t="s">
        <v>48</v>
      </c>
      <c r="I399" s="20" t="s">
        <v>104</v>
      </c>
      <c r="J399" s="22" t="s">
        <v>2099</v>
      </c>
      <c r="K399" s="32" t="s">
        <v>2099</v>
      </c>
      <c r="L399" s="23" t="s">
        <v>2079</v>
      </c>
      <c r="M399" s="24" t="s">
        <v>7745</v>
      </c>
      <c r="N399" s="23">
        <v>18651000</v>
      </c>
      <c r="O399" s="25" t="s">
        <v>866</v>
      </c>
      <c r="P399" s="25" t="s">
        <v>53</v>
      </c>
      <c r="Q399" s="20" t="s">
        <v>2100</v>
      </c>
      <c r="R399" s="20">
        <v>22026221</v>
      </c>
      <c r="S399" s="25" t="s">
        <v>2101</v>
      </c>
      <c r="T399" s="26" t="s">
        <v>57</v>
      </c>
      <c r="U399" s="23">
        <v>860478064863274</v>
      </c>
      <c r="V399" s="45" t="s">
        <v>110</v>
      </c>
      <c r="W399" s="20" t="s">
        <v>302</v>
      </c>
      <c r="X399" s="20" t="s">
        <v>303</v>
      </c>
      <c r="Y399" s="20" t="s">
        <v>303</v>
      </c>
      <c r="Z399" s="20" t="s">
        <v>80</v>
      </c>
      <c r="AA399" s="20" t="s">
        <v>81</v>
      </c>
      <c r="AB399" s="20" t="s">
        <v>82</v>
      </c>
      <c r="AC399" s="28">
        <v>559.48</v>
      </c>
      <c r="AD399" s="28">
        <f>SUM(BASE[[#This Row],[MONTO DE RENTA ]]*1.16)</f>
        <v>648.99680000000001</v>
      </c>
      <c r="AE399" s="28" t="s">
        <v>83</v>
      </c>
      <c r="AF399" s="28">
        <v>559.48275862068965</v>
      </c>
      <c r="AG399" s="28">
        <v>649</v>
      </c>
      <c r="AH399" s="22" t="s">
        <v>64</v>
      </c>
      <c r="AI399" s="63">
        <v>45703</v>
      </c>
      <c r="AJ399" s="63">
        <v>46433</v>
      </c>
      <c r="AK3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399" s="30"/>
      <c r="AN399" s="20" t="s">
        <v>65</v>
      </c>
      <c r="AP399" s="20" t="s">
        <v>84</v>
      </c>
    </row>
    <row r="400" spans="1:43" ht="16">
      <c r="A400" s="20">
        <v>6311052043</v>
      </c>
      <c r="B400" s="86">
        <v>60167</v>
      </c>
      <c r="C400" s="20" t="s">
        <v>2102</v>
      </c>
      <c r="D400" s="20" t="s">
        <v>427</v>
      </c>
      <c r="E400" s="20" t="s">
        <v>741</v>
      </c>
      <c r="F400" s="20" t="s">
        <v>70</v>
      </c>
      <c r="G400" s="20" t="s">
        <v>70</v>
      </c>
      <c r="H400" s="20" t="s">
        <v>48</v>
      </c>
      <c r="I400" s="20" t="s">
        <v>70</v>
      </c>
      <c r="J400" s="22" t="s">
        <v>2103</v>
      </c>
      <c r="K400" s="32" t="s">
        <v>2103</v>
      </c>
      <c r="L400" s="23" t="s">
        <v>2079</v>
      </c>
      <c r="M400" s="24" t="s">
        <v>7745</v>
      </c>
      <c r="N400" s="23">
        <v>18651000</v>
      </c>
      <c r="O400" s="25" t="s">
        <v>866</v>
      </c>
      <c r="P400" s="25" t="s">
        <v>53</v>
      </c>
      <c r="Q400" s="20" t="s">
        <v>2104</v>
      </c>
      <c r="R400" s="20">
        <v>21913980</v>
      </c>
      <c r="S400" s="25" t="s">
        <v>55</v>
      </c>
      <c r="T400" s="26" t="s">
        <v>56</v>
      </c>
      <c r="U400" s="23" t="s">
        <v>193</v>
      </c>
      <c r="V400" s="27" t="s">
        <v>78</v>
      </c>
      <c r="W400" s="20" t="s">
        <v>194</v>
      </c>
      <c r="X400" s="20" t="s">
        <v>194</v>
      </c>
      <c r="Y400" s="20" t="s">
        <v>194</v>
      </c>
      <c r="Z400" s="20" t="s">
        <v>60</v>
      </c>
      <c r="AA400" s="20" t="s">
        <v>61</v>
      </c>
      <c r="AB400" s="20" t="s">
        <v>82</v>
      </c>
      <c r="AC400" s="28">
        <v>559.48</v>
      </c>
      <c r="AD400" s="28">
        <f>SUM(BASE[[#This Row],[MONTO DE RENTA ]]*1.16)</f>
        <v>648.99680000000001</v>
      </c>
      <c r="AE400" s="28" t="s">
        <v>83</v>
      </c>
      <c r="AF400" s="28">
        <v>559.48275862068965</v>
      </c>
      <c r="AG400" s="28">
        <v>649</v>
      </c>
      <c r="AI400" s="63">
        <v>44937</v>
      </c>
      <c r="AJ400" s="73">
        <v>46043</v>
      </c>
      <c r="AK4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00" s="30"/>
      <c r="AN400" s="20" t="s">
        <v>99</v>
      </c>
      <c r="AP400" s="20" t="s">
        <v>84</v>
      </c>
      <c r="AQ400" s="20" t="s">
        <v>100</v>
      </c>
    </row>
    <row r="401" spans="1:43" ht="16">
      <c r="A401" s="20">
        <v>8113117996</v>
      </c>
      <c r="B401" s="21">
        <v>10949</v>
      </c>
      <c r="C401" s="20" t="s">
        <v>2105</v>
      </c>
      <c r="D401" s="20" t="s">
        <v>983</v>
      </c>
      <c r="E401" s="20" t="s">
        <v>1000</v>
      </c>
      <c r="F401" s="20" t="s">
        <v>47</v>
      </c>
      <c r="G401" s="20" t="s">
        <v>47</v>
      </c>
      <c r="H401" s="20" t="s">
        <v>48</v>
      </c>
      <c r="I401" s="20" t="s">
        <v>47</v>
      </c>
      <c r="J401" s="22" t="s">
        <v>2106</v>
      </c>
      <c r="K401" s="22" t="s">
        <v>2106</v>
      </c>
      <c r="L401" s="23" t="s">
        <v>2107</v>
      </c>
      <c r="M401" s="24" t="s">
        <v>7737</v>
      </c>
      <c r="N401" s="23">
        <v>18652000</v>
      </c>
      <c r="O401" s="25" t="s">
        <v>74</v>
      </c>
      <c r="P401" s="25" t="s">
        <v>53</v>
      </c>
      <c r="Q401" s="20" t="s">
        <v>2108</v>
      </c>
      <c r="R401" s="20">
        <v>43141263</v>
      </c>
      <c r="S401" s="25" t="s">
        <v>2109</v>
      </c>
      <c r="T401" s="26" t="s">
        <v>57</v>
      </c>
      <c r="U401" s="23">
        <v>860900062337407</v>
      </c>
      <c r="V401" s="27" t="s">
        <v>57</v>
      </c>
      <c r="W401" s="20" t="s">
        <v>58</v>
      </c>
      <c r="X401" s="20" t="s">
        <v>59</v>
      </c>
      <c r="Y401" s="20" t="s">
        <v>59</v>
      </c>
      <c r="Z401" s="20" t="s">
        <v>167</v>
      </c>
      <c r="AA401" s="20" t="s">
        <v>168</v>
      </c>
      <c r="AB401" s="20" t="s">
        <v>96</v>
      </c>
      <c r="AC401" s="28">
        <v>369.83</v>
      </c>
      <c r="AD401" s="28">
        <f>SUM(BASE[[#This Row],[MONTO DE RENTA ]]*1.16)</f>
        <v>429.00279999999998</v>
      </c>
      <c r="AE401" s="28" t="s">
        <v>63</v>
      </c>
      <c r="AF401" s="28">
        <v>369.82758620689657</v>
      </c>
      <c r="AG401" s="28">
        <v>429</v>
      </c>
      <c r="AH401" s="22" t="s">
        <v>64</v>
      </c>
      <c r="AI401" s="63">
        <v>45703</v>
      </c>
      <c r="AJ401" s="63">
        <v>46433</v>
      </c>
      <c r="AK4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1" s="30"/>
      <c r="AN401" s="20" t="s">
        <v>65</v>
      </c>
      <c r="AP401" s="20" t="s">
        <v>84</v>
      </c>
    </row>
    <row r="402" spans="1:43" ht="16">
      <c r="A402" s="20">
        <v>8113852692</v>
      </c>
      <c r="B402" s="21">
        <v>525007</v>
      </c>
      <c r="C402" s="20" t="s">
        <v>2110</v>
      </c>
      <c r="D402" s="20" t="s">
        <v>1068</v>
      </c>
      <c r="E402" s="20" t="s">
        <v>2111</v>
      </c>
      <c r="F402" s="20" t="s">
        <v>451</v>
      </c>
      <c r="G402" s="20" t="s">
        <v>248</v>
      </c>
      <c r="H402" s="20" t="s">
        <v>48</v>
      </c>
      <c r="I402" s="20" t="s">
        <v>451</v>
      </c>
      <c r="J402" s="22" t="s">
        <v>2112</v>
      </c>
      <c r="K402" s="22" t="s">
        <v>2112</v>
      </c>
      <c r="L402" s="23" t="s">
        <v>2107</v>
      </c>
      <c r="M402" s="24" t="s">
        <v>7737</v>
      </c>
      <c r="N402" s="23">
        <v>18652000</v>
      </c>
      <c r="O402" s="25" t="s">
        <v>74</v>
      </c>
      <c r="P402" s="25" t="s">
        <v>53</v>
      </c>
      <c r="Q402" s="20" t="s">
        <v>2113</v>
      </c>
      <c r="R402" s="20">
        <v>43121123</v>
      </c>
      <c r="S402" s="25" t="s">
        <v>2114</v>
      </c>
      <c r="T402" s="26" t="s">
        <v>57</v>
      </c>
      <c r="U402" s="23">
        <v>860900062336201</v>
      </c>
      <c r="V402" s="27" t="s">
        <v>57</v>
      </c>
      <c r="W402" s="20" t="s">
        <v>58</v>
      </c>
      <c r="X402" s="20" t="s">
        <v>59</v>
      </c>
      <c r="Y402" s="20" t="s">
        <v>59</v>
      </c>
      <c r="Z402" s="20" t="s">
        <v>167</v>
      </c>
      <c r="AA402" s="20" t="s">
        <v>168</v>
      </c>
      <c r="AB402" s="20" t="s">
        <v>96</v>
      </c>
      <c r="AC402" s="28">
        <v>369.83</v>
      </c>
      <c r="AD402" s="28">
        <f>SUM(BASE[[#This Row],[MONTO DE RENTA ]]*1.16)</f>
        <v>429.00279999999998</v>
      </c>
      <c r="AE402" s="28" t="s">
        <v>63</v>
      </c>
      <c r="AF402" s="28">
        <v>369.82758620689657</v>
      </c>
      <c r="AG402" s="28">
        <v>429</v>
      </c>
      <c r="AH402" s="22" t="s">
        <v>64</v>
      </c>
      <c r="AI402" s="63">
        <v>45703</v>
      </c>
      <c r="AJ402" s="63">
        <v>46433</v>
      </c>
      <c r="AK4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2" s="30"/>
      <c r="AN402" s="20" t="s">
        <v>65</v>
      </c>
      <c r="AP402" s="20" t="s">
        <v>84</v>
      </c>
    </row>
    <row r="403" spans="1:43" ht="16">
      <c r="A403" s="20">
        <v>8112025291</v>
      </c>
      <c r="B403" s="21">
        <v>11243</v>
      </c>
      <c r="C403" s="20" t="s">
        <v>2115</v>
      </c>
      <c r="D403" s="20" t="s">
        <v>2116</v>
      </c>
      <c r="E403" s="20" t="s">
        <v>983</v>
      </c>
      <c r="F403" s="20" t="s">
        <v>257</v>
      </c>
      <c r="G403" s="20" t="s">
        <v>257</v>
      </c>
      <c r="H403" s="20" t="s">
        <v>48</v>
      </c>
      <c r="I403" s="20" t="s">
        <v>257</v>
      </c>
      <c r="J403" s="22" t="s">
        <v>2117</v>
      </c>
      <c r="K403" s="32" t="s">
        <v>2118</v>
      </c>
      <c r="L403" s="23" t="s">
        <v>2107</v>
      </c>
      <c r="M403" s="24" t="s">
        <v>7737</v>
      </c>
      <c r="N403" s="23">
        <v>18652000</v>
      </c>
      <c r="O403" s="25" t="s">
        <v>74</v>
      </c>
      <c r="P403" s="25" t="s">
        <v>53</v>
      </c>
      <c r="Q403" s="20" t="s">
        <v>2119</v>
      </c>
      <c r="R403" s="20">
        <v>43090334</v>
      </c>
      <c r="S403" s="25" t="s">
        <v>2120</v>
      </c>
      <c r="T403" s="26" t="s">
        <v>57</v>
      </c>
      <c r="U403" s="23">
        <v>860478062096604</v>
      </c>
      <c r="V403" s="27" t="s">
        <v>57</v>
      </c>
      <c r="W403" s="20" t="s">
        <v>302</v>
      </c>
      <c r="X403" s="20" t="s">
        <v>303</v>
      </c>
      <c r="Y403" s="20" t="s">
        <v>303</v>
      </c>
      <c r="Z403" s="20" t="s">
        <v>80</v>
      </c>
      <c r="AA403" s="20" t="s">
        <v>81</v>
      </c>
      <c r="AB403" s="20" t="s">
        <v>82</v>
      </c>
      <c r="AC403" s="28">
        <v>559.48</v>
      </c>
      <c r="AD403" s="28">
        <f>SUM(BASE[[#This Row],[MONTO DE RENTA ]]*1.16)</f>
        <v>648.99680000000001</v>
      </c>
      <c r="AE403" s="28" t="s">
        <v>83</v>
      </c>
      <c r="AF403" s="28">
        <v>559.48275862068965</v>
      </c>
      <c r="AG403" s="28">
        <v>649</v>
      </c>
      <c r="AI403" s="63">
        <v>44937</v>
      </c>
      <c r="AJ403" s="84">
        <v>46681</v>
      </c>
      <c r="AK40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403" s="30"/>
      <c r="AN403" s="20" t="s">
        <v>65</v>
      </c>
      <c r="AP403" s="20" t="s">
        <v>84</v>
      </c>
    </row>
    <row r="404" spans="1:43" ht="16">
      <c r="A404" s="20">
        <v>8115666713</v>
      </c>
      <c r="B404" s="147">
        <v>1011337</v>
      </c>
      <c r="C404" s="20" t="s">
        <v>2121</v>
      </c>
      <c r="D404" s="20" t="s">
        <v>187</v>
      </c>
      <c r="E404" s="20" t="s">
        <v>102</v>
      </c>
      <c r="F404" s="20" t="s">
        <v>384</v>
      </c>
      <c r="G404" s="20" t="s">
        <v>104</v>
      </c>
      <c r="H404" s="20" t="s">
        <v>48</v>
      </c>
      <c r="I404" s="20" t="s">
        <v>384</v>
      </c>
      <c r="J404" s="32" t="s">
        <v>2122</v>
      </c>
      <c r="K404" s="32" t="s">
        <v>2122</v>
      </c>
      <c r="L404" s="23" t="s">
        <v>2107</v>
      </c>
      <c r="M404" s="24" t="s">
        <v>7737</v>
      </c>
      <c r="N404" s="23">
        <v>18652000</v>
      </c>
      <c r="O404" s="25" t="s">
        <v>74</v>
      </c>
      <c r="P404" s="25" t="s">
        <v>53</v>
      </c>
      <c r="Q404" s="20" t="s">
        <v>2123</v>
      </c>
      <c r="R404" s="20">
        <v>43090243</v>
      </c>
      <c r="S404" s="25" t="s">
        <v>2124</v>
      </c>
      <c r="T404" s="26" t="s">
        <v>57</v>
      </c>
      <c r="U404" s="23">
        <v>860478060690366</v>
      </c>
      <c r="V404" s="27" t="s">
        <v>57</v>
      </c>
      <c r="W404" s="20" t="s">
        <v>302</v>
      </c>
      <c r="X404" s="20" t="s">
        <v>303</v>
      </c>
      <c r="Y404" s="20" t="s">
        <v>303</v>
      </c>
      <c r="Z404" s="20" t="s">
        <v>80</v>
      </c>
      <c r="AA404" s="20" t="s">
        <v>81</v>
      </c>
      <c r="AB404" s="20" t="s">
        <v>82</v>
      </c>
      <c r="AC404" s="28">
        <v>559.48</v>
      </c>
      <c r="AD404" s="28">
        <f>SUM(BASE[[#This Row],[MONTO DE RENTA ]]*1.16)</f>
        <v>648.99680000000001</v>
      </c>
      <c r="AE404" s="28" t="s">
        <v>83</v>
      </c>
      <c r="AF404" s="28">
        <v>559.48275862068965</v>
      </c>
      <c r="AG404" s="28">
        <v>649</v>
      </c>
      <c r="AI404" s="63">
        <v>44937</v>
      </c>
      <c r="AJ404" s="84">
        <v>46681</v>
      </c>
      <c r="AK40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404" s="30"/>
      <c r="AN404" s="20" t="s">
        <v>65</v>
      </c>
      <c r="AP404" s="20" t="s">
        <v>84</v>
      </c>
    </row>
    <row r="405" spans="1:43" ht="16">
      <c r="A405" s="20">
        <v>8113740611</v>
      </c>
      <c r="B405" s="49">
        <v>340074</v>
      </c>
      <c r="C405" s="20" t="s">
        <v>2105</v>
      </c>
      <c r="D405" s="20" t="s">
        <v>2125</v>
      </c>
      <c r="E405" s="20" t="s">
        <v>657</v>
      </c>
      <c r="F405" s="20" t="s">
        <v>70</v>
      </c>
      <c r="G405" s="20" t="s">
        <v>70</v>
      </c>
      <c r="H405" s="20" t="s">
        <v>48</v>
      </c>
      <c r="I405" s="20" t="s">
        <v>70</v>
      </c>
      <c r="J405" s="22" t="s">
        <v>2126</v>
      </c>
      <c r="K405" s="22" t="s">
        <v>2126</v>
      </c>
      <c r="L405" s="23" t="s">
        <v>2107</v>
      </c>
      <c r="M405" s="24" t="s">
        <v>7737</v>
      </c>
      <c r="N405" s="23">
        <v>18652000</v>
      </c>
      <c r="O405" s="25" t="s">
        <v>74</v>
      </c>
      <c r="P405" s="25" t="s">
        <v>53</v>
      </c>
      <c r="Q405" s="20" t="s">
        <v>2127</v>
      </c>
      <c r="R405" s="20">
        <v>42943890</v>
      </c>
      <c r="S405" s="25" t="s">
        <v>55</v>
      </c>
      <c r="T405" s="26" t="s">
        <v>56</v>
      </c>
      <c r="U405" s="23">
        <v>357654178854744</v>
      </c>
      <c r="V405" s="27" t="s">
        <v>78</v>
      </c>
      <c r="W405" s="20" t="s">
        <v>95</v>
      </c>
      <c r="X405" s="20" t="s">
        <v>95</v>
      </c>
      <c r="Y405" s="20" t="s">
        <v>95</v>
      </c>
      <c r="Z405" s="20" t="s">
        <v>60</v>
      </c>
      <c r="AA405" s="20" t="s">
        <v>61</v>
      </c>
      <c r="AB405" s="20" t="s">
        <v>82</v>
      </c>
      <c r="AC405" s="28">
        <v>559.48</v>
      </c>
      <c r="AD405" s="28">
        <f>SUM(BASE[[#This Row],[MONTO DE RENTA ]]*1.16)</f>
        <v>648.99680000000001</v>
      </c>
      <c r="AE405" s="28" t="s">
        <v>83</v>
      </c>
      <c r="AF405" s="28">
        <v>559.48275862068965</v>
      </c>
      <c r="AG405" s="28">
        <v>649</v>
      </c>
      <c r="AI405" s="63">
        <v>44937</v>
      </c>
      <c r="AJ405" s="73">
        <v>46043</v>
      </c>
      <c r="AK4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05" s="30"/>
      <c r="AN405" s="20" t="s">
        <v>99</v>
      </c>
      <c r="AP405" s="20" t="s">
        <v>84</v>
      </c>
      <c r="AQ405" s="20" t="s">
        <v>100</v>
      </c>
    </row>
    <row r="406" spans="1:43" ht="16">
      <c r="A406" s="20">
        <v>8661244165</v>
      </c>
      <c r="B406" s="21">
        <v>535002</v>
      </c>
      <c r="C406" s="20" t="s">
        <v>2128</v>
      </c>
      <c r="D406" s="20" t="s">
        <v>255</v>
      </c>
      <c r="E406" s="20" t="s">
        <v>2129</v>
      </c>
      <c r="F406" s="20" t="s">
        <v>1038</v>
      </c>
      <c r="G406" s="20" t="s">
        <v>47</v>
      </c>
      <c r="H406" s="20" t="s">
        <v>48</v>
      </c>
      <c r="I406" s="20" t="s">
        <v>1038</v>
      </c>
      <c r="J406" s="22" t="s">
        <v>2130</v>
      </c>
      <c r="K406" s="22" t="s">
        <v>2130</v>
      </c>
      <c r="L406" s="23" t="s">
        <v>2131</v>
      </c>
      <c r="M406" s="24" t="s">
        <v>7739</v>
      </c>
      <c r="N406" s="23">
        <v>18653000</v>
      </c>
      <c r="O406" s="25" t="s">
        <v>74</v>
      </c>
      <c r="P406" s="25" t="s">
        <v>53</v>
      </c>
      <c r="Q406" s="20" t="s">
        <v>2132</v>
      </c>
      <c r="R406" s="20">
        <v>43207322</v>
      </c>
      <c r="S406" s="25" t="s">
        <v>2133</v>
      </c>
      <c r="T406" s="26" t="s">
        <v>57</v>
      </c>
      <c r="U406" s="23">
        <v>860900062319165</v>
      </c>
      <c r="V406" s="27" t="s">
        <v>57</v>
      </c>
      <c r="W406" s="20" t="s">
        <v>58</v>
      </c>
      <c r="X406" s="20" t="s">
        <v>59</v>
      </c>
      <c r="Y406" s="20" t="s">
        <v>59</v>
      </c>
      <c r="Z406" s="20" t="s">
        <v>167</v>
      </c>
      <c r="AA406" s="20" t="s">
        <v>168</v>
      </c>
      <c r="AB406" s="20" t="s">
        <v>96</v>
      </c>
      <c r="AC406" s="28">
        <v>369.83</v>
      </c>
      <c r="AD406" s="28">
        <f>SUM(BASE[[#This Row],[MONTO DE RENTA ]]*1.16)</f>
        <v>429.00279999999998</v>
      </c>
      <c r="AE406" s="28" t="s">
        <v>63</v>
      </c>
      <c r="AF406" s="28">
        <v>369.82758620689657</v>
      </c>
      <c r="AG406" s="28">
        <v>429</v>
      </c>
      <c r="AH406" s="22" t="s">
        <v>64</v>
      </c>
      <c r="AI406" s="63">
        <v>45713</v>
      </c>
      <c r="AJ406" s="63">
        <v>46433</v>
      </c>
      <c r="AK4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6" s="30"/>
      <c r="AN406" s="20" t="s">
        <v>65</v>
      </c>
      <c r="AP406" s="20" t="s">
        <v>84</v>
      </c>
    </row>
    <row r="407" spans="1:43" ht="16">
      <c r="A407" s="20">
        <v>8661221537</v>
      </c>
      <c r="B407" s="21">
        <v>535088</v>
      </c>
      <c r="C407" s="20" t="s">
        <v>2134</v>
      </c>
      <c r="D407" s="20" t="s">
        <v>461</v>
      </c>
      <c r="E407" s="20" t="s">
        <v>2135</v>
      </c>
      <c r="F407" s="20" t="s">
        <v>451</v>
      </c>
      <c r="G407" s="20" t="s">
        <v>248</v>
      </c>
      <c r="H407" s="20" t="s">
        <v>48</v>
      </c>
      <c r="I407" s="20" t="s">
        <v>451</v>
      </c>
      <c r="J407" s="22" t="s">
        <v>2136</v>
      </c>
      <c r="K407" s="22" t="s">
        <v>2136</v>
      </c>
      <c r="L407" s="23" t="s">
        <v>2131</v>
      </c>
      <c r="M407" s="24" t="s">
        <v>7739</v>
      </c>
      <c r="N407" s="23">
        <v>18653000</v>
      </c>
      <c r="O407" s="25" t="s">
        <v>74</v>
      </c>
      <c r="P407" s="25" t="s">
        <v>53</v>
      </c>
      <c r="Q407" s="20" t="s">
        <v>2137</v>
      </c>
      <c r="R407" s="20">
        <v>43121156</v>
      </c>
      <c r="S407" s="25" t="s">
        <v>2138</v>
      </c>
      <c r="T407" s="26" t="s">
        <v>57</v>
      </c>
      <c r="U407" s="23">
        <v>860900062337498</v>
      </c>
      <c r="V407" s="27" t="s">
        <v>57</v>
      </c>
      <c r="W407" s="20" t="s">
        <v>58</v>
      </c>
      <c r="X407" s="20" t="s">
        <v>59</v>
      </c>
      <c r="Y407" s="20" t="s">
        <v>59</v>
      </c>
      <c r="Z407" s="20" t="s">
        <v>167</v>
      </c>
      <c r="AA407" s="20" t="s">
        <v>168</v>
      </c>
      <c r="AB407" s="20" t="s">
        <v>96</v>
      </c>
      <c r="AC407" s="28">
        <v>369.83</v>
      </c>
      <c r="AD407" s="28">
        <f>SUM(BASE[[#This Row],[MONTO DE RENTA ]]*1.16)</f>
        <v>429.00279999999998</v>
      </c>
      <c r="AE407" s="28" t="s">
        <v>63</v>
      </c>
      <c r="AF407" s="28">
        <v>369.82758620689657</v>
      </c>
      <c r="AG407" s="28">
        <v>429</v>
      </c>
      <c r="AH407" s="22" t="s">
        <v>64</v>
      </c>
      <c r="AI407" s="63">
        <v>45713</v>
      </c>
      <c r="AJ407" s="63">
        <v>46433</v>
      </c>
      <c r="AK4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7" s="30"/>
      <c r="AN407" s="20" t="s">
        <v>65</v>
      </c>
      <c r="AP407" s="20" t="s">
        <v>84</v>
      </c>
    </row>
    <row r="408" spans="1:43" ht="16">
      <c r="A408" s="20">
        <v>8661138367</v>
      </c>
      <c r="B408" s="21">
        <v>995461</v>
      </c>
      <c r="C408" s="20" t="s">
        <v>2139</v>
      </c>
      <c r="D408" s="20" t="s">
        <v>442</v>
      </c>
      <c r="E408" s="20" t="s">
        <v>2140</v>
      </c>
      <c r="F408" s="20" t="s">
        <v>257</v>
      </c>
      <c r="G408" s="20" t="s">
        <v>257</v>
      </c>
      <c r="H408" s="20" t="s">
        <v>48</v>
      </c>
      <c r="I408" s="20" t="s">
        <v>257</v>
      </c>
      <c r="J408" s="22" t="s">
        <v>2141</v>
      </c>
      <c r="K408" s="22" t="s">
        <v>2141</v>
      </c>
      <c r="L408" s="23" t="s">
        <v>2131</v>
      </c>
      <c r="M408" s="24" t="s">
        <v>7739</v>
      </c>
      <c r="N408" s="23">
        <v>18653000</v>
      </c>
      <c r="O408" s="25" t="s">
        <v>74</v>
      </c>
      <c r="P408" s="25" t="s">
        <v>53</v>
      </c>
      <c r="Q408" s="20" t="s">
        <v>2142</v>
      </c>
      <c r="R408" s="20">
        <v>43090161</v>
      </c>
      <c r="S408" s="25" t="s">
        <v>2143</v>
      </c>
      <c r="T408" s="26" t="s">
        <v>57</v>
      </c>
      <c r="U408" s="23">
        <v>860478064800094</v>
      </c>
      <c r="V408" s="45" t="s">
        <v>110</v>
      </c>
      <c r="W408" s="20" t="s">
        <v>302</v>
      </c>
      <c r="X408" s="20" t="s">
        <v>303</v>
      </c>
      <c r="Y408" s="20" t="s">
        <v>303</v>
      </c>
      <c r="Z408" s="20" t="s">
        <v>131</v>
      </c>
      <c r="AA408" s="20" t="s">
        <v>132</v>
      </c>
      <c r="AB408" s="20" t="s">
        <v>82</v>
      </c>
      <c r="AC408" s="28">
        <v>559.48</v>
      </c>
      <c r="AD408" s="28">
        <f>SUM(BASE[[#This Row],[MONTO DE RENTA ]]*1.16)</f>
        <v>648.99680000000001</v>
      </c>
      <c r="AE408" s="28" t="s">
        <v>83</v>
      </c>
      <c r="AF408" s="28">
        <v>559.48275862068965</v>
      </c>
      <c r="AG408" s="28">
        <v>649</v>
      </c>
      <c r="AH408" s="22" t="s">
        <v>64</v>
      </c>
      <c r="AI408" s="63">
        <v>45703</v>
      </c>
      <c r="AJ408" s="63">
        <v>46433</v>
      </c>
      <c r="AK4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8" s="30"/>
      <c r="AN408" s="20" t="s">
        <v>65</v>
      </c>
      <c r="AP408" s="20" t="s">
        <v>84</v>
      </c>
    </row>
    <row r="409" spans="1:43" ht="16">
      <c r="A409" s="20">
        <v>8661134312</v>
      </c>
      <c r="B409" s="21">
        <v>535145</v>
      </c>
      <c r="C409" s="20" t="s">
        <v>2144</v>
      </c>
      <c r="D409" s="20" t="s">
        <v>1842</v>
      </c>
      <c r="E409" s="20" t="s">
        <v>817</v>
      </c>
      <c r="F409" s="20" t="s">
        <v>104</v>
      </c>
      <c r="G409" s="20" t="s">
        <v>104</v>
      </c>
      <c r="H409" s="20" t="s">
        <v>48</v>
      </c>
      <c r="I409" s="20" t="s">
        <v>104</v>
      </c>
      <c r="J409" s="32" t="s">
        <v>2145</v>
      </c>
      <c r="K409" s="32" t="s">
        <v>2145</v>
      </c>
      <c r="L409" s="23" t="s">
        <v>2131</v>
      </c>
      <c r="M409" s="24" t="s">
        <v>7739</v>
      </c>
      <c r="N409" s="23">
        <v>18653000</v>
      </c>
      <c r="O409" s="25" t="s">
        <v>74</v>
      </c>
      <c r="P409" s="25" t="s">
        <v>53</v>
      </c>
      <c r="Q409" s="20" t="s">
        <v>2146</v>
      </c>
      <c r="R409" s="20">
        <v>43090153</v>
      </c>
      <c r="S409" s="25" t="s">
        <v>2147</v>
      </c>
      <c r="T409" s="26" t="s">
        <v>57</v>
      </c>
      <c r="U409" s="23">
        <v>860478064985317</v>
      </c>
      <c r="V409" s="45" t="s">
        <v>110</v>
      </c>
      <c r="W409" s="20" t="s">
        <v>302</v>
      </c>
      <c r="X409" s="20" t="s">
        <v>303</v>
      </c>
      <c r="Y409" s="20" t="s">
        <v>303</v>
      </c>
      <c r="Z409" s="20" t="s">
        <v>80</v>
      </c>
      <c r="AA409" s="20" t="s">
        <v>81</v>
      </c>
      <c r="AB409" s="20" t="s">
        <v>82</v>
      </c>
      <c r="AC409" s="28">
        <v>559.48</v>
      </c>
      <c r="AD409" s="28">
        <f>SUM(BASE[[#This Row],[MONTO DE RENTA ]]*1.16)</f>
        <v>648.99680000000001</v>
      </c>
      <c r="AE409" s="28" t="s">
        <v>83</v>
      </c>
      <c r="AF409" s="28">
        <v>559.48275862068965</v>
      </c>
      <c r="AG409" s="28">
        <v>649</v>
      </c>
      <c r="AH409" s="22" t="s">
        <v>64</v>
      </c>
      <c r="AI409" s="63">
        <v>45713</v>
      </c>
      <c r="AJ409" s="63">
        <v>46433</v>
      </c>
      <c r="AK4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09" s="30"/>
      <c r="AN409" s="20" t="s">
        <v>65</v>
      </c>
      <c r="AP409" s="20" t="s">
        <v>84</v>
      </c>
    </row>
    <row r="410" spans="1:43" s="51" customFormat="1" ht="16">
      <c r="A410" s="20">
        <v>8661094479</v>
      </c>
      <c r="B410" s="21">
        <v>999845</v>
      </c>
      <c r="C410" s="20" t="s">
        <v>1403</v>
      </c>
      <c r="D410" s="20" t="s">
        <v>1789</v>
      </c>
      <c r="E410" s="20" t="s">
        <v>358</v>
      </c>
      <c r="F410" s="20" t="s">
        <v>104</v>
      </c>
      <c r="G410" s="20" t="s">
        <v>104</v>
      </c>
      <c r="H410" s="20" t="s">
        <v>48</v>
      </c>
      <c r="I410" s="20" t="s">
        <v>104</v>
      </c>
      <c r="J410" s="32" t="s">
        <v>2148</v>
      </c>
      <c r="K410" s="32" t="s">
        <v>2148</v>
      </c>
      <c r="L410" s="23" t="s">
        <v>2131</v>
      </c>
      <c r="M410" s="24" t="s">
        <v>7739</v>
      </c>
      <c r="N410" s="23">
        <v>18653000</v>
      </c>
      <c r="O410" s="25" t="s">
        <v>74</v>
      </c>
      <c r="P410" s="25" t="s">
        <v>53</v>
      </c>
      <c r="Q410" s="20" t="s">
        <v>2149</v>
      </c>
      <c r="R410" s="20">
        <v>43090147</v>
      </c>
      <c r="S410" s="25" t="s">
        <v>2150</v>
      </c>
      <c r="T410" s="26" t="s">
        <v>57</v>
      </c>
      <c r="U410" s="23">
        <v>860478064985374</v>
      </c>
      <c r="V410" s="45" t="s">
        <v>110</v>
      </c>
      <c r="W410" s="20" t="s">
        <v>302</v>
      </c>
      <c r="X410" s="20" t="s">
        <v>303</v>
      </c>
      <c r="Y410" s="20" t="s">
        <v>303</v>
      </c>
      <c r="Z410" s="20" t="s">
        <v>80</v>
      </c>
      <c r="AA410" s="20" t="s">
        <v>81</v>
      </c>
      <c r="AB410" s="20" t="s">
        <v>82</v>
      </c>
      <c r="AC410" s="28">
        <v>559.48</v>
      </c>
      <c r="AD410" s="28">
        <f>SUM(BASE[[#This Row],[MONTO DE RENTA ]]*1.16)</f>
        <v>648.99680000000001</v>
      </c>
      <c r="AE410" s="28" t="s">
        <v>83</v>
      </c>
      <c r="AF410" s="28">
        <v>559.48275862068965</v>
      </c>
      <c r="AG410" s="28">
        <v>649</v>
      </c>
      <c r="AH410" s="22" t="s">
        <v>64</v>
      </c>
      <c r="AI410" s="63">
        <v>45703</v>
      </c>
      <c r="AJ410" s="63">
        <v>46433</v>
      </c>
      <c r="AK4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410" s="20"/>
      <c r="AM410" s="30"/>
      <c r="AN410" s="20" t="s">
        <v>65</v>
      </c>
      <c r="AO410" s="20"/>
      <c r="AP410" s="20" t="s">
        <v>84</v>
      </c>
      <c r="AQ410" s="20"/>
    </row>
    <row r="411" spans="1:43" ht="16">
      <c r="A411" s="20">
        <v>8661657956</v>
      </c>
      <c r="B411" s="49">
        <v>1031696</v>
      </c>
      <c r="C411" s="20" t="s">
        <v>2151</v>
      </c>
      <c r="D411" s="20" t="s">
        <v>2152</v>
      </c>
      <c r="E411" s="20" t="s">
        <v>187</v>
      </c>
      <c r="F411" s="20" t="s">
        <v>2153</v>
      </c>
      <c r="G411" s="20" t="s">
        <v>122</v>
      </c>
      <c r="H411" s="20" t="s">
        <v>48</v>
      </c>
      <c r="I411" s="20" t="s">
        <v>2153</v>
      </c>
      <c r="J411" s="22" t="s">
        <v>2154</v>
      </c>
      <c r="K411" s="32" t="s">
        <v>2155</v>
      </c>
      <c r="L411" s="23" t="s">
        <v>2131</v>
      </c>
      <c r="M411" s="24" t="s">
        <v>7739</v>
      </c>
      <c r="N411" s="23">
        <v>18653000</v>
      </c>
      <c r="O411" s="25" t="s">
        <v>74</v>
      </c>
      <c r="P411" s="25" t="s">
        <v>53</v>
      </c>
      <c r="Q411" s="20" t="s">
        <v>2156</v>
      </c>
      <c r="R411" s="20">
        <v>43514794</v>
      </c>
      <c r="S411" s="25" t="s">
        <v>55</v>
      </c>
      <c r="T411" s="26" t="s">
        <v>56</v>
      </c>
      <c r="U411" s="23">
        <v>865356065720716</v>
      </c>
      <c r="V411" s="27" t="s">
        <v>183</v>
      </c>
      <c r="W411" s="20" t="s">
        <v>129</v>
      </c>
      <c r="X411" s="20" t="s">
        <v>130</v>
      </c>
      <c r="Y411" s="20" t="s">
        <v>130</v>
      </c>
      <c r="Z411" s="20" t="s">
        <v>60</v>
      </c>
      <c r="AA411" s="20" t="s">
        <v>61</v>
      </c>
      <c r="AB411" s="20" t="s">
        <v>96</v>
      </c>
      <c r="AC411" s="28">
        <v>369.83</v>
      </c>
      <c r="AD411" s="28">
        <f>SUM(BASE[[#This Row],[MONTO DE RENTA ]]*1.16)</f>
        <v>429.00279999999998</v>
      </c>
      <c r="AE411" s="28" t="s">
        <v>63</v>
      </c>
      <c r="AF411" s="28">
        <v>369.82758620689657</v>
      </c>
      <c r="AG411" s="28">
        <v>429</v>
      </c>
      <c r="AI411" s="63">
        <v>44937</v>
      </c>
      <c r="AJ411" s="73">
        <v>46043</v>
      </c>
      <c r="AK4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11" s="30"/>
      <c r="AN411" s="20" t="s">
        <v>99</v>
      </c>
      <c r="AP411" s="20" t="s">
        <v>84</v>
      </c>
      <c r="AQ411" s="20" t="s">
        <v>100</v>
      </c>
    </row>
    <row r="412" spans="1:43" ht="16">
      <c r="A412" s="20">
        <v>8661454282</v>
      </c>
      <c r="B412" s="49">
        <v>100531</v>
      </c>
      <c r="C412" s="20" t="s">
        <v>2157</v>
      </c>
      <c r="D412" s="20" t="s">
        <v>411</v>
      </c>
      <c r="E412" s="20" t="s">
        <v>2158</v>
      </c>
      <c r="F412" s="20" t="s">
        <v>70</v>
      </c>
      <c r="G412" s="20" t="s">
        <v>70</v>
      </c>
      <c r="H412" s="20" t="s">
        <v>48</v>
      </c>
      <c r="I412" s="20" t="s">
        <v>70</v>
      </c>
      <c r="J412" s="22" t="s">
        <v>2159</v>
      </c>
      <c r="K412" s="22" t="s">
        <v>2159</v>
      </c>
      <c r="L412" s="23" t="s">
        <v>2131</v>
      </c>
      <c r="M412" s="24" t="s">
        <v>7739</v>
      </c>
      <c r="N412" s="23">
        <v>18653000</v>
      </c>
      <c r="O412" s="25" t="s">
        <v>74</v>
      </c>
      <c r="P412" s="25" t="s">
        <v>53</v>
      </c>
      <c r="Q412" s="20" t="s">
        <v>2160</v>
      </c>
      <c r="R412" s="20">
        <v>42977394</v>
      </c>
      <c r="S412" s="25" t="s">
        <v>55</v>
      </c>
      <c r="T412" s="26" t="s">
        <v>56</v>
      </c>
      <c r="U412" s="23">
        <v>357654178519529</v>
      </c>
      <c r="V412" s="27" t="s">
        <v>78</v>
      </c>
      <c r="W412" s="20" t="s">
        <v>95</v>
      </c>
      <c r="X412" s="20" t="s">
        <v>95</v>
      </c>
      <c r="Y412" s="20" t="s">
        <v>95</v>
      </c>
      <c r="Z412" s="20" t="s">
        <v>60</v>
      </c>
      <c r="AA412" s="20" t="s">
        <v>61</v>
      </c>
      <c r="AB412" s="20" t="s">
        <v>82</v>
      </c>
      <c r="AC412" s="28">
        <v>559.48</v>
      </c>
      <c r="AD412" s="28">
        <f>SUM(BASE[[#This Row],[MONTO DE RENTA ]]*1.16)</f>
        <v>648.99680000000001</v>
      </c>
      <c r="AE412" s="28" t="s">
        <v>83</v>
      </c>
      <c r="AF412" s="28">
        <v>559.48275862068965</v>
      </c>
      <c r="AG412" s="28">
        <v>649</v>
      </c>
      <c r="AI412" s="63">
        <v>44937</v>
      </c>
      <c r="AJ412" s="73">
        <v>46043</v>
      </c>
      <c r="AK4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12" s="30"/>
      <c r="AN412" s="20" t="s">
        <v>99</v>
      </c>
      <c r="AP412" s="20" t="s">
        <v>84</v>
      </c>
      <c r="AQ412" s="20" t="s">
        <v>100</v>
      </c>
    </row>
    <row r="413" spans="1:43" ht="16">
      <c r="A413" s="20">
        <v>6221305365</v>
      </c>
      <c r="B413" s="21">
        <v>1021136</v>
      </c>
      <c r="C413" s="20" t="s">
        <v>475</v>
      </c>
      <c r="D413" s="20" t="s">
        <v>2161</v>
      </c>
      <c r="E413" s="20" t="s">
        <v>143</v>
      </c>
      <c r="F413" s="20" t="s">
        <v>47</v>
      </c>
      <c r="G413" s="20" t="s">
        <v>47</v>
      </c>
      <c r="H413" s="20" t="s">
        <v>48</v>
      </c>
      <c r="I413" s="20" t="s">
        <v>47</v>
      </c>
      <c r="J413" s="22" t="s">
        <v>2162</v>
      </c>
      <c r="K413" s="22" t="s">
        <v>2162</v>
      </c>
      <c r="L413" s="23" t="s">
        <v>2163</v>
      </c>
      <c r="M413" s="24" t="s">
        <v>7745</v>
      </c>
      <c r="N413" s="23">
        <v>18654000</v>
      </c>
      <c r="O413" s="25" t="s">
        <v>866</v>
      </c>
      <c r="P413" s="25" t="s">
        <v>53</v>
      </c>
      <c r="Q413" s="20" t="s">
        <v>2164</v>
      </c>
      <c r="R413" s="20">
        <v>22031379</v>
      </c>
      <c r="S413" s="25" t="s">
        <v>2165</v>
      </c>
      <c r="T413" s="26" t="s">
        <v>57</v>
      </c>
      <c r="U413" s="23">
        <v>860900062337886</v>
      </c>
      <c r="V413" s="27" t="s">
        <v>57</v>
      </c>
      <c r="W413" s="20" t="s">
        <v>58</v>
      </c>
      <c r="X413" s="20" t="s">
        <v>59</v>
      </c>
      <c r="Y413" s="20" t="s">
        <v>59</v>
      </c>
      <c r="Z413" s="20" t="s">
        <v>60</v>
      </c>
      <c r="AA413" s="20" t="s">
        <v>61</v>
      </c>
      <c r="AB413" s="20" t="s">
        <v>96</v>
      </c>
      <c r="AC413" s="28">
        <v>369.83</v>
      </c>
      <c r="AD413" s="28">
        <f>SUM(BASE[[#This Row],[MONTO DE RENTA ]]*1.16)</f>
        <v>429.00279999999998</v>
      </c>
      <c r="AE413" s="28" t="s">
        <v>63</v>
      </c>
      <c r="AF413" s="28">
        <v>369.82758620689657</v>
      </c>
      <c r="AG413" s="28">
        <v>429</v>
      </c>
      <c r="AH413" s="22" t="s">
        <v>64</v>
      </c>
      <c r="AI413" s="63">
        <v>45703</v>
      </c>
      <c r="AJ413" s="63">
        <v>46433</v>
      </c>
      <c r="AK4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3" s="30"/>
      <c r="AN413" s="20" t="s">
        <v>65</v>
      </c>
      <c r="AP413" s="20" t="s">
        <v>84</v>
      </c>
    </row>
    <row r="414" spans="1:43" ht="16">
      <c r="A414" s="20">
        <v>6221301583</v>
      </c>
      <c r="B414" s="21">
        <v>1030873</v>
      </c>
      <c r="C414" s="20" t="s">
        <v>2166</v>
      </c>
      <c r="D414" s="20" t="s">
        <v>937</v>
      </c>
      <c r="E414" s="20" t="s">
        <v>2167</v>
      </c>
      <c r="F414" s="20" t="s">
        <v>248</v>
      </c>
      <c r="G414" s="20" t="s">
        <v>248</v>
      </c>
      <c r="H414" s="20" t="s">
        <v>48</v>
      </c>
      <c r="I414" s="20" t="s">
        <v>248</v>
      </c>
      <c r="J414" s="22" t="s">
        <v>2168</v>
      </c>
      <c r="K414" s="22" t="s">
        <v>2168</v>
      </c>
      <c r="L414" s="23" t="s">
        <v>2163</v>
      </c>
      <c r="M414" s="24" t="s">
        <v>7745</v>
      </c>
      <c r="N414" s="23">
        <v>18654000</v>
      </c>
      <c r="O414" s="25" t="s">
        <v>866</v>
      </c>
      <c r="P414" s="25" t="s">
        <v>53</v>
      </c>
      <c r="Q414" s="20" t="s">
        <v>2169</v>
      </c>
      <c r="R414" s="20">
        <v>22020384</v>
      </c>
      <c r="S414" s="25" t="s">
        <v>2170</v>
      </c>
      <c r="T414" s="26" t="s">
        <v>57</v>
      </c>
      <c r="U414" s="23">
        <v>860900062338058</v>
      </c>
      <c r="V414" s="27" t="s">
        <v>57</v>
      </c>
      <c r="W414" s="20" t="s">
        <v>58</v>
      </c>
      <c r="X414" s="20" t="s">
        <v>59</v>
      </c>
      <c r="Y414" s="20" t="s">
        <v>59</v>
      </c>
      <c r="Z414" s="20" t="s">
        <v>60</v>
      </c>
      <c r="AA414" s="20" t="s">
        <v>61</v>
      </c>
      <c r="AB414" s="20" t="s">
        <v>96</v>
      </c>
      <c r="AC414" s="28">
        <v>369.83</v>
      </c>
      <c r="AD414" s="28">
        <f>SUM(BASE[[#This Row],[MONTO DE RENTA ]]*1.16)</f>
        <v>429.00279999999998</v>
      </c>
      <c r="AE414" s="28" t="s">
        <v>63</v>
      </c>
      <c r="AF414" s="28">
        <v>369.82758620689657</v>
      </c>
      <c r="AG414" s="28">
        <v>429</v>
      </c>
      <c r="AH414" s="22" t="s">
        <v>64</v>
      </c>
      <c r="AI414" s="63">
        <v>45703</v>
      </c>
      <c r="AJ414" s="63">
        <v>46433</v>
      </c>
      <c r="AK4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4" s="30"/>
      <c r="AN414" s="20" t="s">
        <v>65</v>
      </c>
      <c r="AP414" s="20" t="s">
        <v>84</v>
      </c>
    </row>
    <row r="415" spans="1:43" ht="16">
      <c r="A415" s="20">
        <v>6221305640</v>
      </c>
      <c r="B415" s="21">
        <v>545007</v>
      </c>
      <c r="C415" s="20" t="s">
        <v>2171</v>
      </c>
      <c r="D415" s="20" t="s">
        <v>875</v>
      </c>
      <c r="E415" s="20" t="s">
        <v>2172</v>
      </c>
      <c r="F415" s="20" t="s">
        <v>257</v>
      </c>
      <c r="G415" s="20" t="s">
        <v>257</v>
      </c>
      <c r="H415" s="20" t="s">
        <v>48</v>
      </c>
      <c r="I415" s="20" t="s">
        <v>257</v>
      </c>
      <c r="J415" s="22" t="s">
        <v>2173</v>
      </c>
      <c r="K415" s="22" t="s">
        <v>2173</v>
      </c>
      <c r="L415" s="23" t="s">
        <v>2163</v>
      </c>
      <c r="M415" s="24" t="s">
        <v>7745</v>
      </c>
      <c r="N415" s="23">
        <v>18654000</v>
      </c>
      <c r="O415" s="25" t="s">
        <v>866</v>
      </c>
      <c r="P415" s="25" t="s">
        <v>53</v>
      </c>
      <c r="Q415" s="20" t="s">
        <v>2174</v>
      </c>
      <c r="R415" s="20">
        <v>22026207</v>
      </c>
      <c r="S415" s="25" t="s">
        <v>2175</v>
      </c>
      <c r="T415" s="26" t="s">
        <v>57</v>
      </c>
      <c r="U415" s="23">
        <v>860478064950683</v>
      </c>
      <c r="V415" s="45" t="s">
        <v>110</v>
      </c>
      <c r="W415" s="20" t="s">
        <v>302</v>
      </c>
      <c r="X415" s="20" t="s">
        <v>303</v>
      </c>
      <c r="Y415" s="20" t="s">
        <v>303</v>
      </c>
      <c r="Z415" s="20" t="s">
        <v>80</v>
      </c>
      <c r="AA415" s="20" t="s">
        <v>81</v>
      </c>
      <c r="AB415" s="20" t="s">
        <v>82</v>
      </c>
      <c r="AC415" s="28">
        <v>559.48</v>
      </c>
      <c r="AD415" s="28">
        <f>SUM(BASE[[#This Row],[MONTO DE RENTA ]]*1.16)</f>
        <v>648.99680000000001</v>
      </c>
      <c r="AE415" s="28" t="s">
        <v>83</v>
      </c>
      <c r="AF415" s="28">
        <v>559.48275862068965</v>
      </c>
      <c r="AG415" s="28">
        <v>649</v>
      </c>
      <c r="AH415" s="22" t="s">
        <v>64</v>
      </c>
      <c r="AI415" s="63">
        <v>45703</v>
      </c>
      <c r="AJ415" s="63">
        <v>46433</v>
      </c>
      <c r="AK4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5" s="30"/>
      <c r="AN415" s="20" t="s">
        <v>65</v>
      </c>
      <c r="AP415" s="20" t="s">
        <v>84</v>
      </c>
    </row>
    <row r="416" spans="1:43" ht="16">
      <c r="A416" s="20">
        <v>6221306259</v>
      </c>
      <c r="B416" s="21">
        <v>1085507</v>
      </c>
      <c r="C416" s="20" t="s">
        <v>2176</v>
      </c>
      <c r="D416" s="20" t="s">
        <v>247</v>
      </c>
      <c r="E416" s="20" t="s">
        <v>376</v>
      </c>
      <c r="F416" s="20" t="s">
        <v>104</v>
      </c>
      <c r="G416" s="20" t="s">
        <v>104</v>
      </c>
      <c r="H416" s="20" t="s">
        <v>48</v>
      </c>
      <c r="I416" s="20" t="s">
        <v>104</v>
      </c>
      <c r="J416" s="32" t="s">
        <v>2177</v>
      </c>
      <c r="K416" s="187" t="s">
        <v>2177</v>
      </c>
      <c r="L416" s="23" t="s">
        <v>2163</v>
      </c>
      <c r="M416" s="24" t="s">
        <v>7745</v>
      </c>
      <c r="N416" s="23">
        <v>18654000</v>
      </c>
      <c r="O416" s="25" t="s">
        <v>866</v>
      </c>
      <c r="P416" s="25" t="s">
        <v>53</v>
      </c>
      <c r="Q416" s="20" t="s">
        <v>2178</v>
      </c>
      <c r="R416" s="20">
        <v>22026209</v>
      </c>
      <c r="S416" s="25" t="s">
        <v>2179</v>
      </c>
      <c r="T416" s="26" t="s">
        <v>57</v>
      </c>
      <c r="U416" s="23">
        <v>860478064951129</v>
      </c>
      <c r="V416" s="45" t="s">
        <v>110</v>
      </c>
      <c r="W416" s="20" t="s">
        <v>302</v>
      </c>
      <c r="X416" s="20" t="s">
        <v>303</v>
      </c>
      <c r="Y416" s="20" t="s">
        <v>303</v>
      </c>
      <c r="Z416" s="20" t="s">
        <v>80</v>
      </c>
      <c r="AA416" s="20" t="s">
        <v>81</v>
      </c>
      <c r="AB416" s="20" t="s">
        <v>82</v>
      </c>
      <c r="AC416" s="28">
        <v>559.48</v>
      </c>
      <c r="AD416" s="28">
        <f>SUM(BASE[[#This Row],[MONTO DE RENTA ]]*1.16)</f>
        <v>648.99680000000001</v>
      </c>
      <c r="AE416" s="28" t="s">
        <v>83</v>
      </c>
      <c r="AF416" s="28">
        <v>559.48275862068965</v>
      </c>
      <c r="AG416" s="28">
        <v>649</v>
      </c>
      <c r="AH416" s="22" t="s">
        <v>64</v>
      </c>
      <c r="AI416" s="63">
        <v>45703</v>
      </c>
      <c r="AJ416" s="63">
        <v>46433</v>
      </c>
      <c r="AK4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6" s="30"/>
      <c r="AN416" s="20" t="s">
        <v>65</v>
      </c>
      <c r="AP416" s="20" t="s">
        <v>84</v>
      </c>
    </row>
    <row r="417" spans="1:43" ht="16">
      <c r="A417" s="20">
        <v>6221303134</v>
      </c>
      <c r="B417" s="21">
        <v>1035402</v>
      </c>
      <c r="C417" s="20" t="s">
        <v>2180</v>
      </c>
      <c r="D417" s="20" t="s">
        <v>2181</v>
      </c>
      <c r="E417" s="20" t="s">
        <v>2158</v>
      </c>
      <c r="F417" s="20" t="s">
        <v>384</v>
      </c>
      <c r="G417" s="20" t="s">
        <v>104</v>
      </c>
      <c r="H417" s="20" t="s">
        <v>48</v>
      </c>
      <c r="I417" s="20" t="s">
        <v>384</v>
      </c>
      <c r="J417" s="22" t="s">
        <v>2182</v>
      </c>
      <c r="K417" s="22" t="s">
        <v>2182</v>
      </c>
      <c r="L417" s="23" t="s">
        <v>2163</v>
      </c>
      <c r="M417" s="24" t="s">
        <v>7745</v>
      </c>
      <c r="N417" s="23">
        <v>18654000</v>
      </c>
      <c r="O417" s="25" t="s">
        <v>866</v>
      </c>
      <c r="P417" s="25" t="s">
        <v>53</v>
      </c>
      <c r="Q417" s="20" t="s">
        <v>2183</v>
      </c>
      <c r="R417" s="20">
        <v>22026206</v>
      </c>
      <c r="S417" s="25" t="s">
        <v>2184</v>
      </c>
      <c r="T417" s="26" t="s">
        <v>57</v>
      </c>
      <c r="U417" s="23">
        <v>860478064864132</v>
      </c>
      <c r="V417" s="45" t="s">
        <v>110</v>
      </c>
      <c r="W417" s="20" t="s">
        <v>302</v>
      </c>
      <c r="X417" s="20" t="s">
        <v>303</v>
      </c>
      <c r="Y417" s="20" t="s">
        <v>303</v>
      </c>
      <c r="Z417" s="20" t="s">
        <v>80</v>
      </c>
      <c r="AA417" s="20" t="s">
        <v>81</v>
      </c>
      <c r="AB417" s="20" t="s">
        <v>82</v>
      </c>
      <c r="AC417" s="28">
        <v>559.48</v>
      </c>
      <c r="AD417" s="28">
        <f>SUM(BASE[[#This Row],[MONTO DE RENTA ]]*1.16)</f>
        <v>648.99680000000001</v>
      </c>
      <c r="AE417" s="28" t="s">
        <v>83</v>
      </c>
      <c r="AF417" s="28">
        <v>559.48275862068965</v>
      </c>
      <c r="AG417" s="28">
        <v>649</v>
      </c>
      <c r="AH417" s="22" t="s">
        <v>64</v>
      </c>
      <c r="AI417" s="63">
        <v>45703</v>
      </c>
      <c r="AJ417" s="63">
        <v>46433</v>
      </c>
      <c r="AK4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17" s="30"/>
      <c r="AN417" s="20" t="s">
        <v>65</v>
      </c>
      <c r="AP417" s="20" t="s">
        <v>84</v>
      </c>
    </row>
    <row r="418" spans="1:43" ht="16">
      <c r="A418" s="20">
        <v>6221657863</v>
      </c>
      <c r="B418" s="49">
        <v>1002137</v>
      </c>
      <c r="C418" s="20" t="s">
        <v>204</v>
      </c>
      <c r="D418" s="20" t="s">
        <v>593</v>
      </c>
      <c r="E418" s="20" t="s">
        <v>2185</v>
      </c>
      <c r="F418" s="20" t="s">
        <v>122</v>
      </c>
      <c r="G418" s="20" t="s">
        <v>122</v>
      </c>
      <c r="H418" s="20" t="s">
        <v>48</v>
      </c>
      <c r="I418" s="20" t="s">
        <v>122</v>
      </c>
      <c r="J418" s="54" t="s">
        <v>2186</v>
      </c>
      <c r="K418" s="54" t="s">
        <v>2187</v>
      </c>
      <c r="L418" s="23" t="s">
        <v>2163</v>
      </c>
      <c r="M418" s="24" t="s">
        <v>7745</v>
      </c>
      <c r="N418" s="23">
        <v>18654000</v>
      </c>
      <c r="O418" s="25" t="s">
        <v>866</v>
      </c>
      <c r="P418" s="25" t="s">
        <v>53</v>
      </c>
      <c r="Q418" s="20" t="s">
        <v>2188</v>
      </c>
      <c r="R418" s="20">
        <v>22275210</v>
      </c>
      <c r="S418" s="25" t="s">
        <v>55</v>
      </c>
      <c r="T418" s="44" t="s">
        <v>56</v>
      </c>
      <c r="U418" s="23">
        <v>860900062337431</v>
      </c>
      <c r="V418" s="27" t="s">
        <v>57</v>
      </c>
      <c r="W418" s="20" t="s">
        <v>58</v>
      </c>
      <c r="X418" s="20" t="s">
        <v>59</v>
      </c>
      <c r="Y418" s="20" t="s">
        <v>59</v>
      </c>
      <c r="Z418" s="20" t="s">
        <v>60</v>
      </c>
      <c r="AA418" s="20" t="s">
        <v>61</v>
      </c>
      <c r="AB418" s="20" t="s">
        <v>96</v>
      </c>
      <c r="AC418" s="28">
        <v>369.83</v>
      </c>
      <c r="AD418" s="28">
        <f>SUM(BASE[[#This Row],[MONTO DE RENTA ]]*1.16)</f>
        <v>429.00279999999998</v>
      </c>
      <c r="AE418" s="28" t="s">
        <v>63</v>
      </c>
      <c r="AF418" s="28">
        <v>369.82758620689657</v>
      </c>
      <c r="AG418" s="28">
        <v>429</v>
      </c>
      <c r="AI418" s="63">
        <v>45720</v>
      </c>
      <c r="AJ418" s="63">
        <v>46413</v>
      </c>
      <c r="AK418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418" s="30" t="s">
        <v>2189</v>
      </c>
      <c r="AN418" s="20" t="s">
        <v>65</v>
      </c>
      <c r="AP418" s="20" t="s">
        <v>84</v>
      </c>
    </row>
    <row r="419" spans="1:43" ht="16">
      <c r="A419" s="20">
        <v>6221054060</v>
      </c>
      <c r="B419" s="49">
        <v>60723</v>
      </c>
      <c r="C419" s="20" t="s">
        <v>1124</v>
      </c>
      <c r="D419" s="20" t="s">
        <v>594</v>
      </c>
      <c r="E419" s="20" t="s">
        <v>2161</v>
      </c>
      <c r="F419" s="20" t="s">
        <v>70</v>
      </c>
      <c r="G419" s="20" t="s">
        <v>70</v>
      </c>
      <c r="H419" s="20" t="s">
        <v>48</v>
      </c>
      <c r="I419" s="20" t="s">
        <v>70</v>
      </c>
      <c r="J419" s="22" t="s">
        <v>2190</v>
      </c>
      <c r="K419" s="22" t="s">
        <v>2190</v>
      </c>
      <c r="L419" s="23" t="s">
        <v>2163</v>
      </c>
      <c r="M419" s="24" t="s">
        <v>7745</v>
      </c>
      <c r="N419" s="23">
        <v>18654000</v>
      </c>
      <c r="O419" s="25" t="s">
        <v>866</v>
      </c>
      <c r="P419" s="25" t="s">
        <v>53</v>
      </c>
      <c r="Q419" s="20" t="s">
        <v>2191</v>
      </c>
      <c r="R419" s="20">
        <v>21913979</v>
      </c>
      <c r="S419" s="25" t="s">
        <v>55</v>
      </c>
      <c r="T419" s="26" t="s">
        <v>56</v>
      </c>
      <c r="U419" s="23">
        <v>357894929337868</v>
      </c>
      <c r="V419" s="27" t="s">
        <v>78</v>
      </c>
      <c r="W419" s="20" t="s">
        <v>95</v>
      </c>
      <c r="X419" s="20" t="s">
        <v>95</v>
      </c>
      <c r="Y419" s="20" t="s">
        <v>95</v>
      </c>
      <c r="Z419" s="20" t="s">
        <v>60</v>
      </c>
      <c r="AA419" s="20" t="s">
        <v>61</v>
      </c>
      <c r="AB419" s="20" t="s">
        <v>82</v>
      </c>
      <c r="AC419" s="28">
        <v>559.48</v>
      </c>
      <c r="AD419" s="28">
        <f>SUM(BASE[[#This Row],[MONTO DE RENTA ]]*1.16)</f>
        <v>648.99680000000001</v>
      </c>
      <c r="AE419" s="28" t="s">
        <v>83</v>
      </c>
      <c r="AF419" s="28">
        <v>559.48275862068965</v>
      </c>
      <c r="AG419" s="28">
        <v>649</v>
      </c>
      <c r="AI419" s="63">
        <v>44937</v>
      </c>
      <c r="AJ419" s="73">
        <v>46043</v>
      </c>
      <c r="AK4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19" s="30"/>
      <c r="AN419" s="20" t="s">
        <v>99</v>
      </c>
      <c r="AP419" s="20" t="s">
        <v>84</v>
      </c>
      <c r="AQ419" s="20" t="s">
        <v>100</v>
      </c>
    </row>
    <row r="420" spans="1:43" ht="16">
      <c r="A420" s="20">
        <v>3511326926</v>
      </c>
      <c r="B420" s="21">
        <v>1002206</v>
      </c>
      <c r="C420" s="20" t="s">
        <v>733</v>
      </c>
      <c r="D420" s="20" t="s">
        <v>358</v>
      </c>
      <c r="E420" s="20" t="s">
        <v>2192</v>
      </c>
      <c r="F420" s="20" t="s">
        <v>47</v>
      </c>
      <c r="G420" s="20" t="s">
        <v>47</v>
      </c>
      <c r="H420" s="20" t="s">
        <v>48</v>
      </c>
      <c r="I420" s="20" t="s">
        <v>47</v>
      </c>
      <c r="J420" s="22" t="s">
        <v>2193</v>
      </c>
      <c r="K420" s="22" t="s">
        <v>2193</v>
      </c>
      <c r="L420" s="23" t="s">
        <v>2194</v>
      </c>
      <c r="M420" s="24" t="s">
        <v>7743</v>
      </c>
      <c r="N420" s="23">
        <v>18656000</v>
      </c>
      <c r="O420" s="25" t="s">
        <v>677</v>
      </c>
      <c r="P420" s="25" t="s">
        <v>53</v>
      </c>
      <c r="Q420" s="20" t="s">
        <v>2195</v>
      </c>
      <c r="R420" s="20">
        <v>53354234</v>
      </c>
      <c r="S420" s="25" t="s">
        <v>2196</v>
      </c>
      <c r="T420" s="26" t="s">
        <v>57</v>
      </c>
      <c r="U420" s="23">
        <v>860900062335179</v>
      </c>
      <c r="V420" s="27" t="s">
        <v>57</v>
      </c>
      <c r="W420" s="20" t="s">
        <v>58</v>
      </c>
      <c r="X420" s="20" t="s">
        <v>59</v>
      </c>
      <c r="Y420" s="20" t="s">
        <v>59</v>
      </c>
      <c r="Z420" s="20" t="s">
        <v>60</v>
      </c>
      <c r="AA420" s="20" t="s">
        <v>61</v>
      </c>
      <c r="AB420" s="20" t="s">
        <v>96</v>
      </c>
      <c r="AC420" s="28">
        <v>369.83</v>
      </c>
      <c r="AD420" s="28">
        <f>SUM(BASE[[#This Row],[MONTO DE RENTA ]]*1.16)</f>
        <v>429.00279999999998</v>
      </c>
      <c r="AE420" s="28" t="s">
        <v>63</v>
      </c>
      <c r="AF420" s="28">
        <v>369.82758620689657</v>
      </c>
      <c r="AG420" s="28">
        <v>429</v>
      </c>
      <c r="AH420" s="22" t="s">
        <v>64</v>
      </c>
      <c r="AI420" s="63">
        <v>45703</v>
      </c>
      <c r="AJ420" s="63">
        <v>46433</v>
      </c>
      <c r="AK4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0" s="30"/>
      <c r="AN420" s="20" t="s">
        <v>65</v>
      </c>
      <c r="AP420" s="20" t="s">
        <v>84</v>
      </c>
    </row>
    <row r="421" spans="1:43" ht="16">
      <c r="A421" s="20">
        <v>3511322371</v>
      </c>
      <c r="B421" s="21">
        <v>1029255</v>
      </c>
      <c r="C421" s="20" t="s">
        <v>2197</v>
      </c>
      <c r="D421" s="20" t="s">
        <v>1129</v>
      </c>
      <c r="E421" s="20" t="s">
        <v>187</v>
      </c>
      <c r="F421" s="20" t="s">
        <v>248</v>
      </c>
      <c r="G421" s="20" t="s">
        <v>248</v>
      </c>
      <c r="H421" s="20" t="s">
        <v>48</v>
      </c>
      <c r="I421" s="20" t="s">
        <v>248</v>
      </c>
      <c r="J421" s="22" t="s">
        <v>2198</v>
      </c>
      <c r="K421" s="22" t="s">
        <v>2198</v>
      </c>
      <c r="L421" s="23" t="s">
        <v>2194</v>
      </c>
      <c r="M421" s="24" t="s">
        <v>7743</v>
      </c>
      <c r="N421" s="23">
        <v>18656000</v>
      </c>
      <c r="O421" s="25" t="s">
        <v>677</v>
      </c>
      <c r="P421" s="25" t="s">
        <v>53</v>
      </c>
      <c r="Q421" s="20" t="s">
        <v>2199</v>
      </c>
      <c r="R421" s="20">
        <v>53335827</v>
      </c>
      <c r="S421" s="25" t="s">
        <v>2200</v>
      </c>
      <c r="T421" s="26" t="s">
        <v>57</v>
      </c>
      <c r="U421" s="23">
        <v>860900062256912</v>
      </c>
      <c r="V421" s="27" t="s">
        <v>57</v>
      </c>
      <c r="W421" s="20" t="s">
        <v>58</v>
      </c>
      <c r="X421" s="20" t="s">
        <v>59</v>
      </c>
      <c r="Y421" s="20" t="s">
        <v>59</v>
      </c>
      <c r="Z421" s="20" t="s">
        <v>131</v>
      </c>
      <c r="AA421" s="20" t="s">
        <v>132</v>
      </c>
      <c r="AB421" s="20" t="s">
        <v>96</v>
      </c>
      <c r="AC421" s="28">
        <v>369.83</v>
      </c>
      <c r="AD421" s="28">
        <f>SUM(BASE[[#This Row],[MONTO DE RENTA ]]*1.16)</f>
        <v>429.00279999999998</v>
      </c>
      <c r="AE421" s="28" t="s">
        <v>63</v>
      </c>
      <c r="AF421" s="28">
        <v>369.82758620689657</v>
      </c>
      <c r="AG421" s="28">
        <v>429</v>
      </c>
      <c r="AH421" s="22" t="s">
        <v>64</v>
      </c>
      <c r="AI421" s="63">
        <v>45703</v>
      </c>
      <c r="AJ421" s="63">
        <v>46433</v>
      </c>
      <c r="AK4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1" s="30"/>
      <c r="AN421" s="20" t="s">
        <v>65</v>
      </c>
      <c r="AP421" s="20" t="s">
        <v>84</v>
      </c>
    </row>
    <row r="422" spans="1:43" ht="16">
      <c r="A422" s="188">
        <v>3511092434</v>
      </c>
      <c r="B422" s="21">
        <v>565047</v>
      </c>
      <c r="C422" s="20" t="s">
        <v>2201</v>
      </c>
      <c r="D422" s="20" t="s">
        <v>2202</v>
      </c>
      <c r="E422" s="20" t="s">
        <v>2203</v>
      </c>
      <c r="F422" s="20" t="s">
        <v>384</v>
      </c>
      <c r="G422" s="189" t="s">
        <v>104</v>
      </c>
      <c r="H422" s="20" t="s">
        <v>48</v>
      </c>
      <c r="I422" s="20" t="s">
        <v>384</v>
      </c>
      <c r="J422" s="32" t="s">
        <v>2204</v>
      </c>
      <c r="K422" s="22" t="s">
        <v>2205</v>
      </c>
      <c r="L422" s="23" t="s">
        <v>2194</v>
      </c>
      <c r="M422" s="24" t="s">
        <v>7743</v>
      </c>
      <c r="N422" s="23">
        <v>18656000</v>
      </c>
      <c r="O422" s="25" t="s">
        <v>677</v>
      </c>
      <c r="P422" s="25" t="s">
        <v>53</v>
      </c>
      <c r="Q422" s="20" t="s">
        <v>2206</v>
      </c>
      <c r="R422" s="20">
        <v>55716962</v>
      </c>
      <c r="S422" s="25" t="s">
        <v>2207</v>
      </c>
      <c r="T422" s="26" t="s">
        <v>57</v>
      </c>
      <c r="U422" s="23">
        <v>860478064847384</v>
      </c>
      <c r="V422" s="27" t="s">
        <v>57</v>
      </c>
      <c r="W422" s="20" t="s">
        <v>302</v>
      </c>
      <c r="X422" s="20" t="s">
        <v>303</v>
      </c>
      <c r="Y422" s="20" t="s">
        <v>303</v>
      </c>
      <c r="Z422" s="20" t="s">
        <v>261</v>
      </c>
      <c r="AA422" s="20" t="s">
        <v>473</v>
      </c>
      <c r="AB422" s="20" t="s">
        <v>2208</v>
      </c>
      <c r="AC422" s="28">
        <v>369.83</v>
      </c>
      <c r="AD422" s="28">
        <f>SUM(BASE[[#This Row],[MONTO DE RENTA ]]*1.16)</f>
        <v>429.00279999999998</v>
      </c>
      <c r="AE422" s="28" t="s">
        <v>63</v>
      </c>
      <c r="AF422" s="28">
        <v>369.82758620689657</v>
      </c>
      <c r="AG422" s="28">
        <v>429</v>
      </c>
      <c r="AH422" s="22" t="s">
        <v>253</v>
      </c>
      <c r="AI422" s="63">
        <v>45911</v>
      </c>
      <c r="AJ422" s="63">
        <v>46640</v>
      </c>
      <c r="AK422" s="30">
        <f ca="1">IFERROR(IF(BASE[[#This Row],[FECHA DE RENOVACION ]]&gt;TODAY(), DATEDIF(TODAY(),BASE[[#This Row],[FECHA DE RENOVACION ]],"M"), -DATEDIF(BASE[[#This Row],[FECHA DE RENOVACION ]],TODAY(),"M")), "Sin fecha")</f>
        <v>18</v>
      </c>
      <c r="AM422" s="30" t="s">
        <v>2209</v>
      </c>
      <c r="AN422" s="20" t="s">
        <v>65</v>
      </c>
      <c r="AP422" s="20" t="s">
        <v>84</v>
      </c>
    </row>
    <row r="423" spans="1:43" ht="16">
      <c r="A423" s="20">
        <v>3511322111</v>
      </c>
      <c r="B423" s="21">
        <v>1065068</v>
      </c>
      <c r="C423" s="20" t="s">
        <v>2210</v>
      </c>
      <c r="D423" s="20" t="s">
        <v>2211</v>
      </c>
      <c r="E423" s="20" t="s">
        <v>357</v>
      </c>
      <c r="F423" s="20" t="s">
        <v>257</v>
      </c>
      <c r="G423" s="20" t="s">
        <v>257</v>
      </c>
      <c r="H423" s="20" t="s">
        <v>48</v>
      </c>
      <c r="I423" s="20" t="s">
        <v>257</v>
      </c>
      <c r="J423" s="32" t="s">
        <v>2212</v>
      </c>
      <c r="K423" s="32" t="s">
        <v>2213</v>
      </c>
      <c r="L423" s="23" t="s">
        <v>2194</v>
      </c>
      <c r="M423" s="24" t="s">
        <v>7743</v>
      </c>
      <c r="N423" s="23">
        <v>18656000</v>
      </c>
      <c r="O423" s="25" t="s">
        <v>677</v>
      </c>
      <c r="P423" s="25" t="s">
        <v>53</v>
      </c>
      <c r="Q423" s="20" t="s">
        <v>2214</v>
      </c>
      <c r="R423" s="20">
        <v>53345629</v>
      </c>
      <c r="S423" s="25" t="s">
        <v>2215</v>
      </c>
      <c r="T423" s="26" t="s">
        <v>57</v>
      </c>
      <c r="U423" s="23">
        <v>860478064646489</v>
      </c>
      <c r="V423" s="45" t="s">
        <v>110</v>
      </c>
      <c r="W423" s="20" t="s">
        <v>302</v>
      </c>
      <c r="X423" s="20" t="s">
        <v>303</v>
      </c>
      <c r="Y423" s="20" t="s">
        <v>303</v>
      </c>
      <c r="Z423" s="20" t="s">
        <v>80</v>
      </c>
      <c r="AA423" s="20" t="s">
        <v>81</v>
      </c>
      <c r="AB423" s="20" t="s">
        <v>82</v>
      </c>
      <c r="AC423" s="28">
        <v>559.48</v>
      </c>
      <c r="AD423" s="28">
        <f>SUM(BASE[[#This Row],[MONTO DE RENTA ]]*1.16)</f>
        <v>648.99680000000001</v>
      </c>
      <c r="AE423" s="28" t="s">
        <v>83</v>
      </c>
      <c r="AF423" s="28">
        <v>559.48275862068965</v>
      </c>
      <c r="AG423" s="28">
        <v>649</v>
      </c>
      <c r="AH423" s="22" t="s">
        <v>64</v>
      </c>
      <c r="AI423" s="63">
        <v>45703</v>
      </c>
      <c r="AJ423" s="63">
        <v>46433</v>
      </c>
      <c r="AK4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3" s="30"/>
      <c r="AN423" s="20" t="s">
        <v>65</v>
      </c>
      <c r="AP423" s="20" t="s">
        <v>84</v>
      </c>
    </row>
    <row r="424" spans="1:43" ht="16">
      <c r="A424" s="20">
        <v>3511322107</v>
      </c>
      <c r="B424" s="49">
        <v>1055190</v>
      </c>
      <c r="C424" s="20" t="s">
        <v>733</v>
      </c>
      <c r="D424" s="20" t="s">
        <v>45</v>
      </c>
      <c r="E424" s="20" t="s">
        <v>2216</v>
      </c>
      <c r="F424" s="20" t="s">
        <v>104</v>
      </c>
      <c r="G424" s="20" t="s">
        <v>104</v>
      </c>
      <c r="H424" s="20" t="s">
        <v>48</v>
      </c>
      <c r="I424" s="20" t="s">
        <v>104</v>
      </c>
      <c r="J424" s="22" t="s">
        <v>2205</v>
      </c>
      <c r="K424" s="22" t="s">
        <v>2205</v>
      </c>
      <c r="L424" s="23" t="s">
        <v>2194</v>
      </c>
      <c r="M424" s="24" t="s">
        <v>7743</v>
      </c>
      <c r="N424" s="23">
        <v>18656000</v>
      </c>
      <c r="O424" s="25" t="s">
        <v>677</v>
      </c>
      <c r="P424" s="25" t="s">
        <v>53</v>
      </c>
      <c r="Q424" s="20" t="s">
        <v>2217</v>
      </c>
      <c r="R424" s="20">
        <v>53345599</v>
      </c>
      <c r="S424" s="25" t="s">
        <v>2218</v>
      </c>
      <c r="T424" s="26" t="s">
        <v>57</v>
      </c>
      <c r="U424" s="23">
        <v>860478064847384</v>
      </c>
      <c r="V424" s="27" t="s">
        <v>183</v>
      </c>
      <c r="W424" s="20" t="s">
        <v>302</v>
      </c>
      <c r="X424" s="20" t="s">
        <v>303</v>
      </c>
      <c r="Y424" s="20" t="s">
        <v>303</v>
      </c>
      <c r="Z424" s="20" t="s">
        <v>80</v>
      </c>
      <c r="AA424" s="20" t="s">
        <v>81</v>
      </c>
      <c r="AB424" s="20" t="s">
        <v>82</v>
      </c>
      <c r="AC424" s="28">
        <v>559.48</v>
      </c>
      <c r="AD424" s="28">
        <f>SUM(BASE[[#This Row],[MONTO DE RENTA ]]*1.16)</f>
        <v>648.99680000000001</v>
      </c>
      <c r="AE424" s="28" t="s">
        <v>83</v>
      </c>
      <c r="AF424" s="28">
        <v>559.48275862068965</v>
      </c>
      <c r="AG424" s="28">
        <v>649</v>
      </c>
      <c r="AH424" s="22" t="s">
        <v>64</v>
      </c>
      <c r="AI424" s="63">
        <v>45703</v>
      </c>
      <c r="AJ424" s="63">
        <v>46433</v>
      </c>
      <c r="AK4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4" s="30" t="s">
        <v>2219</v>
      </c>
      <c r="AN424" s="20" t="s">
        <v>65</v>
      </c>
      <c r="AP424" s="20" t="s">
        <v>84</v>
      </c>
    </row>
    <row r="425" spans="1:43" ht="16">
      <c r="A425" s="20">
        <v>3511135737</v>
      </c>
      <c r="B425" s="49">
        <v>565000</v>
      </c>
      <c r="C425" s="20" t="s">
        <v>2220</v>
      </c>
      <c r="D425" s="20" t="s">
        <v>476</v>
      </c>
      <c r="E425" s="20" t="s">
        <v>1104</v>
      </c>
      <c r="F425" s="20" t="s">
        <v>70</v>
      </c>
      <c r="G425" s="20" t="s">
        <v>70</v>
      </c>
      <c r="H425" s="20" t="s">
        <v>48</v>
      </c>
      <c r="I425" s="20" t="s">
        <v>70</v>
      </c>
      <c r="J425" s="22" t="s">
        <v>2221</v>
      </c>
      <c r="K425" s="22" t="s">
        <v>2221</v>
      </c>
      <c r="L425" s="23" t="s">
        <v>2194</v>
      </c>
      <c r="M425" s="24" t="s">
        <v>7743</v>
      </c>
      <c r="N425" s="23">
        <v>18656000</v>
      </c>
      <c r="O425" s="25" t="s">
        <v>677</v>
      </c>
      <c r="P425" s="25" t="s">
        <v>53</v>
      </c>
      <c r="Q425" s="20" t="s">
        <v>2222</v>
      </c>
      <c r="R425" s="20">
        <v>53197265</v>
      </c>
      <c r="S425" s="25" t="s">
        <v>55</v>
      </c>
      <c r="T425" s="26" t="s">
        <v>56</v>
      </c>
      <c r="U425" s="23">
        <v>357894928236558</v>
      </c>
      <c r="V425" s="27" t="s">
        <v>78</v>
      </c>
      <c r="W425" s="20" t="s">
        <v>95</v>
      </c>
      <c r="X425" s="20" t="s">
        <v>95</v>
      </c>
      <c r="Y425" s="20" t="s">
        <v>95</v>
      </c>
      <c r="Z425" s="20" t="s">
        <v>60</v>
      </c>
      <c r="AA425" s="20" t="s">
        <v>61</v>
      </c>
      <c r="AB425" s="20" t="s">
        <v>82</v>
      </c>
      <c r="AC425" s="28">
        <v>559.48</v>
      </c>
      <c r="AD425" s="28">
        <f>SUM(BASE[[#This Row],[MONTO DE RENTA ]]*1.16)</f>
        <v>648.99680000000001</v>
      </c>
      <c r="AE425" s="28" t="s">
        <v>83</v>
      </c>
      <c r="AF425" s="28">
        <v>559.48275862068965</v>
      </c>
      <c r="AG425" s="28">
        <v>649</v>
      </c>
      <c r="AI425" s="63">
        <v>44937</v>
      </c>
      <c r="AJ425" s="73">
        <v>46043</v>
      </c>
      <c r="AK4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25" s="30"/>
      <c r="AN425" s="20" t="s">
        <v>99</v>
      </c>
      <c r="AP425" s="20" t="s">
        <v>84</v>
      </c>
      <c r="AQ425" s="20" t="s">
        <v>100</v>
      </c>
    </row>
    <row r="426" spans="1:43" ht="16">
      <c r="A426" s="20">
        <v>3141449835</v>
      </c>
      <c r="B426" s="21">
        <v>1029517</v>
      </c>
      <c r="C426" s="20" t="s">
        <v>2223</v>
      </c>
      <c r="D426" s="20" t="s">
        <v>461</v>
      </c>
      <c r="E426" s="20" t="s">
        <v>1598</v>
      </c>
      <c r="F426" s="20" t="s">
        <v>530</v>
      </c>
      <c r="G426" s="20" t="s">
        <v>47</v>
      </c>
      <c r="H426" s="20" t="s">
        <v>48</v>
      </c>
      <c r="I426" s="20" t="s">
        <v>530</v>
      </c>
      <c r="J426" s="32" t="s">
        <v>2224</v>
      </c>
      <c r="K426" s="22" t="s">
        <v>2224</v>
      </c>
      <c r="L426" s="23" t="s">
        <v>2225</v>
      </c>
      <c r="M426" s="24" t="s">
        <v>7746</v>
      </c>
      <c r="N426" s="23">
        <v>18657000</v>
      </c>
      <c r="O426" s="25" t="s">
        <v>677</v>
      </c>
      <c r="P426" s="25" t="s">
        <v>53</v>
      </c>
      <c r="Q426" s="20" t="s">
        <v>2226</v>
      </c>
      <c r="R426" s="20">
        <v>53354182</v>
      </c>
      <c r="S426" s="25" t="s">
        <v>2227</v>
      </c>
      <c r="T426" s="26" t="s">
        <v>57</v>
      </c>
      <c r="U426" s="23">
        <v>860900062254495</v>
      </c>
      <c r="V426" s="27" t="s">
        <v>57</v>
      </c>
      <c r="W426" s="20" t="s">
        <v>58</v>
      </c>
      <c r="X426" s="20" t="s">
        <v>59</v>
      </c>
      <c r="Y426" s="20" t="s">
        <v>59</v>
      </c>
      <c r="Z426" s="20" t="s">
        <v>80</v>
      </c>
      <c r="AA426" s="20" t="s">
        <v>81</v>
      </c>
      <c r="AB426" s="20" t="s">
        <v>96</v>
      </c>
      <c r="AC426" s="28">
        <v>369.83</v>
      </c>
      <c r="AD426" s="28">
        <f>SUM(BASE[[#This Row],[MONTO DE RENTA ]]*1.16)</f>
        <v>429.00279999999998</v>
      </c>
      <c r="AE426" s="28" t="s">
        <v>63</v>
      </c>
      <c r="AF426" s="28">
        <v>369.82758620689657</v>
      </c>
      <c r="AG426" s="28">
        <v>429</v>
      </c>
      <c r="AH426" s="22" t="s">
        <v>64</v>
      </c>
      <c r="AI426" s="63">
        <v>45703</v>
      </c>
      <c r="AJ426" s="63">
        <v>46433</v>
      </c>
      <c r="AK4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6" s="30"/>
      <c r="AN426" s="20" t="s">
        <v>65</v>
      </c>
      <c r="AP426" s="20" t="s">
        <v>84</v>
      </c>
    </row>
    <row r="427" spans="1:43" ht="16">
      <c r="A427" s="20">
        <v>3141294310</v>
      </c>
      <c r="B427" s="21">
        <v>575097</v>
      </c>
      <c r="C427" s="20" t="s">
        <v>2228</v>
      </c>
      <c r="D427" s="20" t="s">
        <v>2229</v>
      </c>
      <c r="E427" s="20" t="s">
        <v>1013</v>
      </c>
      <c r="F427" s="20" t="s">
        <v>46</v>
      </c>
      <c r="G427" s="20" t="s">
        <v>248</v>
      </c>
      <c r="H427" s="20" t="s">
        <v>48</v>
      </c>
      <c r="I427" s="20" t="s">
        <v>46</v>
      </c>
      <c r="J427" s="22" t="s">
        <v>2230</v>
      </c>
      <c r="K427" s="22" t="s">
        <v>2230</v>
      </c>
      <c r="L427" s="23" t="s">
        <v>2225</v>
      </c>
      <c r="M427" s="24" t="s">
        <v>7746</v>
      </c>
      <c r="N427" s="23">
        <v>18657000</v>
      </c>
      <c r="O427" s="25" t="s">
        <v>677</v>
      </c>
      <c r="P427" s="25" t="s">
        <v>53</v>
      </c>
      <c r="Q427" s="20" t="s">
        <v>2231</v>
      </c>
      <c r="R427" s="20">
        <v>53335808</v>
      </c>
      <c r="S427" s="25" t="s">
        <v>2232</v>
      </c>
      <c r="T427" s="26" t="s">
        <v>57</v>
      </c>
      <c r="U427" s="23">
        <v>860900062255807</v>
      </c>
      <c r="V427" s="27" t="s">
        <v>57</v>
      </c>
      <c r="W427" s="20" t="s">
        <v>58</v>
      </c>
      <c r="X427" s="20" t="s">
        <v>59</v>
      </c>
      <c r="Y427" s="20" t="s">
        <v>59</v>
      </c>
      <c r="Z427" s="20" t="s">
        <v>80</v>
      </c>
      <c r="AA427" s="20" t="s">
        <v>81</v>
      </c>
      <c r="AB427" s="20" t="s">
        <v>96</v>
      </c>
      <c r="AC427" s="28">
        <v>369.83</v>
      </c>
      <c r="AD427" s="28">
        <f>SUM(BASE[[#This Row],[MONTO DE RENTA ]]*1.16)</f>
        <v>429.00279999999998</v>
      </c>
      <c r="AE427" s="28" t="s">
        <v>63</v>
      </c>
      <c r="AF427" s="28">
        <v>369.82758620689657</v>
      </c>
      <c r="AG427" s="28">
        <v>429</v>
      </c>
      <c r="AH427" s="22" t="s">
        <v>64</v>
      </c>
      <c r="AI427" s="63">
        <v>45703</v>
      </c>
      <c r="AJ427" s="63">
        <v>46433</v>
      </c>
      <c r="AK4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7" s="30"/>
      <c r="AN427" s="20" t="s">
        <v>65</v>
      </c>
      <c r="AP427" s="20" t="s">
        <v>84</v>
      </c>
    </row>
    <row r="428" spans="1:43" ht="16">
      <c r="A428" s="20">
        <v>3141064389</v>
      </c>
      <c r="B428" s="49">
        <v>996789</v>
      </c>
      <c r="C428" s="20" t="s">
        <v>2233</v>
      </c>
      <c r="D428" s="20" t="s">
        <v>2234</v>
      </c>
      <c r="E428" s="20" t="s">
        <v>1598</v>
      </c>
      <c r="F428" s="20" t="s">
        <v>122</v>
      </c>
      <c r="G428" s="20" t="s">
        <v>122</v>
      </c>
      <c r="H428" s="20" t="s">
        <v>48</v>
      </c>
      <c r="I428" s="20" t="s">
        <v>122</v>
      </c>
      <c r="J428" s="22" t="s">
        <v>2235</v>
      </c>
      <c r="K428" s="22" t="s">
        <v>2235</v>
      </c>
      <c r="L428" s="23" t="s">
        <v>2225</v>
      </c>
      <c r="M428" s="24" t="s">
        <v>7746</v>
      </c>
      <c r="N428" s="23">
        <v>18657000</v>
      </c>
      <c r="O428" s="25" t="s">
        <v>677</v>
      </c>
      <c r="P428" s="25" t="s">
        <v>53</v>
      </c>
      <c r="Q428" s="20" t="s">
        <v>2236</v>
      </c>
      <c r="R428" s="20">
        <v>53723306</v>
      </c>
      <c r="S428" s="25" t="s">
        <v>55</v>
      </c>
      <c r="T428" s="26" t="s">
        <v>56</v>
      </c>
      <c r="U428" s="23">
        <v>865356065729121</v>
      </c>
      <c r="V428" s="27" t="s">
        <v>183</v>
      </c>
      <c r="W428" s="20" t="s">
        <v>129</v>
      </c>
      <c r="X428" s="20" t="s">
        <v>130</v>
      </c>
      <c r="Y428" s="20" t="s">
        <v>130</v>
      </c>
      <c r="Z428" s="20" t="s">
        <v>60</v>
      </c>
      <c r="AA428" s="20" t="s">
        <v>61</v>
      </c>
      <c r="AB428" s="20" t="s">
        <v>96</v>
      </c>
      <c r="AC428" s="28">
        <v>369.83</v>
      </c>
      <c r="AD428" s="28">
        <f>SUM(BASE[[#This Row],[MONTO DE RENTA ]]*1.16)</f>
        <v>429.00279999999998</v>
      </c>
      <c r="AE428" s="28" t="s">
        <v>63</v>
      </c>
      <c r="AF428" s="28">
        <v>369.82758620689657</v>
      </c>
      <c r="AG428" s="28">
        <v>429</v>
      </c>
      <c r="AI428" s="63">
        <v>44937</v>
      </c>
      <c r="AJ428" s="73">
        <v>46043</v>
      </c>
      <c r="AK4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28" s="30"/>
      <c r="AN428" s="20" t="s">
        <v>99</v>
      </c>
      <c r="AP428" s="20" t="s">
        <v>84</v>
      </c>
      <c r="AQ428" s="20" t="s">
        <v>100</v>
      </c>
    </row>
    <row r="429" spans="1:43" ht="16">
      <c r="A429" s="20">
        <v>3141295225</v>
      </c>
      <c r="B429" s="21">
        <v>575005</v>
      </c>
      <c r="C429" s="20" t="s">
        <v>1403</v>
      </c>
      <c r="D429" s="20" t="s">
        <v>711</v>
      </c>
      <c r="E429" s="20" t="s">
        <v>358</v>
      </c>
      <c r="F429" s="20" t="s">
        <v>257</v>
      </c>
      <c r="G429" s="20" t="s">
        <v>257</v>
      </c>
      <c r="H429" s="20" t="s">
        <v>48</v>
      </c>
      <c r="I429" s="20" t="s">
        <v>257</v>
      </c>
      <c r="J429" s="22" t="s">
        <v>2237</v>
      </c>
      <c r="K429" s="22" t="s">
        <v>2237</v>
      </c>
      <c r="L429" s="23" t="s">
        <v>2225</v>
      </c>
      <c r="M429" s="24" t="s">
        <v>7746</v>
      </c>
      <c r="N429" s="23">
        <v>18657000</v>
      </c>
      <c r="O429" s="25" t="s">
        <v>677</v>
      </c>
      <c r="P429" s="25" t="s">
        <v>53</v>
      </c>
      <c r="Q429" s="20" t="s">
        <v>2238</v>
      </c>
      <c r="R429" s="20">
        <v>53345545</v>
      </c>
      <c r="S429" s="25" t="s">
        <v>2239</v>
      </c>
      <c r="T429" s="26" t="s">
        <v>57</v>
      </c>
      <c r="U429" s="23">
        <v>860478064809400</v>
      </c>
      <c r="V429" s="45" t="s">
        <v>110</v>
      </c>
      <c r="W429" s="20" t="s">
        <v>302</v>
      </c>
      <c r="X429" s="20" t="s">
        <v>303</v>
      </c>
      <c r="Y429" s="20" t="s">
        <v>303</v>
      </c>
      <c r="Z429" s="20" t="s">
        <v>80</v>
      </c>
      <c r="AA429" s="20" t="s">
        <v>81</v>
      </c>
      <c r="AB429" s="20" t="s">
        <v>82</v>
      </c>
      <c r="AC429" s="28">
        <v>559.48</v>
      </c>
      <c r="AD429" s="28">
        <f>SUM(BASE[[#This Row],[MONTO DE RENTA ]]*1.16)</f>
        <v>648.99680000000001</v>
      </c>
      <c r="AE429" s="28" t="s">
        <v>83</v>
      </c>
      <c r="AF429" s="28">
        <v>559.48275862068965</v>
      </c>
      <c r="AG429" s="28">
        <v>649</v>
      </c>
      <c r="AH429" s="22" t="s">
        <v>64</v>
      </c>
      <c r="AI429" s="63">
        <v>45703</v>
      </c>
      <c r="AJ429" s="63">
        <v>46433</v>
      </c>
      <c r="AK4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29" s="30"/>
      <c r="AN429" s="20" t="s">
        <v>65</v>
      </c>
      <c r="AP429" s="20" t="s">
        <v>84</v>
      </c>
    </row>
    <row r="430" spans="1:43" ht="16">
      <c r="A430" s="20">
        <v>3141290440</v>
      </c>
      <c r="B430" s="21">
        <v>1005059</v>
      </c>
      <c r="C430" s="20" t="s">
        <v>639</v>
      </c>
      <c r="D430" s="20" t="s">
        <v>895</v>
      </c>
      <c r="E430" s="20" t="s">
        <v>2240</v>
      </c>
      <c r="F430" s="20" t="s">
        <v>104</v>
      </c>
      <c r="G430" s="20" t="s">
        <v>104</v>
      </c>
      <c r="H430" s="20" t="s">
        <v>48</v>
      </c>
      <c r="I430" s="20" t="s">
        <v>104</v>
      </c>
      <c r="J430" s="22" t="s">
        <v>2241</v>
      </c>
      <c r="K430" s="22" t="s">
        <v>2241</v>
      </c>
      <c r="L430" s="23" t="s">
        <v>2225</v>
      </c>
      <c r="M430" s="24" t="s">
        <v>7746</v>
      </c>
      <c r="N430" s="23">
        <v>18657000</v>
      </c>
      <c r="O430" s="25" t="s">
        <v>677</v>
      </c>
      <c r="P430" s="25" t="s">
        <v>53</v>
      </c>
      <c r="Q430" s="20" t="s">
        <v>2242</v>
      </c>
      <c r="R430" s="20">
        <v>53345546</v>
      </c>
      <c r="S430" s="25" t="s">
        <v>2243</v>
      </c>
      <c r="T430" s="26" t="s">
        <v>57</v>
      </c>
      <c r="U430" s="23">
        <v>860478063793548</v>
      </c>
      <c r="V430" s="45" t="s">
        <v>110</v>
      </c>
      <c r="W430" s="20" t="s">
        <v>302</v>
      </c>
      <c r="X430" s="20" t="s">
        <v>303</v>
      </c>
      <c r="Y430" s="20" t="s">
        <v>303</v>
      </c>
      <c r="Z430" s="20" t="s">
        <v>80</v>
      </c>
      <c r="AA430" s="20" t="s">
        <v>81</v>
      </c>
      <c r="AB430" s="20" t="s">
        <v>82</v>
      </c>
      <c r="AC430" s="28">
        <v>559.48</v>
      </c>
      <c r="AD430" s="28">
        <f>SUM(BASE[[#This Row],[MONTO DE RENTA ]]*1.16)</f>
        <v>648.99680000000001</v>
      </c>
      <c r="AE430" s="28" t="s">
        <v>83</v>
      </c>
      <c r="AF430" s="28">
        <v>559.48275862068965</v>
      </c>
      <c r="AG430" s="28">
        <v>649</v>
      </c>
      <c r="AH430" s="22" t="s">
        <v>64</v>
      </c>
      <c r="AI430" s="63">
        <v>45703</v>
      </c>
      <c r="AJ430" s="63">
        <v>46433</v>
      </c>
      <c r="AK4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0" s="30"/>
      <c r="AN430" s="20" t="s">
        <v>65</v>
      </c>
      <c r="AP430" s="20" t="s">
        <v>84</v>
      </c>
    </row>
    <row r="431" spans="1:43" ht="16">
      <c r="A431" s="20">
        <v>3141124738</v>
      </c>
      <c r="B431" s="49">
        <v>300064</v>
      </c>
      <c r="C431" s="20" t="s">
        <v>506</v>
      </c>
      <c r="D431" s="20" t="s">
        <v>456</v>
      </c>
      <c r="E431" s="20" t="s">
        <v>477</v>
      </c>
      <c r="F431" s="20" t="s">
        <v>70</v>
      </c>
      <c r="G431" s="20" t="s">
        <v>70</v>
      </c>
      <c r="H431" s="20" t="s">
        <v>48</v>
      </c>
      <c r="I431" s="20" t="s">
        <v>70</v>
      </c>
      <c r="J431" s="22" t="s">
        <v>2244</v>
      </c>
      <c r="K431" s="22" t="s">
        <v>2244</v>
      </c>
      <c r="L431" s="23" t="s">
        <v>2225</v>
      </c>
      <c r="M431" s="24" t="s">
        <v>7746</v>
      </c>
      <c r="N431" s="23">
        <v>18657000</v>
      </c>
      <c r="O431" s="25" t="s">
        <v>677</v>
      </c>
      <c r="P431" s="25" t="s">
        <v>53</v>
      </c>
      <c r="Q431" s="20" t="s">
        <v>2245</v>
      </c>
      <c r="R431" s="20">
        <v>53162338</v>
      </c>
      <c r="S431" s="25" t="s">
        <v>55</v>
      </c>
      <c r="T431" s="26" t="s">
        <v>56</v>
      </c>
      <c r="U431" s="23">
        <v>357654179802569</v>
      </c>
      <c r="V431" s="27" t="s">
        <v>78</v>
      </c>
      <c r="W431" s="20" t="s">
        <v>95</v>
      </c>
      <c r="X431" s="20" t="s">
        <v>95</v>
      </c>
      <c r="Y431" s="20" t="s">
        <v>95</v>
      </c>
      <c r="Z431" s="20" t="s">
        <v>60</v>
      </c>
      <c r="AA431" s="20" t="s">
        <v>61</v>
      </c>
      <c r="AB431" s="20" t="s">
        <v>82</v>
      </c>
      <c r="AC431" s="28">
        <v>559.48</v>
      </c>
      <c r="AD431" s="28">
        <f>SUM(BASE[[#This Row],[MONTO DE RENTA ]]*1.16)</f>
        <v>648.99680000000001</v>
      </c>
      <c r="AE431" s="28" t="s">
        <v>83</v>
      </c>
      <c r="AF431" s="28">
        <v>559.48275862068965</v>
      </c>
      <c r="AG431" s="28">
        <v>649</v>
      </c>
      <c r="AI431" s="63">
        <v>44937</v>
      </c>
      <c r="AJ431" s="73">
        <v>46043</v>
      </c>
      <c r="AK43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31" s="30"/>
      <c r="AN431" s="20" t="s">
        <v>99</v>
      </c>
      <c r="AP431" s="20" t="s">
        <v>84</v>
      </c>
      <c r="AQ431" s="20" t="s">
        <v>100</v>
      </c>
    </row>
    <row r="432" spans="1:43" ht="16">
      <c r="A432" s="20">
        <v>2711109781</v>
      </c>
      <c r="B432" s="21">
        <v>585083</v>
      </c>
      <c r="C432" s="20" t="s">
        <v>1319</v>
      </c>
      <c r="D432" s="20" t="s">
        <v>711</v>
      </c>
      <c r="E432" s="20" t="s">
        <v>172</v>
      </c>
      <c r="F432" s="20" t="s">
        <v>418</v>
      </c>
      <c r="G432" s="20" t="s">
        <v>47</v>
      </c>
      <c r="H432" s="20" t="s">
        <v>48</v>
      </c>
      <c r="I432" s="20" t="s">
        <v>418</v>
      </c>
      <c r="J432" s="22" t="s">
        <v>2246</v>
      </c>
      <c r="K432" s="22" t="s">
        <v>2246</v>
      </c>
      <c r="L432" s="23" t="s">
        <v>2247</v>
      </c>
      <c r="M432" s="24" t="s">
        <v>7753</v>
      </c>
      <c r="N432" s="23">
        <v>18658000</v>
      </c>
      <c r="O432" s="25" t="s">
        <v>828</v>
      </c>
      <c r="P432" s="25" t="s">
        <v>53</v>
      </c>
      <c r="Q432" s="20" t="s">
        <v>2248</v>
      </c>
      <c r="R432" s="20">
        <v>73085097</v>
      </c>
      <c r="S432" s="25" t="s">
        <v>2249</v>
      </c>
      <c r="T432" s="26" t="s">
        <v>57</v>
      </c>
      <c r="U432" s="23">
        <v>860900062338777</v>
      </c>
      <c r="V432" s="27" t="s">
        <v>57</v>
      </c>
      <c r="W432" s="20" t="s">
        <v>58</v>
      </c>
      <c r="X432" s="20" t="s">
        <v>59</v>
      </c>
      <c r="Y432" s="20" t="s">
        <v>59</v>
      </c>
      <c r="Z432" s="20" t="s">
        <v>60</v>
      </c>
      <c r="AA432" s="20" t="s">
        <v>61</v>
      </c>
      <c r="AB432" s="20" t="s">
        <v>96</v>
      </c>
      <c r="AC432" s="28">
        <v>369.83</v>
      </c>
      <c r="AD432" s="28">
        <f>SUM(BASE[[#This Row],[MONTO DE RENTA ]]*1.16)</f>
        <v>429.00279999999998</v>
      </c>
      <c r="AE432" s="28" t="s">
        <v>63</v>
      </c>
      <c r="AF432" s="28">
        <v>369.82758620689657</v>
      </c>
      <c r="AG432" s="28">
        <v>429</v>
      </c>
      <c r="AH432" s="22" t="s">
        <v>64</v>
      </c>
      <c r="AI432" s="29">
        <v>45703</v>
      </c>
      <c r="AJ432" s="29">
        <v>46433</v>
      </c>
      <c r="AK4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2" s="30"/>
      <c r="AN432" s="20" t="s">
        <v>65</v>
      </c>
      <c r="AP432" s="20" t="s">
        <v>84</v>
      </c>
    </row>
    <row r="433" spans="1:43" ht="16">
      <c r="A433" s="20">
        <v>2711110668</v>
      </c>
      <c r="B433" s="190">
        <v>998411</v>
      </c>
      <c r="C433" s="20" t="s">
        <v>279</v>
      </c>
      <c r="D433" s="20" t="s">
        <v>347</v>
      </c>
      <c r="E433" s="20" t="s">
        <v>340</v>
      </c>
      <c r="F433" s="20" t="s">
        <v>248</v>
      </c>
      <c r="G433" s="20" t="s">
        <v>248</v>
      </c>
      <c r="H433" s="20" t="s">
        <v>48</v>
      </c>
      <c r="I433" s="20" t="s">
        <v>248</v>
      </c>
      <c r="J433" s="54" t="s">
        <v>2250</v>
      </c>
      <c r="K433" s="54" t="s">
        <v>2250</v>
      </c>
      <c r="L433" s="25" t="s">
        <v>2247</v>
      </c>
      <c r="M433" s="24" t="s">
        <v>7753</v>
      </c>
      <c r="N433" s="23">
        <v>18658000</v>
      </c>
      <c r="O433" s="25" t="s">
        <v>828</v>
      </c>
      <c r="P433" s="25" t="s">
        <v>53</v>
      </c>
      <c r="Q433" s="20" t="s">
        <v>2251</v>
      </c>
      <c r="R433" s="20">
        <v>73065655</v>
      </c>
      <c r="S433" s="25" t="s">
        <v>2252</v>
      </c>
      <c r="T433" s="44" t="s">
        <v>57</v>
      </c>
      <c r="U433" s="23">
        <v>860900062321856</v>
      </c>
      <c r="V433" s="27" t="s">
        <v>57</v>
      </c>
      <c r="W433" s="20" t="s">
        <v>58</v>
      </c>
      <c r="X433" s="20" t="s">
        <v>59</v>
      </c>
      <c r="Y433" s="20" t="s">
        <v>59</v>
      </c>
      <c r="Z433" s="20" t="s">
        <v>60</v>
      </c>
      <c r="AA433" s="20" t="s">
        <v>61</v>
      </c>
      <c r="AB433" s="20" t="s">
        <v>96</v>
      </c>
      <c r="AC433" s="28">
        <v>369.83</v>
      </c>
      <c r="AD433" s="28">
        <f>SUM(BASE[[#This Row],[MONTO DE RENTA ]]*1.16)</f>
        <v>429.00279999999998</v>
      </c>
      <c r="AE433" s="28" t="s">
        <v>63</v>
      </c>
      <c r="AF433" s="28">
        <v>369.82758620689657</v>
      </c>
      <c r="AG433" s="28">
        <v>429</v>
      </c>
      <c r="AH433" s="22" t="s">
        <v>64</v>
      </c>
      <c r="AI433" s="63">
        <v>45703</v>
      </c>
      <c r="AJ433" s="63">
        <v>46433</v>
      </c>
      <c r="AK4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3" s="30"/>
      <c r="AN433" s="20" t="s">
        <v>65</v>
      </c>
      <c r="AP433" s="20" t="s">
        <v>84</v>
      </c>
    </row>
    <row r="434" spans="1:43" ht="16">
      <c r="A434" s="20">
        <v>2711111114</v>
      </c>
      <c r="B434" s="21">
        <v>1071773</v>
      </c>
      <c r="C434" s="20" t="s">
        <v>2253</v>
      </c>
      <c r="D434" s="20" t="s">
        <v>645</v>
      </c>
      <c r="E434" s="20" t="s">
        <v>1816</v>
      </c>
      <c r="F434" s="20" t="s">
        <v>257</v>
      </c>
      <c r="G434" s="20" t="s">
        <v>257</v>
      </c>
      <c r="H434" s="20" t="s">
        <v>48</v>
      </c>
      <c r="I434" s="20" t="s">
        <v>257</v>
      </c>
      <c r="J434" s="22" t="s">
        <v>2254</v>
      </c>
      <c r="K434" s="22" t="s">
        <v>2254</v>
      </c>
      <c r="L434" s="23" t="s">
        <v>2247</v>
      </c>
      <c r="M434" s="24" t="s">
        <v>7753</v>
      </c>
      <c r="N434" s="23">
        <v>18658000</v>
      </c>
      <c r="O434" s="25" t="s">
        <v>828</v>
      </c>
      <c r="P434" s="25" t="s">
        <v>53</v>
      </c>
      <c r="Q434" s="20" t="s">
        <v>2255</v>
      </c>
      <c r="R434" s="20">
        <v>73004492</v>
      </c>
      <c r="S434" s="25" t="s">
        <v>2256</v>
      </c>
      <c r="T434" s="65" t="s">
        <v>57</v>
      </c>
      <c r="U434" s="23">
        <v>860478064953042</v>
      </c>
      <c r="V434" s="45" t="s">
        <v>110</v>
      </c>
      <c r="W434" s="20" t="s">
        <v>302</v>
      </c>
      <c r="X434" s="20" t="s">
        <v>303</v>
      </c>
      <c r="Y434" s="20" t="s">
        <v>303</v>
      </c>
      <c r="Z434" s="20" t="s">
        <v>80</v>
      </c>
      <c r="AA434" s="20" t="s">
        <v>81</v>
      </c>
      <c r="AB434" s="20" t="s">
        <v>82</v>
      </c>
      <c r="AC434" s="28">
        <v>559.48</v>
      </c>
      <c r="AD434" s="28">
        <f>SUM(BASE[[#This Row],[MONTO DE RENTA ]]*1.16)</f>
        <v>648.99680000000001</v>
      </c>
      <c r="AE434" s="28" t="s">
        <v>83</v>
      </c>
      <c r="AF434" s="28">
        <v>559.48275862068965</v>
      </c>
      <c r="AG434" s="28">
        <v>649</v>
      </c>
      <c r="AH434" s="22" t="s">
        <v>253</v>
      </c>
      <c r="AI434" s="63">
        <v>45710</v>
      </c>
      <c r="AJ434" s="63">
        <v>46402</v>
      </c>
      <c r="AK43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434" s="20">
        <v>18658000</v>
      </c>
      <c r="AM434" s="30" t="s">
        <v>2257</v>
      </c>
      <c r="AN434" s="20" t="s">
        <v>65</v>
      </c>
      <c r="AP434" s="20" t="s">
        <v>84</v>
      </c>
    </row>
    <row r="435" spans="1:43" ht="16">
      <c r="A435" s="20">
        <v>2711109992</v>
      </c>
      <c r="B435" s="21">
        <v>585015</v>
      </c>
      <c r="C435" s="20" t="s">
        <v>2258</v>
      </c>
      <c r="D435" s="20" t="s">
        <v>102</v>
      </c>
      <c r="E435" s="20">
        <v>0</v>
      </c>
      <c r="F435" s="20" t="s">
        <v>384</v>
      </c>
      <c r="G435" s="20" t="s">
        <v>104</v>
      </c>
      <c r="H435" s="20" t="s">
        <v>48</v>
      </c>
      <c r="I435" s="20" t="s">
        <v>384</v>
      </c>
      <c r="J435" s="22" t="s">
        <v>2259</v>
      </c>
      <c r="K435" s="32" t="s">
        <v>2259</v>
      </c>
      <c r="L435" s="23" t="s">
        <v>2247</v>
      </c>
      <c r="M435" s="24" t="s">
        <v>7753</v>
      </c>
      <c r="N435" s="23">
        <v>18658000</v>
      </c>
      <c r="O435" s="25" t="s">
        <v>828</v>
      </c>
      <c r="P435" s="25" t="s">
        <v>53</v>
      </c>
      <c r="Q435" s="20" t="s">
        <v>2260</v>
      </c>
      <c r="R435" s="20">
        <v>73076069</v>
      </c>
      <c r="S435" s="25" t="s">
        <v>2261</v>
      </c>
      <c r="T435" s="26" t="s">
        <v>57</v>
      </c>
      <c r="U435" s="23">
        <v>860478062377731</v>
      </c>
      <c r="V435" s="45" t="s">
        <v>110</v>
      </c>
      <c r="W435" s="20" t="s">
        <v>302</v>
      </c>
      <c r="X435" s="20" t="s">
        <v>303</v>
      </c>
      <c r="Y435" s="20" t="s">
        <v>303</v>
      </c>
      <c r="Z435" s="20" t="s">
        <v>131</v>
      </c>
      <c r="AA435" s="20" t="s">
        <v>132</v>
      </c>
      <c r="AB435" s="20" t="s">
        <v>82</v>
      </c>
      <c r="AC435" s="28">
        <v>559.48</v>
      </c>
      <c r="AD435" s="28">
        <f>SUM(BASE[[#This Row],[MONTO DE RENTA ]]*1.16)</f>
        <v>648.99680000000001</v>
      </c>
      <c r="AE435" s="28" t="s">
        <v>83</v>
      </c>
      <c r="AF435" s="28">
        <v>559.48275862068965</v>
      </c>
      <c r="AG435" s="28">
        <v>649</v>
      </c>
      <c r="AH435" s="22" t="s">
        <v>64</v>
      </c>
      <c r="AI435" s="63">
        <v>45703</v>
      </c>
      <c r="AJ435" s="63">
        <v>46433</v>
      </c>
      <c r="AK4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5" s="30"/>
      <c r="AN435" s="20" t="s">
        <v>65</v>
      </c>
      <c r="AP435" s="20" t="s">
        <v>84</v>
      </c>
    </row>
    <row r="436" spans="1:43" ht="16">
      <c r="A436" s="20">
        <v>2711109984</v>
      </c>
      <c r="B436" s="21">
        <v>585060</v>
      </c>
      <c r="C436" s="20" t="s">
        <v>2262</v>
      </c>
      <c r="D436" s="20" t="s">
        <v>442</v>
      </c>
      <c r="E436" s="20" t="s">
        <v>2016</v>
      </c>
      <c r="F436" s="20" t="s">
        <v>104</v>
      </c>
      <c r="G436" s="20" t="s">
        <v>104</v>
      </c>
      <c r="H436" s="20" t="s">
        <v>48</v>
      </c>
      <c r="I436" s="20" t="s">
        <v>104</v>
      </c>
      <c r="J436" s="32" t="s">
        <v>2263</v>
      </c>
      <c r="K436" s="22" t="s">
        <v>2263</v>
      </c>
      <c r="L436" s="23" t="s">
        <v>2247</v>
      </c>
      <c r="M436" s="24" t="s">
        <v>7753</v>
      </c>
      <c r="N436" s="23">
        <v>18658000</v>
      </c>
      <c r="O436" s="25" t="s">
        <v>828</v>
      </c>
      <c r="P436" s="25" t="s">
        <v>53</v>
      </c>
      <c r="Q436" s="20" t="s">
        <v>2264</v>
      </c>
      <c r="R436" s="20">
        <v>73076067</v>
      </c>
      <c r="S436" s="25" t="s">
        <v>2265</v>
      </c>
      <c r="T436" s="26" t="s">
        <v>57</v>
      </c>
      <c r="U436" s="23">
        <v>860478064978627</v>
      </c>
      <c r="V436" s="45" t="s">
        <v>110</v>
      </c>
      <c r="W436" s="20" t="s">
        <v>302</v>
      </c>
      <c r="X436" s="20" t="s">
        <v>303</v>
      </c>
      <c r="Y436" s="20" t="s">
        <v>303</v>
      </c>
      <c r="Z436" s="20" t="s">
        <v>80</v>
      </c>
      <c r="AA436" s="20" t="s">
        <v>81</v>
      </c>
      <c r="AB436" s="20" t="s">
        <v>82</v>
      </c>
      <c r="AC436" s="28">
        <v>559.48</v>
      </c>
      <c r="AD436" s="28">
        <f>SUM(BASE[[#This Row],[MONTO DE RENTA ]]*1.16)</f>
        <v>648.99680000000001</v>
      </c>
      <c r="AE436" s="28" t="s">
        <v>83</v>
      </c>
      <c r="AF436" s="28">
        <v>559.48275862068965</v>
      </c>
      <c r="AG436" s="28">
        <v>649</v>
      </c>
      <c r="AH436" s="22" t="s">
        <v>64</v>
      </c>
      <c r="AI436" s="63">
        <v>45703</v>
      </c>
      <c r="AJ436" s="63">
        <v>46433</v>
      </c>
      <c r="AK4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6" s="30"/>
      <c r="AN436" s="20" t="s">
        <v>65</v>
      </c>
      <c r="AP436" s="20" t="s">
        <v>84</v>
      </c>
    </row>
    <row r="437" spans="1:43" ht="16">
      <c r="A437" s="20">
        <v>2711858260</v>
      </c>
      <c r="B437" s="21">
        <v>0</v>
      </c>
      <c r="C437" s="20" t="s">
        <v>1653</v>
      </c>
      <c r="D437" s="20" t="s">
        <v>1654</v>
      </c>
      <c r="E437" s="20" t="s">
        <v>1655</v>
      </c>
      <c r="F437" s="20" t="s">
        <v>1656</v>
      </c>
      <c r="G437" s="20" t="s">
        <v>122</v>
      </c>
      <c r="H437" s="20" t="s">
        <v>1657</v>
      </c>
      <c r="I437" s="20" t="s">
        <v>1658</v>
      </c>
      <c r="J437" s="32" t="s">
        <v>2266</v>
      </c>
      <c r="K437" s="22" t="s">
        <v>2267</v>
      </c>
      <c r="L437" s="23" t="s">
        <v>2247</v>
      </c>
      <c r="M437" s="24" t="s">
        <v>7753</v>
      </c>
      <c r="N437" s="23" t="s">
        <v>1661</v>
      </c>
      <c r="O437" s="25" t="s">
        <v>828</v>
      </c>
      <c r="P437" s="25" t="s">
        <v>1662</v>
      </c>
      <c r="Q437" s="20" t="s">
        <v>2268</v>
      </c>
      <c r="R437" s="20">
        <v>73776628</v>
      </c>
      <c r="S437" s="25" t="s">
        <v>2269</v>
      </c>
      <c r="T437" s="26" t="s">
        <v>57</v>
      </c>
      <c r="U437" s="23">
        <v>860900062338736</v>
      </c>
      <c r="V437" s="27" t="s">
        <v>57</v>
      </c>
      <c r="W437" s="20" t="s">
        <v>58</v>
      </c>
      <c r="X437" s="20" t="s">
        <v>59</v>
      </c>
      <c r="Y437" s="20" t="s">
        <v>59</v>
      </c>
      <c r="Z437" s="20" t="s">
        <v>60</v>
      </c>
      <c r="AA437" s="20" t="s">
        <v>61</v>
      </c>
      <c r="AB437" s="20" t="s">
        <v>96</v>
      </c>
      <c r="AC437" s="28">
        <v>369.83</v>
      </c>
      <c r="AD437" s="28">
        <f>SUM(BASE[[#This Row],[MONTO DE RENTA ]]*1.16)</f>
        <v>429.00279999999998</v>
      </c>
      <c r="AE437" s="28" t="s">
        <v>63</v>
      </c>
      <c r="AF437" s="28">
        <v>369.82758620689657</v>
      </c>
      <c r="AG437" s="28">
        <v>429</v>
      </c>
      <c r="AH437" s="22" t="s">
        <v>64</v>
      </c>
      <c r="AI437" s="63">
        <v>45703</v>
      </c>
      <c r="AJ437" s="63">
        <v>46433</v>
      </c>
      <c r="AK4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7" s="30"/>
      <c r="AN437" s="20" t="s">
        <v>65</v>
      </c>
      <c r="AP437" s="20" t="s">
        <v>84</v>
      </c>
    </row>
    <row r="438" spans="1:43" ht="16">
      <c r="A438" s="20">
        <v>2711167863</v>
      </c>
      <c r="B438" s="49">
        <v>740266</v>
      </c>
      <c r="C438" s="20" t="s">
        <v>2270</v>
      </c>
      <c r="D438" s="20" t="s">
        <v>2271</v>
      </c>
      <c r="E438" s="20" t="s">
        <v>405</v>
      </c>
      <c r="F438" s="20" t="s">
        <v>70</v>
      </c>
      <c r="G438" s="20" t="s">
        <v>70</v>
      </c>
      <c r="H438" s="20" t="s">
        <v>48</v>
      </c>
      <c r="I438" s="20" t="s">
        <v>70</v>
      </c>
      <c r="J438" s="22" t="s">
        <v>2272</v>
      </c>
      <c r="K438" s="22" t="s">
        <v>2272</v>
      </c>
      <c r="L438" s="23" t="s">
        <v>2247</v>
      </c>
      <c r="M438" s="24" t="s">
        <v>7753</v>
      </c>
      <c r="N438" s="23">
        <v>18658000</v>
      </c>
      <c r="O438" s="25" t="s">
        <v>828</v>
      </c>
      <c r="P438" s="25" t="s">
        <v>53</v>
      </c>
      <c r="Q438" s="20" t="s">
        <v>2273</v>
      </c>
      <c r="R438" s="20">
        <v>72922690</v>
      </c>
      <c r="S438" s="25" t="s">
        <v>55</v>
      </c>
      <c r="T438" s="26" t="s">
        <v>56</v>
      </c>
      <c r="U438" s="23">
        <v>357894929814502</v>
      </c>
      <c r="V438" s="27" t="s">
        <v>78</v>
      </c>
      <c r="W438" s="20" t="s">
        <v>95</v>
      </c>
      <c r="X438" s="20" t="s">
        <v>95</v>
      </c>
      <c r="Y438" s="20" t="s">
        <v>95</v>
      </c>
      <c r="Z438" s="20" t="s">
        <v>60</v>
      </c>
      <c r="AA438" s="20" t="s">
        <v>61</v>
      </c>
      <c r="AB438" s="20" t="s">
        <v>82</v>
      </c>
      <c r="AC438" s="28">
        <v>559.48</v>
      </c>
      <c r="AD438" s="28">
        <f>SUM(BASE[[#This Row],[MONTO DE RENTA ]]*1.16)</f>
        <v>648.99680000000001</v>
      </c>
      <c r="AE438" s="28" t="s">
        <v>83</v>
      </c>
      <c r="AF438" s="28">
        <v>559.48275862068965</v>
      </c>
      <c r="AG438" s="28">
        <v>649</v>
      </c>
      <c r="AI438" s="29">
        <v>44937</v>
      </c>
      <c r="AJ438" s="50">
        <v>46043</v>
      </c>
      <c r="AK43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38" s="30"/>
      <c r="AN438" s="20" t="s">
        <v>99</v>
      </c>
      <c r="AP438" s="20" t="s">
        <v>84</v>
      </c>
      <c r="AQ438" s="20" t="s">
        <v>100</v>
      </c>
    </row>
    <row r="439" spans="1:43" ht="16">
      <c r="A439" s="20">
        <v>3313169844</v>
      </c>
      <c r="B439" s="21">
        <v>996019</v>
      </c>
      <c r="C439" s="20" t="s">
        <v>2274</v>
      </c>
      <c r="D439" s="20" t="s">
        <v>358</v>
      </c>
      <c r="E439" s="20" t="s">
        <v>2275</v>
      </c>
      <c r="F439" s="20" t="s">
        <v>418</v>
      </c>
      <c r="G439" s="20" t="s">
        <v>47</v>
      </c>
      <c r="H439" s="20" t="s">
        <v>48</v>
      </c>
      <c r="I439" s="20" t="s">
        <v>418</v>
      </c>
      <c r="J439" s="22" t="s">
        <v>2276</v>
      </c>
      <c r="K439" s="22" t="s">
        <v>2276</v>
      </c>
      <c r="L439" s="23" t="s">
        <v>2277</v>
      </c>
      <c r="M439" s="24" t="s">
        <v>7746</v>
      </c>
      <c r="N439" s="23">
        <v>18659000</v>
      </c>
      <c r="O439" s="25" t="s">
        <v>677</v>
      </c>
      <c r="P439" s="25" t="s">
        <v>53</v>
      </c>
      <c r="Q439" s="20" t="s">
        <v>2278</v>
      </c>
      <c r="R439" s="20">
        <v>53309039</v>
      </c>
      <c r="S439" s="25" t="s">
        <v>2279</v>
      </c>
      <c r="T439" s="26" t="s">
        <v>57</v>
      </c>
      <c r="U439" s="23">
        <v>860900062238514</v>
      </c>
      <c r="V439" s="27" t="s">
        <v>57</v>
      </c>
      <c r="W439" s="20" t="s">
        <v>58</v>
      </c>
      <c r="X439" s="20" t="s">
        <v>59</v>
      </c>
      <c r="Y439" s="20" t="s">
        <v>59</v>
      </c>
      <c r="Z439" s="20" t="s">
        <v>80</v>
      </c>
      <c r="AA439" s="20" t="s">
        <v>81</v>
      </c>
      <c r="AB439" s="20" t="s">
        <v>96</v>
      </c>
      <c r="AC439" s="28">
        <v>369.83</v>
      </c>
      <c r="AD439" s="28">
        <f>SUM(BASE[[#This Row],[MONTO DE RENTA ]]*1.16)</f>
        <v>429.00279999999998</v>
      </c>
      <c r="AE439" s="28" t="s">
        <v>63</v>
      </c>
      <c r="AF439" s="28">
        <v>369.82758620689657</v>
      </c>
      <c r="AG439" s="28">
        <v>429</v>
      </c>
      <c r="AH439" s="22" t="s">
        <v>64</v>
      </c>
      <c r="AI439" s="63">
        <v>45703</v>
      </c>
      <c r="AJ439" s="63">
        <v>46433</v>
      </c>
      <c r="AK4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39" s="30"/>
      <c r="AN439" s="20" t="s">
        <v>65</v>
      </c>
      <c r="AP439" s="20" t="s">
        <v>84</v>
      </c>
    </row>
    <row r="440" spans="1:43" ht="16">
      <c r="A440" s="20">
        <v>3314011603</v>
      </c>
      <c r="B440" s="21">
        <v>595002</v>
      </c>
      <c r="C440" s="20" t="s">
        <v>861</v>
      </c>
      <c r="D440" s="20" t="s">
        <v>102</v>
      </c>
      <c r="E440" s="20" t="s">
        <v>2280</v>
      </c>
      <c r="F440" s="20" t="s">
        <v>46</v>
      </c>
      <c r="G440" s="20" t="s">
        <v>248</v>
      </c>
      <c r="H440" s="20" t="s">
        <v>48</v>
      </c>
      <c r="I440" s="20" t="s">
        <v>46</v>
      </c>
      <c r="J440" s="22" t="s">
        <v>2281</v>
      </c>
      <c r="K440" s="22" t="s">
        <v>2281</v>
      </c>
      <c r="L440" s="23" t="s">
        <v>2277</v>
      </c>
      <c r="M440" s="24" t="s">
        <v>7746</v>
      </c>
      <c r="N440" s="23">
        <v>18659000</v>
      </c>
      <c r="O440" s="25" t="s">
        <v>677</v>
      </c>
      <c r="P440" s="25" t="s">
        <v>53</v>
      </c>
      <c r="Q440" s="20" t="s">
        <v>2282</v>
      </c>
      <c r="R440" s="20">
        <v>53335825</v>
      </c>
      <c r="S440" s="25" t="s">
        <v>2283</v>
      </c>
      <c r="T440" s="26" t="s">
        <v>57</v>
      </c>
      <c r="U440" s="23">
        <v>860900062256144</v>
      </c>
      <c r="V440" s="27" t="s">
        <v>57</v>
      </c>
      <c r="W440" s="20" t="s">
        <v>58</v>
      </c>
      <c r="X440" s="20" t="s">
        <v>59</v>
      </c>
      <c r="Y440" s="20" t="s">
        <v>59</v>
      </c>
      <c r="Z440" s="20" t="s">
        <v>80</v>
      </c>
      <c r="AA440" s="20" t="s">
        <v>81</v>
      </c>
      <c r="AB440" s="20" t="s">
        <v>96</v>
      </c>
      <c r="AC440" s="28">
        <v>369.83</v>
      </c>
      <c r="AD440" s="28">
        <f>SUM(BASE[[#This Row],[MONTO DE RENTA ]]*1.16)</f>
        <v>429.00279999999998</v>
      </c>
      <c r="AE440" s="28" t="s">
        <v>63</v>
      </c>
      <c r="AF440" s="28">
        <v>369.82758620689657</v>
      </c>
      <c r="AG440" s="28">
        <v>429</v>
      </c>
      <c r="AH440" s="22" t="s">
        <v>64</v>
      </c>
      <c r="AI440" s="63">
        <v>45703</v>
      </c>
      <c r="AJ440" s="63">
        <v>46433</v>
      </c>
      <c r="AK4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0" s="30"/>
      <c r="AN440" s="20" t="s">
        <v>65</v>
      </c>
      <c r="AP440" s="20" t="s">
        <v>84</v>
      </c>
    </row>
    <row r="441" spans="1:43" ht="16">
      <c r="A441" s="20">
        <v>3314956648</v>
      </c>
      <c r="B441" s="21">
        <v>1039789</v>
      </c>
      <c r="C441" s="20" t="s">
        <v>2284</v>
      </c>
      <c r="D441" s="20" t="s">
        <v>45</v>
      </c>
      <c r="E441" s="20" t="s">
        <v>417</v>
      </c>
      <c r="F441" s="20" t="s">
        <v>257</v>
      </c>
      <c r="G441" s="20" t="s">
        <v>257</v>
      </c>
      <c r="H441" s="20" t="s">
        <v>48</v>
      </c>
      <c r="I441" s="20" t="s">
        <v>257</v>
      </c>
      <c r="J441" s="22" t="s">
        <v>2285</v>
      </c>
      <c r="K441" s="22" t="s">
        <v>2285</v>
      </c>
      <c r="L441" s="23" t="s">
        <v>2277</v>
      </c>
      <c r="M441" s="24" t="s">
        <v>7746</v>
      </c>
      <c r="N441" s="23">
        <v>18659000</v>
      </c>
      <c r="O441" s="25" t="s">
        <v>677</v>
      </c>
      <c r="P441" s="25" t="s">
        <v>53</v>
      </c>
      <c r="Q441" s="20" t="s">
        <v>2286</v>
      </c>
      <c r="R441" s="20">
        <v>53345579</v>
      </c>
      <c r="S441" s="25" t="s">
        <v>2287</v>
      </c>
      <c r="T441" s="26" t="s">
        <v>57</v>
      </c>
      <c r="U441" s="23">
        <v>860478064793075</v>
      </c>
      <c r="V441" s="45" t="s">
        <v>110</v>
      </c>
      <c r="W441" s="20" t="s">
        <v>302</v>
      </c>
      <c r="X441" s="20" t="s">
        <v>303</v>
      </c>
      <c r="Y441" s="20" t="s">
        <v>303</v>
      </c>
      <c r="Z441" s="20" t="s">
        <v>80</v>
      </c>
      <c r="AA441" s="20" t="s">
        <v>81</v>
      </c>
      <c r="AB441" s="20" t="s">
        <v>82</v>
      </c>
      <c r="AC441" s="28">
        <v>559.48</v>
      </c>
      <c r="AD441" s="28">
        <f>SUM(BASE[[#This Row],[MONTO DE RENTA ]]*1.16)</f>
        <v>648.99680000000001</v>
      </c>
      <c r="AE441" s="28" t="s">
        <v>83</v>
      </c>
      <c r="AF441" s="28">
        <v>559.48275862068965</v>
      </c>
      <c r="AG441" s="28">
        <v>649</v>
      </c>
      <c r="AH441" s="22" t="s">
        <v>64</v>
      </c>
      <c r="AI441" s="63">
        <v>45703</v>
      </c>
      <c r="AJ441" s="63">
        <v>46433</v>
      </c>
      <c r="AK4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1" s="30"/>
      <c r="AN441" s="20" t="s">
        <v>65</v>
      </c>
      <c r="AP441" s="20" t="s">
        <v>84</v>
      </c>
    </row>
    <row r="442" spans="1:43" ht="16">
      <c r="A442" s="20">
        <v>3314957457</v>
      </c>
      <c r="B442" s="21">
        <v>720465</v>
      </c>
      <c r="C442" s="20" t="s">
        <v>2288</v>
      </c>
      <c r="D442" s="20" t="s">
        <v>2289</v>
      </c>
      <c r="E442" s="20" t="s">
        <v>187</v>
      </c>
      <c r="F442" s="20" t="s">
        <v>104</v>
      </c>
      <c r="G442" s="20" t="s">
        <v>104</v>
      </c>
      <c r="H442" s="20" t="s">
        <v>48</v>
      </c>
      <c r="I442" s="20" t="s">
        <v>104</v>
      </c>
      <c r="J442" s="22" t="s">
        <v>2290</v>
      </c>
      <c r="K442" s="22" t="s">
        <v>2290</v>
      </c>
      <c r="L442" s="23" t="s">
        <v>2277</v>
      </c>
      <c r="M442" s="24" t="s">
        <v>7746</v>
      </c>
      <c r="N442" s="23">
        <v>18659000</v>
      </c>
      <c r="O442" s="25" t="s">
        <v>677</v>
      </c>
      <c r="P442" s="25" t="s">
        <v>53</v>
      </c>
      <c r="Q442" s="20" t="s">
        <v>2291</v>
      </c>
      <c r="R442" s="20">
        <v>53345581</v>
      </c>
      <c r="S442" s="25" t="s">
        <v>2292</v>
      </c>
      <c r="T442" s="26" t="s">
        <v>57</v>
      </c>
      <c r="U442" s="23">
        <v>860478064634147</v>
      </c>
      <c r="V442" s="45" t="s">
        <v>110</v>
      </c>
      <c r="W442" s="20" t="s">
        <v>302</v>
      </c>
      <c r="X442" s="20" t="s">
        <v>303</v>
      </c>
      <c r="Y442" s="20" t="s">
        <v>303</v>
      </c>
      <c r="Z442" s="20" t="s">
        <v>80</v>
      </c>
      <c r="AA442" s="20" t="s">
        <v>81</v>
      </c>
      <c r="AB442" s="20" t="s">
        <v>82</v>
      </c>
      <c r="AC442" s="28">
        <v>559.48</v>
      </c>
      <c r="AD442" s="28">
        <f>SUM(BASE[[#This Row],[MONTO DE RENTA ]]*1.16)</f>
        <v>648.99680000000001</v>
      </c>
      <c r="AE442" s="28" t="s">
        <v>83</v>
      </c>
      <c r="AF442" s="28">
        <v>559.48275862068965</v>
      </c>
      <c r="AG442" s="28">
        <v>649</v>
      </c>
      <c r="AH442" s="22" t="s">
        <v>64</v>
      </c>
      <c r="AI442" s="63">
        <v>45703</v>
      </c>
      <c r="AJ442" s="63">
        <v>46433</v>
      </c>
      <c r="AK4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2" s="30"/>
      <c r="AN442" s="20" t="s">
        <v>65</v>
      </c>
      <c r="AP442" s="20" t="s">
        <v>84</v>
      </c>
    </row>
    <row r="443" spans="1:43" ht="16">
      <c r="A443" s="20">
        <v>3314956610</v>
      </c>
      <c r="B443" s="21">
        <v>997667</v>
      </c>
      <c r="C443" s="20" t="s">
        <v>2293</v>
      </c>
      <c r="D443" s="20" t="s">
        <v>461</v>
      </c>
      <c r="E443" s="20" t="s">
        <v>423</v>
      </c>
      <c r="F443" s="20" t="s">
        <v>104</v>
      </c>
      <c r="G443" s="20" t="s">
        <v>104</v>
      </c>
      <c r="H443" s="20" t="s">
        <v>48</v>
      </c>
      <c r="I443" s="20" t="s">
        <v>104</v>
      </c>
      <c r="J443" s="22" t="s">
        <v>2294</v>
      </c>
      <c r="K443" s="22" t="s">
        <v>2294</v>
      </c>
      <c r="L443" s="23" t="s">
        <v>2277</v>
      </c>
      <c r="M443" s="24" t="s">
        <v>7746</v>
      </c>
      <c r="N443" s="23">
        <v>18659000</v>
      </c>
      <c r="O443" s="25" t="s">
        <v>677</v>
      </c>
      <c r="P443" s="25" t="s">
        <v>53</v>
      </c>
      <c r="Q443" s="20" t="s">
        <v>2295</v>
      </c>
      <c r="R443" s="20">
        <v>53309025</v>
      </c>
      <c r="S443" s="25" t="s">
        <v>2296</v>
      </c>
      <c r="T443" s="26" t="s">
        <v>57</v>
      </c>
      <c r="U443" s="23">
        <v>860478063778465</v>
      </c>
      <c r="V443" s="45" t="s">
        <v>110</v>
      </c>
      <c r="W443" s="20" t="s">
        <v>302</v>
      </c>
      <c r="X443" s="20" t="s">
        <v>303</v>
      </c>
      <c r="Y443" s="20" t="s">
        <v>303</v>
      </c>
      <c r="Z443" s="20" t="s">
        <v>80</v>
      </c>
      <c r="AA443" s="20" t="s">
        <v>81</v>
      </c>
      <c r="AB443" s="20" t="s">
        <v>82</v>
      </c>
      <c r="AC443" s="28">
        <v>559.48</v>
      </c>
      <c r="AD443" s="28">
        <f>SUM(BASE[[#This Row],[MONTO DE RENTA ]]*1.16)</f>
        <v>648.99680000000001</v>
      </c>
      <c r="AE443" s="28" t="s">
        <v>83</v>
      </c>
      <c r="AF443" s="28">
        <v>559.48275862068965</v>
      </c>
      <c r="AG443" s="28">
        <v>649</v>
      </c>
      <c r="AH443" s="22" t="s">
        <v>64</v>
      </c>
      <c r="AI443" s="63">
        <v>45703</v>
      </c>
      <c r="AJ443" s="63">
        <v>46433</v>
      </c>
      <c r="AK4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3" s="30"/>
      <c r="AN443" s="20" t="s">
        <v>65</v>
      </c>
      <c r="AP443" s="20" t="s">
        <v>84</v>
      </c>
    </row>
    <row r="444" spans="1:43" ht="16">
      <c r="A444" s="20">
        <v>3312383571</v>
      </c>
      <c r="B444" s="49">
        <v>630030</v>
      </c>
      <c r="C444" s="20" t="s">
        <v>2297</v>
      </c>
      <c r="D444" s="20" t="s">
        <v>1205</v>
      </c>
      <c r="E444" s="20" t="s">
        <v>376</v>
      </c>
      <c r="F444" s="20" t="s">
        <v>70</v>
      </c>
      <c r="G444" s="20" t="s">
        <v>70</v>
      </c>
      <c r="H444" s="20" t="s">
        <v>48</v>
      </c>
      <c r="I444" s="20" t="s">
        <v>70</v>
      </c>
      <c r="J444" s="22" t="s">
        <v>2298</v>
      </c>
      <c r="K444" s="22" t="s">
        <v>2298</v>
      </c>
      <c r="L444" s="23" t="s">
        <v>2277</v>
      </c>
      <c r="M444" s="24" t="s">
        <v>7746</v>
      </c>
      <c r="N444" s="23">
        <v>18643000</v>
      </c>
      <c r="O444" s="25" t="s">
        <v>677</v>
      </c>
      <c r="P444" s="25" t="s">
        <v>53</v>
      </c>
      <c r="Q444" s="20" t="s">
        <v>2299</v>
      </c>
      <c r="R444" s="20">
        <v>53197267</v>
      </c>
      <c r="S444" s="25" t="s">
        <v>55</v>
      </c>
      <c r="T444" s="26" t="s">
        <v>56</v>
      </c>
      <c r="U444" s="23">
        <v>357654178560341</v>
      </c>
      <c r="V444" s="27" t="s">
        <v>78</v>
      </c>
      <c r="W444" s="20" t="s">
        <v>95</v>
      </c>
      <c r="X444" s="20" t="s">
        <v>95</v>
      </c>
      <c r="Y444" s="20" t="s">
        <v>95</v>
      </c>
      <c r="Z444" s="20" t="s">
        <v>60</v>
      </c>
      <c r="AA444" s="20" t="s">
        <v>61</v>
      </c>
      <c r="AB444" s="20" t="s">
        <v>82</v>
      </c>
      <c r="AC444" s="28">
        <v>559.48</v>
      </c>
      <c r="AD444" s="28">
        <f>SUM(BASE[[#This Row],[MONTO DE RENTA ]]*1.16)</f>
        <v>648.99680000000001</v>
      </c>
      <c r="AE444" s="28" t="s">
        <v>83</v>
      </c>
      <c r="AF444" s="28">
        <v>559.48275862068965</v>
      </c>
      <c r="AG444" s="28">
        <v>649</v>
      </c>
      <c r="AI444" s="63">
        <v>44937</v>
      </c>
      <c r="AJ444" s="73">
        <v>46043</v>
      </c>
      <c r="AK4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44" s="30"/>
      <c r="AN444" s="20" t="s">
        <v>99</v>
      </c>
      <c r="AP444" s="20" t="s">
        <v>84</v>
      </c>
      <c r="AQ444" s="20" t="s">
        <v>100</v>
      </c>
    </row>
    <row r="445" spans="1:43" ht="16">
      <c r="A445" s="20">
        <v>5518824857</v>
      </c>
      <c r="B445" s="21">
        <v>460093</v>
      </c>
      <c r="C445" s="20" t="s">
        <v>1011</v>
      </c>
      <c r="D445" s="20" t="s">
        <v>1842</v>
      </c>
      <c r="E445" s="20" t="s">
        <v>994</v>
      </c>
      <c r="F445" s="20" t="s">
        <v>451</v>
      </c>
      <c r="G445" s="20" t="s">
        <v>47</v>
      </c>
      <c r="H445" s="20" t="s">
        <v>48</v>
      </c>
      <c r="I445" s="20" t="s">
        <v>451</v>
      </c>
      <c r="J445" s="22" t="s">
        <v>2300</v>
      </c>
      <c r="K445" s="22" t="s">
        <v>2300</v>
      </c>
      <c r="L445" s="23" t="s">
        <v>2301</v>
      </c>
      <c r="M445" s="24" t="s">
        <v>7736</v>
      </c>
      <c r="N445" s="23">
        <v>18661000</v>
      </c>
      <c r="O445" s="25" t="s">
        <v>52</v>
      </c>
      <c r="P445" s="25" t="s">
        <v>53</v>
      </c>
      <c r="Q445" s="20" t="s">
        <v>2302</v>
      </c>
      <c r="R445" s="20">
        <v>90182407</v>
      </c>
      <c r="S445" s="25" t="s">
        <v>2303</v>
      </c>
      <c r="T445" s="26" t="s">
        <v>57</v>
      </c>
      <c r="U445" s="23">
        <v>860900062323654</v>
      </c>
      <c r="V445" s="27" t="s">
        <v>57</v>
      </c>
      <c r="W445" s="20" t="s">
        <v>58</v>
      </c>
      <c r="X445" s="20" t="s">
        <v>59</v>
      </c>
      <c r="Y445" s="20" t="s">
        <v>59</v>
      </c>
      <c r="Z445" s="20" t="s">
        <v>60</v>
      </c>
      <c r="AA445" s="20" t="s">
        <v>61</v>
      </c>
      <c r="AB445" s="20" t="s">
        <v>96</v>
      </c>
      <c r="AC445" s="28">
        <v>369.83</v>
      </c>
      <c r="AD445" s="28">
        <f>SUM(BASE[[#This Row],[MONTO DE RENTA ]]*1.16)</f>
        <v>429.00279999999998</v>
      </c>
      <c r="AE445" s="28" t="s">
        <v>63</v>
      </c>
      <c r="AF445" s="28">
        <v>369.82758620689657</v>
      </c>
      <c r="AG445" s="28">
        <v>429</v>
      </c>
      <c r="AH445" s="22" t="s">
        <v>64</v>
      </c>
      <c r="AI445" s="63">
        <v>45703</v>
      </c>
      <c r="AJ445" s="63">
        <v>46433</v>
      </c>
      <c r="AK4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5" s="30"/>
      <c r="AN445" s="20" t="s">
        <v>65</v>
      </c>
      <c r="AP445" s="20" t="s">
        <v>84</v>
      </c>
    </row>
    <row r="446" spans="1:43" ht="16">
      <c r="A446" s="20">
        <v>5518816876</v>
      </c>
      <c r="B446" s="21">
        <v>996637</v>
      </c>
      <c r="C446" s="20" t="s">
        <v>2304</v>
      </c>
      <c r="D446" s="20" t="s">
        <v>2305</v>
      </c>
      <c r="E446" s="20" t="s">
        <v>674</v>
      </c>
      <c r="F446" s="20" t="s">
        <v>248</v>
      </c>
      <c r="G446" s="20" t="s">
        <v>248</v>
      </c>
      <c r="H446" s="20" t="s">
        <v>48</v>
      </c>
      <c r="I446" s="20" t="s">
        <v>248</v>
      </c>
      <c r="J446" s="22" t="s">
        <v>2306</v>
      </c>
      <c r="K446" s="22" t="s">
        <v>2306</v>
      </c>
      <c r="L446" s="23" t="s">
        <v>2301</v>
      </c>
      <c r="M446" s="24" t="s">
        <v>7736</v>
      </c>
      <c r="N446" s="23">
        <v>18661000</v>
      </c>
      <c r="O446" s="25" t="s">
        <v>52</v>
      </c>
      <c r="P446" s="25" t="s">
        <v>53</v>
      </c>
      <c r="Q446" s="20" t="s">
        <v>2307</v>
      </c>
      <c r="R446" s="20">
        <v>90136544</v>
      </c>
      <c r="S446" s="25" t="s">
        <v>2308</v>
      </c>
      <c r="T446" s="26" t="s">
        <v>57</v>
      </c>
      <c r="U446" s="23">
        <v>860900062322219</v>
      </c>
      <c r="V446" s="27" t="s">
        <v>57</v>
      </c>
      <c r="W446" s="20" t="s">
        <v>58</v>
      </c>
      <c r="X446" s="20" t="s">
        <v>59</v>
      </c>
      <c r="Y446" s="20" t="s">
        <v>59</v>
      </c>
      <c r="Z446" s="20" t="s">
        <v>60</v>
      </c>
      <c r="AA446" s="20" t="s">
        <v>61</v>
      </c>
      <c r="AB446" s="20" t="s">
        <v>96</v>
      </c>
      <c r="AC446" s="28">
        <v>369.83</v>
      </c>
      <c r="AD446" s="28">
        <f>SUM(BASE[[#This Row],[MONTO DE RENTA ]]*1.16)</f>
        <v>429.00279999999998</v>
      </c>
      <c r="AE446" s="28" t="s">
        <v>63</v>
      </c>
      <c r="AF446" s="28">
        <v>369.82758620689657</v>
      </c>
      <c r="AG446" s="28">
        <v>429</v>
      </c>
      <c r="AH446" s="22" t="s">
        <v>64</v>
      </c>
      <c r="AI446" s="63">
        <v>45703</v>
      </c>
      <c r="AJ446" s="63">
        <v>46433</v>
      </c>
      <c r="AK4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6" s="30"/>
      <c r="AN446" s="20" t="s">
        <v>65</v>
      </c>
      <c r="AP446" s="20" t="s">
        <v>84</v>
      </c>
    </row>
    <row r="447" spans="1:43" ht="16">
      <c r="A447" s="20">
        <v>5518846061</v>
      </c>
      <c r="B447" s="21">
        <v>460012</v>
      </c>
      <c r="C447" s="20" t="s">
        <v>2309</v>
      </c>
      <c r="D447" s="20" t="s">
        <v>476</v>
      </c>
      <c r="E447" s="20" t="s">
        <v>2310</v>
      </c>
      <c r="F447" s="20" t="s">
        <v>483</v>
      </c>
      <c r="G447" s="20" t="s">
        <v>257</v>
      </c>
      <c r="H447" s="20" t="s">
        <v>48</v>
      </c>
      <c r="I447" s="20" t="s">
        <v>483</v>
      </c>
      <c r="J447" s="22" t="s">
        <v>2311</v>
      </c>
      <c r="K447" s="22" t="s">
        <v>2311</v>
      </c>
      <c r="L447" s="23" t="s">
        <v>2301</v>
      </c>
      <c r="M447" s="24" t="s">
        <v>7736</v>
      </c>
      <c r="N447" s="23">
        <v>18691000</v>
      </c>
      <c r="O447" s="25" t="s">
        <v>52</v>
      </c>
      <c r="P447" s="25" t="s">
        <v>53</v>
      </c>
      <c r="Q447" s="20" t="s">
        <v>2312</v>
      </c>
      <c r="R447" s="20">
        <v>90244781</v>
      </c>
      <c r="S447" s="25" t="s">
        <v>2313</v>
      </c>
      <c r="T447" s="26" t="s">
        <v>57</v>
      </c>
      <c r="U447" s="23">
        <v>860478064858563</v>
      </c>
      <c r="V447" s="45" t="s">
        <v>110</v>
      </c>
      <c r="W447" s="20" t="s">
        <v>302</v>
      </c>
      <c r="X447" s="20" t="s">
        <v>303</v>
      </c>
      <c r="Y447" s="20" t="s">
        <v>303</v>
      </c>
      <c r="Z447" s="20" t="s">
        <v>80</v>
      </c>
      <c r="AA447" s="20" t="s">
        <v>81</v>
      </c>
      <c r="AB447" s="20" t="s">
        <v>82</v>
      </c>
      <c r="AC447" s="28">
        <v>559.48</v>
      </c>
      <c r="AD447" s="28">
        <f>SUM(BASE[[#This Row],[MONTO DE RENTA ]]*1.16)</f>
        <v>648.99680000000001</v>
      </c>
      <c r="AE447" s="28" t="s">
        <v>83</v>
      </c>
      <c r="AF447" s="28">
        <v>559.48275862068965</v>
      </c>
      <c r="AG447" s="28">
        <v>649</v>
      </c>
      <c r="AH447" s="22" t="s">
        <v>64</v>
      </c>
      <c r="AI447" s="29">
        <v>45703</v>
      </c>
      <c r="AJ447" s="29">
        <v>46433</v>
      </c>
      <c r="AK4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7" s="30"/>
      <c r="AN447" s="20" t="s">
        <v>65</v>
      </c>
      <c r="AP447" s="20" t="s">
        <v>84</v>
      </c>
    </row>
    <row r="448" spans="1:43" ht="16">
      <c r="A448" s="20">
        <v>5518845831</v>
      </c>
      <c r="B448" s="21">
        <v>620260</v>
      </c>
      <c r="C448" s="20" t="s">
        <v>67</v>
      </c>
      <c r="D448" s="20" t="s">
        <v>206</v>
      </c>
      <c r="E448" s="20" t="s">
        <v>187</v>
      </c>
      <c r="F448" s="20" t="s">
        <v>104</v>
      </c>
      <c r="G448" s="20" t="s">
        <v>104</v>
      </c>
      <c r="H448" s="20" t="s">
        <v>48</v>
      </c>
      <c r="I448" s="20" t="s">
        <v>104</v>
      </c>
      <c r="J448" s="32" t="s">
        <v>2314</v>
      </c>
      <c r="K448" s="32" t="s">
        <v>2314</v>
      </c>
      <c r="L448" s="23" t="s">
        <v>2301</v>
      </c>
      <c r="M448" s="24" t="s">
        <v>7736</v>
      </c>
      <c r="N448" s="23">
        <v>18661000</v>
      </c>
      <c r="O448" s="25" t="s">
        <v>52</v>
      </c>
      <c r="P448" s="25" t="s">
        <v>53</v>
      </c>
      <c r="Q448" s="20" t="s">
        <v>2315</v>
      </c>
      <c r="R448" s="20">
        <v>90244777</v>
      </c>
      <c r="S448" s="25" t="s">
        <v>2316</v>
      </c>
      <c r="T448" s="26" t="s">
        <v>57</v>
      </c>
      <c r="U448" s="23">
        <v>860478064953166</v>
      </c>
      <c r="V448" s="45" t="s">
        <v>110</v>
      </c>
      <c r="W448" s="20" t="s">
        <v>302</v>
      </c>
      <c r="X448" s="20" t="s">
        <v>303</v>
      </c>
      <c r="Y448" s="20" t="s">
        <v>303</v>
      </c>
      <c r="Z448" s="20" t="s">
        <v>80</v>
      </c>
      <c r="AA448" s="20" t="s">
        <v>81</v>
      </c>
      <c r="AB448" s="20" t="s">
        <v>82</v>
      </c>
      <c r="AC448" s="28">
        <v>559.48</v>
      </c>
      <c r="AD448" s="28">
        <f>SUM(BASE[[#This Row],[MONTO DE RENTA ]]*1.16)</f>
        <v>648.99680000000001</v>
      </c>
      <c r="AE448" s="28" t="s">
        <v>83</v>
      </c>
      <c r="AF448" s="28">
        <v>559.48275862068965</v>
      </c>
      <c r="AG448" s="28">
        <v>649</v>
      </c>
      <c r="AH448" s="22" t="s">
        <v>64</v>
      </c>
      <c r="AI448" s="63">
        <v>45703</v>
      </c>
      <c r="AJ448" s="63">
        <v>46433</v>
      </c>
      <c r="AK4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8" s="30"/>
      <c r="AN448" s="20" t="s">
        <v>65</v>
      </c>
      <c r="AP448" s="20" t="s">
        <v>84</v>
      </c>
    </row>
    <row r="449" spans="1:43" ht="16">
      <c r="A449" s="20">
        <v>5518836710</v>
      </c>
      <c r="B449" s="21">
        <v>1050001</v>
      </c>
      <c r="C449" s="20" t="s">
        <v>2317</v>
      </c>
      <c r="D449" s="20" t="s">
        <v>423</v>
      </c>
      <c r="E449" s="20" t="s">
        <v>461</v>
      </c>
      <c r="F449" s="20" t="s">
        <v>104</v>
      </c>
      <c r="G449" s="20" t="s">
        <v>104</v>
      </c>
      <c r="H449" s="20" t="s">
        <v>48</v>
      </c>
      <c r="I449" s="20" t="s">
        <v>104</v>
      </c>
      <c r="J449" s="32" t="s">
        <v>2318</v>
      </c>
      <c r="K449" s="32" t="s">
        <v>2318</v>
      </c>
      <c r="L449" s="23" t="s">
        <v>2301</v>
      </c>
      <c r="M449" s="24" t="s">
        <v>7736</v>
      </c>
      <c r="N449" s="23">
        <v>18661000</v>
      </c>
      <c r="O449" s="25" t="s">
        <v>52</v>
      </c>
      <c r="P449" s="25" t="s">
        <v>53</v>
      </c>
      <c r="Q449" s="20" t="s">
        <v>2319</v>
      </c>
      <c r="R449" s="20">
        <v>90244769</v>
      </c>
      <c r="S449" s="25" t="s">
        <v>2320</v>
      </c>
      <c r="T449" s="26" t="s">
        <v>57</v>
      </c>
      <c r="U449" s="23">
        <v>860478064859553</v>
      </c>
      <c r="V449" s="45" t="s">
        <v>110</v>
      </c>
      <c r="W449" s="20" t="s">
        <v>302</v>
      </c>
      <c r="X449" s="20" t="s">
        <v>303</v>
      </c>
      <c r="Y449" s="20" t="s">
        <v>303</v>
      </c>
      <c r="Z449" s="20" t="s">
        <v>80</v>
      </c>
      <c r="AA449" s="20" t="s">
        <v>81</v>
      </c>
      <c r="AB449" s="20" t="s">
        <v>82</v>
      </c>
      <c r="AC449" s="28">
        <v>559.48</v>
      </c>
      <c r="AD449" s="28">
        <f>SUM(BASE[[#This Row],[MONTO DE RENTA ]]*1.16)</f>
        <v>648.99680000000001</v>
      </c>
      <c r="AE449" s="28" t="s">
        <v>83</v>
      </c>
      <c r="AF449" s="28">
        <v>559.48275862068965</v>
      </c>
      <c r="AG449" s="28">
        <v>649</v>
      </c>
      <c r="AH449" s="22" t="s">
        <v>64</v>
      </c>
      <c r="AI449" s="63">
        <v>45703</v>
      </c>
      <c r="AJ449" s="63">
        <v>46433</v>
      </c>
      <c r="AK4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49" s="30"/>
      <c r="AN449" s="20" t="s">
        <v>65</v>
      </c>
      <c r="AP449" s="20" t="s">
        <v>84</v>
      </c>
    </row>
    <row r="450" spans="1:43" ht="16">
      <c r="A450" s="20">
        <v>5538018727</v>
      </c>
      <c r="B450" s="49">
        <v>760005</v>
      </c>
      <c r="C450" s="20" t="s">
        <v>2321</v>
      </c>
      <c r="D450" s="20" t="s">
        <v>2322</v>
      </c>
      <c r="E450" s="20" t="s">
        <v>187</v>
      </c>
      <c r="F450" s="20" t="s">
        <v>70</v>
      </c>
      <c r="G450" s="20" t="s">
        <v>70</v>
      </c>
      <c r="H450" s="20" t="s">
        <v>48</v>
      </c>
      <c r="I450" s="20" t="s">
        <v>70</v>
      </c>
      <c r="J450" s="22" t="s">
        <v>2323</v>
      </c>
      <c r="K450" s="22" t="s">
        <v>2323</v>
      </c>
      <c r="L450" s="23" t="s">
        <v>2301</v>
      </c>
      <c r="M450" s="24" t="s">
        <v>7736</v>
      </c>
      <c r="N450" s="23">
        <v>18744003</v>
      </c>
      <c r="O450" s="25" t="s">
        <v>52</v>
      </c>
      <c r="P450" s="25" t="s">
        <v>53</v>
      </c>
      <c r="Q450" s="20" t="s">
        <v>2324</v>
      </c>
      <c r="R450" s="20">
        <v>9808549</v>
      </c>
      <c r="S450" s="25" t="s">
        <v>2325</v>
      </c>
      <c r="T450" s="26" t="s">
        <v>77</v>
      </c>
      <c r="U450" s="23">
        <v>357654178286962</v>
      </c>
      <c r="V450" s="27" t="s">
        <v>78</v>
      </c>
      <c r="W450" s="20" t="s">
        <v>95</v>
      </c>
      <c r="X450" s="20" t="s">
        <v>95</v>
      </c>
      <c r="Y450" s="20" t="s">
        <v>95</v>
      </c>
      <c r="Z450" s="20" t="s">
        <v>261</v>
      </c>
      <c r="AA450" s="20" t="s">
        <v>473</v>
      </c>
      <c r="AB450" s="20" t="s">
        <v>474</v>
      </c>
      <c r="AC450" s="28">
        <v>559.48</v>
      </c>
      <c r="AD450" s="28">
        <f>SUM(BASE[[#This Row],[MONTO DE RENTA ]]*1.16)</f>
        <v>648.99680000000001</v>
      </c>
      <c r="AE450" s="28" t="s">
        <v>83</v>
      </c>
      <c r="AF450" s="28">
        <v>559.48275862068965</v>
      </c>
      <c r="AG450" s="28">
        <v>649</v>
      </c>
      <c r="AI450" s="63">
        <v>44937</v>
      </c>
      <c r="AJ450" s="73">
        <v>46043</v>
      </c>
      <c r="AK4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50" s="30"/>
      <c r="AN450" s="20" t="s">
        <v>99</v>
      </c>
      <c r="AP450" s="20" t="s">
        <v>84</v>
      </c>
      <c r="AQ450" s="20" t="s">
        <v>100</v>
      </c>
    </row>
    <row r="451" spans="1:43" ht="16">
      <c r="A451" s="20">
        <v>3111870120</v>
      </c>
      <c r="B451" s="21">
        <v>625022</v>
      </c>
      <c r="C451" s="20" t="s">
        <v>2326</v>
      </c>
      <c r="D451" s="20" t="s">
        <v>1607</v>
      </c>
      <c r="E451" s="20" t="s">
        <v>311</v>
      </c>
      <c r="F451" s="20" t="s">
        <v>451</v>
      </c>
      <c r="G451" s="20" t="s">
        <v>47</v>
      </c>
      <c r="H451" s="20" t="s">
        <v>48</v>
      </c>
      <c r="I451" s="20" t="s">
        <v>451</v>
      </c>
      <c r="J451" s="22" t="s">
        <v>2327</v>
      </c>
      <c r="K451" s="54" t="s">
        <v>2328</v>
      </c>
      <c r="L451" s="23" t="s">
        <v>2329</v>
      </c>
      <c r="M451" s="24" t="s">
        <v>7746</v>
      </c>
      <c r="N451" s="23">
        <v>18662000</v>
      </c>
      <c r="O451" s="25" t="s">
        <v>677</v>
      </c>
      <c r="P451" s="25" t="s">
        <v>53</v>
      </c>
      <c r="Q451" s="20" t="s">
        <v>2330</v>
      </c>
      <c r="R451" s="20">
        <v>53354241</v>
      </c>
      <c r="S451" s="25" t="s">
        <v>2331</v>
      </c>
      <c r="T451" s="191" t="s">
        <v>57</v>
      </c>
      <c r="U451" s="23">
        <v>865356065728420</v>
      </c>
      <c r="V451" s="27" t="s">
        <v>57</v>
      </c>
      <c r="W451" s="20" t="s">
        <v>129</v>
      </c>
      <c r="X451" s="20" t="s">
        <v>130</v>
      </c>
      <c r="Y451" s="20" t="s">
        <v>130</v>
      </c>
      <c r="Z451" s="20" t="s">
        <v>80</v>
      </c>
      <c r="AA451" s="20" t="s">
        <v>81</v>
      </c>
      <c r="AB451" s="20" t="s">
        <v>96</v>
      </c>
      <c r="AC451" s="28">
        <v>369.83</v>
      </c>
      <c r="AD451" s="28">
        <f>SUM(BASE[[#This Row],[MONTO DE RENTA ]]*1.16)</f>
        <v>429.00279999999998</v>
      </c>
      <c r="AE451" s="28" t="s">
        <v>63</v>
      </c>
      <c r="AF451" s="28">
        <v>369.82758620689657</v>
      </c>
      <c r="AG451" s="28">
        <v>429</v>
      </c>
      <c r="AH451" s="22" t="s">
        <v>448</v>
      </c>
      <c r="AI451" s="63">
        <v>45468</v>
      </c>
      <c r="AJ451" s="63">
        <v>46198</v>
      </c>
      <c r="AK451" s="30">
        <f ca="1">IFERROR(IF(BASE[[#This Row],[FECHA DE RENOVACION ]]&gt;TODAY(), DATEDIF(TODAY(),BASE[[#This Row],[FECHA DE RENOVACION ]],"M"), -DATEDIF(BASE[[#This Row],[FECHA DE RENOVACION ]],TODAY(),"M")), "Sin fecha")</f>
        <v>3</v>
      </c>
      <c r="AM451" s="30"/>
      <c r="AN451" s="20" t="s">
        <v>99</v>
      </c>
      <c r="AP451" s="20" t="s">
        <v>84</v>
      </c>
      <c r="AQ451" s="20" t="s">
        <v>100</v>
      </c>
    </row>
    <row r="452" spans="1:43" ht="16">
      <c r="A452" s="20">
        <v>3111839796</v>
      </c>
      <c r="B452" s="21">
        <v>625066</v>
      </c>
      <c r="C452" s="20" t="s">
        <v>2332</v>
      </c>
      <c r="D452" s="20" t="s">
        <v>2333</v>
      </c>
      <c r="E452" s="20" t="s">
        <v>2334</v>
      </c>
      <c r="F452" s="20" t="s">
        <v>248</v>
      </c>
      <c r="G452" s="20" t="s">
        <v>248</v>
      </c>
      <c r="H452" s="20" t="s">
        <v>48</v>
      </c>
      <c r="I452" s="20" t="s">
        <v>248</v>
      </c>
      <c r="J452" s="22" t="s">
        <v>2335</v>
      </c>
      <c r="K452" s="22" t="s">
        <v>2335</v>
      </c>
      <c r="L452" s="23" t="s">
        <v>2329</v>
      </c>
      <c r="M452" s="24" t="s">
        <v>7746</v>
      </c>
      <c r="N452" s="23">
        <v>18742003</v>
      </c>
      <c r="O452" s="25" t="s">
        <v>677</v>
      </c>
      <c r="P452" s="25" t="s">
        <v>53</v>
      </c>
      <c r="Q452" s="20" t="s">
        <v>2336</v>
      </c>
      <c r="R452" s="20">
        <v>53335802</v>
      </c>
      <c r="S452" s="25" t="s">
        <v>2337</v>
      </c>
      <c r="T452" s="26" t="s">
        <v>57</v>
      </c>
      <c r="U452" s="23">
        <v>860900062238555</v>
      </c>
      <c r="V452" s="27" t="s">
        <v>57</v>
      </c>
      <c r="W452" s="20" t="s">
        <v>58</v>
      </c>
      <c r="X452" s="20" t="s">
        <v>59</v>
      </c>
      <c r="Y452" s="20" t="s">
        <v>59</v>
      </c>
      <c r="Z452" s="20" t="s">
        <v>80</v>
      </c>
      <c r="AA452" s="20" t="s">
        <v>81</v>
      </c>
      <c r="AB452" s="20" t="s">
        <v>96</v>
      </c>
      <c r="AC452" s="28">
        <v>369.83</v>
      </c>
      <c r="AD452" s="28">
        <f>SUM(BASE[[#This Row],[MONTO DE RENTA ]]*1.16)</f>
        <v>429.00279999999998</v>
      </c>
      <c r="AE452" s="28" t="s">
        <v>63</v>
      </c>
      <c r="AF452" s="28">
        <v>369.82758620689657</v>
      </c>
      <c r="AG452" s="28">
        <v>429</v>
      </c>
      <c r="AH452" s="22" t="s">
        <v>64</v>
      </c>
      <c r="AI452" s="63">
        <v>45703</v>
      </c>
      <c r="AJ452" s="63">
        <v>46433</v>
      </c>
      <c r="AK4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2" s="30"/>
      <c r="AN452" s="20" t="s">
        <v>65</v>
      </c>
      <c r="AP452" s="20" t="s">
        <v>84</v>
      </c>
    </row>
    <row r="453" spans="1:43" ht="16">
      <c r="A453" s="20">
        <v>4431627357</v>
      </c>
      <c r="B453" s="21">
        <v>1053231</v>
      </c>
      <c r="C453" s="20" t="s">
        <v>2338</v>
      </c>
      <c r="D453" s="20" t="s">
        <v>143</v>
      </c>
      <c r="E453" s="20" t="s">
        <v>2011</v>
      </c>
      <c r="F453" s="20" t="s">
        <v>257</v>
      </c>
      <c r="G453" s="20" t="s">
        <v>257</v>
      </c>
      <c r="H453" s="20" t="s">
        <v>48</v>
      </c>
      <c r="I453" s="20" t="s">
        <v>257</v>
      </c>
      <c r="J453" s="22" t="s">
        <v>2339</v>
      </c>
      <c r="K453" s="22" t="s">
        <v>2340</v>
      </c>
      <c r="L453" s="23" t="s">
        <v>2341</v>
      </c>
      <c r="M453" s="24" t="s">
        <v>7743</v>
      </c>
      <c r="N453" s="23">
        <v>18672000</v>
      </c>
      <c r="O453" s="25" t="s">
        <v>677</v>
      </c>
      <c r="P453" s="25" t="s">
        <v>53</v>
      </c>
      <c r="Q453" s="20" t="s">
        <v>2342</v>
      </c>
      <c r="R453" s="20">
        <v>53375193</v>
      </c>
      <c r="S453" s="25" t="s">
        <v>2343</v>
      </c>
      <c r="T453" s="26" t="s">
        <v>57</v>
      </c>
      <c r="U453" s="23">
        <v>860478064484501</v>
      </c>
      <c r="V453" s="45" t="s">
        <v>110</v>
      </c>
      <c r="W453" s="20" t="s">
        <v>302</v>
      </c>
      <c r="X453" s="20" t="s">
        <v>303</v>
      </c>
      <c r="Y453" s="20" t="s">
        <v>303</v>
      </c>
      <c r="Z453" s="20" t="s">
        <v>80</v>
      </c>
      <c r="AA453" s="20" t="s">
        <v>81</v>
      </c>
      <c r="AB453" s="20" t="s">
        <v>82</v>
      </c>
      <c r="AC453" s="28">
        <v>559.48</v>
      </c>
      <c r="AD453" s="28">
        <f>SUM(BASE[[#This Row],[MONTO DE RENTA ]]*1.16)</f>
        <v>648.99680000000001</v>
      </c>
      <c r="AE453" s="28" t="s">
        <v>83</v>
      </c>
      <c r="AF453" s="28">
        <v>559.48275862068965</v>
      </c>
      <c r="AG453" s="28">
        <v>649</v>
      </c>
      <c r="AH453" s="22" t="s">
        <v>64</v>
      </c>
      <c r="AI453" s="63">
        <v>45703</v>
      </c>
      <c r="AJ453" s="63">
        <v>46433</v>
      </c>
      <c r="AK4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3" s="30"/>
      <c r="AN453" s="20" t="s">
        <v>65</v>
      </c>
      <c r="AP453" s="20" t="s">
        <v>84</v>
      </c>
    </row>
    <row r="454" spans="1:43" ht="16">
      <c r="A454" s="20">
        <v>3111839903</v>
      </c>
      <c r="B454" s="161">
        <v>1071115</v>
      </c>
      <c r="C454" s="20" t="s">
        <v>733</v>
      </c>
      <c r="D454" s="20" t="s">
        <v>1067</v>
      </c>
      <c r="E454" s="20" t="s">
        <v>2344</v>
      </c>
      <c r="F454" s="20" t="s">
        <v>104</v>
      </c>
      <c r="G454" s="20" t="s">
        <v>104</v>
      </c>
      <c r="H454" s="20" t="s">
        <v>48</v>
      </c>
      <c r="I454" s="20" t="s">
        <v>104</v>
      </c>
      <c r="J454" s="32" t="s">
        <v>2345</v>
      </c>
      <c r="K454" s="32" t="s">
        <v>2345</v>
      </c>
      <c r="L454" s="25" t="s">
        <v>2329</v>
      </c>
      <c r="M454" s="24" t="s">
        <v>7746</v>
      </c>
      <c r="N454" s="23">
        <v>18662000</v>
      </c>
      <c r="O454" s="25" t="s">
        <v>677</v>
      </c>
      <c r="P454" s="25" t="s">
        <v>53</v>
      </c>
      <c r="Q454" s="20" t="s">
        <v>2346</v>
      </c>
      <c r="R454" s="20">
        <v>53375154</v>
      </c>
      <c r="S454" s="25" t="s">
        <v>2347</v>
      </c>
      <c r="T454" s="26" t="s">
        <v>57</v>
      </c>
      <c r="U454" s="23">
        <v>860478064773440</v>
      </c>
      <c r="V454" s="45" t="s">
        <v>110</v>
      </c>
      <c r="W454" s="20" t="s">
        <v>302</v>
      </c>
      <c r="X454" s="20" t="s">
        <v>303</v>
      </c>
      <c r="Y454" s="20" t="s">
        <v>303</v>
      </c>
      <c r="Z454" s="20" t="s">
        <v>80</v>
      </c>
      <c r="AA454" s="20" t="s">
        <v>81</v>
      </c>
      <c r="AB454" s="20" t="s">
        <v>82</v>
      </c>
      <c r="AC454" s="28">
        <v>559.48</v>
      </c>
      <c r="AD454" s="28">
        <f>SUM(BASE[[#This Row],[MONTO DE RENTA ]]*1.16)</f>
        <v>648.99680000000001</v>
      </c>
      <c r="AE454" s="28" t="s">
        <v>83</v>
      </c>
      <c r="AF454" s="28">
        <v>559.48275862068965</v>
      </c>
      <c r="AG454" s="28">
        <v>649</v>
      </c>
      <c r="AH454" s="22" t="s">
        <v>64</v>
      </c>
      <c r="AI454" s="63">
        <v>45703</v>
      </c>
      <c r="AJ454" s="63">
        <v>46433</v>
      </c>
      <c r="AK4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4" s="30" t="s">
        <v>2348</v>
      </c>
      <c r="AN454" s="20" t="s">
        <v>65</v>
      </c>
      <c r="AP454" s="20" t="s">
        <v>84</v>
      </c>
    </row>
    <row r="455" spans="1:43" ht="16">
      <c r="A455" s="20">
        <v>3111839891</v>
      </c>
      <c r="B455" s="21">
        <v>995264</v>
      </c>
      <c r="C455" s="20" t="s">
        <v>2349</v>
      </c>
      <c r="D455" s="20" t="s">
        <v>1875</v>
      </c>
      <c r="E455" s="20" t="s">
        <v>2350</v>
      </c>
      <c r="F455" s="20" t="s">
        <v>104</v>
      </c>
      <c r="G455" s="20" t="s">
        <v>104</v>
      </c>
      <c r="H455" s="20" t="s">
        <v>48</v>
      </c>
      <c r="I455" s="20" t="s">
        <v>104</v>
      </c>
      <c r="J455" s="22" t="s">
        <v>2351</v>
      </c>
      <c r="K455" s="22" t="s">
        <v>2352</v>
      </c>
      <c r="L455" s="23" t="s">
        <v>2329</v>
      </c>
      <c r="M455" s="24" t="s">
        <v>7746</v>
      </c>
      <c r="N455" s="23">
        <v>18662000</v>
      </c>
      <c r="O455" s="25" t="s">
        <v>677</v>
      </c>
      <c r="P455" s="25" t="s">
        <v>53</v>
      </c>
      <c r="Q455" s="20" t="s">
        <v>2353</v>
      </c>
      <c r="R455" s="20">
        <v>53375152</v>
      </c>
      <c r="S455" s="25" t="s">
        <v>2354</v>
      </c>
      <c r="T455" s="26" t="s">
        <v>57</v>
      </c>
      <c r="U455" s="23">
        <v>860478060689673</v>
      </c>
      <c r="V455" s="45" t="s">
        <v>110</v>
      </c>
      <c r="W455" s="20" t="s">
        <v>302</v>
      </c>
      <c r="X455" s="20" t="s">
        <v>303</v>
      </c>
      <c r="Y455" s="20" t="s">
        <v>303</v>
      </c>
      <c r="Z455" s="20" t="s">
        <v>80</v>
      </c>
      <c r="AA455" s="20" t="s">
        <v>81</v>
      </c>
      <c r="AB455" s="20" t="s">
        <v>82</v>
      </c>
      <c r="AC455" s="28">
        <v>559.48</v>
      </c>
      <c r="AD455" s="28">
        <f>SUM(BASE[[#This Row],[MONTO DE RENTA ]]*1.16)</f>
        <v>648.99680000000001</v>
      </c>
      <c r="AE455" s="28" t="s">
        <v>83</v>
      </c>
      <c r="AF455" s="28">
        <v>559.48275862068965</v>
      </c>
      <c r="AG455" s="28">
        <v>649</v>
      </c>
      <c r="AH455" s="22" t="s">
        <v>64</v>
      </c>
      <c r="AI455" s="63">
        <v>45703</v>
      </c>
      <c r="AJ455" s="63">
        <v>46433</v>
      </c>
      <c r="AK4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5" s="30"/>
      <c r="AN455" s="20" t="s">
        <v>65</v>
      </c>
      <c r="AP455" s="20" t="s">
        <v>84</v>
      </c>
    </row>
    <row r="456" spans="1:43" ht="16">
      <c r="A456" s="20">
        <v>3111679314</v>
      </c>
      <c r="B456" s="49">
        <v>1042206</v>
      </c>
      <c r="C456" s="20" t="s">
        <v>1358</v>
      </c>
      <c r="D456" s="20" t="s">
        <v>1214</v>
      </c>
      <c r="E456" s="20" t="s">
        <v>468</v>
      </c>
      <c r="F456" s="20" t="s">
        <v>70</v>
      </c>
      <c r="G456" s="20" t="s">
        <v>70</v>
      </c>
      <c r="H456" s="20" t="s">
        <v>48</v>
      </c>
      <c r="I456" s="20" t="s">
        <v>70</v>
      </c>
      <c r="J456" s="22" t="s">
        <v>2355</v>
      </c>
      <c r="K456" s="22" t="s">
        <v>2355</v>
      </c>
      <c r="L456" s="23" t="s">
        <v>2329</v>
      </c>
      <c r="M456" s="24" t="s">
        <v>7746</v>
      </c>
      <c r="N456" s="23">
        <v>18662000</v>
      </c>
      <c r="O456" s="25" t="s">
        <v>677</v>
      </c>
      <c r="P456" s="25" t="s">
        <v>53</v>
      </c>
      <c r="Q456" s="20" t="s">
        <v>2356</v>
      </c>
      <c r="R456" s="20">
        <v>53197251</v>
      </c>
      <c r="S456" s="25" t="s">
        <v>55</v>
      </c>
      <c r="T456" s="26" t="s">
        <v>56</v>
      </c>
      <c r="U456" s="23">
        <v>357654178093178</v>
      </c>
      <c r="V456" s="27" t="s">
        <v>78</v>
      </c>
      <c r="W456" s="20" t="s">
        <v>95</v>
      </c>
      <c r="X456" s="20" t="s">
        <v>95</v>
      </c>
      <c r="Y456" s="20" t="s">
        <v>95</v>
      </c>
      <c r="Z456" s="20" t="s">
        <v>60</v>
      </c>
      <c r="AA456" s="20" t="s">
        <v>61</v>
      </c>
      <c r="AB456" s="20" t="s">
        <v>82</v>
      </c>
      <c r="AC456" s="28">
        <v>559.48</v>
      </c>
      <c r="AD456" s="28">
        <f>SUM(BASE[[#This Row],[MONTO DE RENTA ]]*1.16)</f>
        <v>648.99680000000001</v>
      </c>
      <c r="AE456" s="28" t="s">
        <v>83</v>
      </c>
      <c r="AF456" s="28">
        <v>559.48275862068965</v>
      </c>
      <c r="AG456" s="28">
        <v>649</v>
      </c>
      <c r="AI456" s="29">
        <v>44937</v>
      </c>
      <c r="AJ456" s="50">
        <v>46043</v>
      </c>
      <c r="AK4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56" s="30"/>
      <c r="AN456" s="20" t="s">
        <v>99</v>
      </c>
      <c r="AP456" s="20" t="s">
        <v>84</v>
      </c>
      <c r="AQ456" s="20" t="s">
        <v>100</v>
      </c>
    </row>
    <row r="457" spans="1:43" ht="16">
      <c r="A457" s="20">
        <v>9811472179</v>
      </c>
      <c r="B457" s="21">
        <v>635037</v>
      </c>
      <c r="C457" s="20" t="s">
        <v>2357</v>
      </c>
      <c r="D457" s="20" t="s">
        <v>2358</v>
      </c>
      <c r="E457" s="20" t="s">
        <v>2359</v>
      </c>
      <c r="F457" s="20" t="s">
        <v>47</v>
      </c>
      <c r="G457" s="20" t="s">
        <v>47</v>
      </c>
      <c r="H457" s="20" t="s">
        <v>48</v>
      </c>
      <c r="I457" s="20" t="s">
        <v>47</v>
      </c>
      <c r="J457" s="22" t="s">
        <v>2360</v>
      </c>
      <c r="K457" s="22" t="s">
        <v>2360</v>
      </c>
      <c r="L457" s="23" t="s">
        <v>2361</v>
      </c>
      <c r="M457" s="24" t="s">
        <v>7751</v>
      </c>
      <c r="N457" s="23">
        <v>18663000</v>
      </c>
      <c r="O457" s="25" t="s">
        <v>1035</v>
      </c>
      <c r="P457" s="25" t="s">
        <v>53</v>
      </c>
      <c r="Q457" s="20" t="s">
        <v>2362</v>
      </c>
      <c r="R457" s="20">
        <v>82294467</v>
      </c>
      <c r="S457" s="25" t="s">
        <v>2363</v>
      </c>
      <c r="T457" s="26" t="s">
        <v>57</v>
      </c>
      <c r="U457" s="23">
        <v>860900062256672</v>
      </c>
      <c r="V457" s="27" t="s">
        <v>57</v>
      </c>
      <c r="W457" s="20" t="s">
        <v>58</v>
      </c>
      <c r="X457" s="20" t="s">
        <v>59</v>
      </c>
      <c r="Y457" s="20" t="s">
        <v>59</v>
      </c>
      <c r="Z457" s="20" t="s">
        <v>80</v>
      </c>
      <c r="AA457" s="20" t="s">
        <v>81</v>
      </c>
      <c r="AB457" s="20" t="s">
        <v>96</v>
      </c>
      <c r="AC457" s="28">
        <v>369.83</v>
      </c>
      <c r="AD457" s="28">
        <f>SUM(BASE[[#This Row],[MONTO DE RENTA ]]*1.16)</f>
        <v>429.00279999999998</v>
      </c>
      <c r="AE457" s="28" t="s">
        <v>63</v>
      </c>
      <c r="AF457" s="28">
        <v>369.82758620689657</v>
      </c>
      <c r="AG457" s="28">
        <v>429</v>
      </c>
      <c r="AH457" s="22" t="s">
        <v>64</v>
      </c>
      <c r="AI457" s="63">
        <v>45713</v>
      </c>
      <c r="AJ457" s="63">
        <v>46433</v>
      </c>
      <c r="AK4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7" s="30"/>
      <c r="AN457" s="20" t="s">
        <v>65</v>
      </c>
      <c r="AP457" s="20" t="s">
        <v>84</v>
      </c>
    </row>
    <row r="458" spans="1:43" ht="16">
      <c r="A458" s="20">
        <v>9811472130</v>
      </c>
      <c r="B458" s="21">
        <v>1012448</v>
      </c>
      <c r="C458" s="20" t="s">
        <v>2364</v>
      </c>
      <c r="D458" s="20" t="s">
        <v>797</v>
      </c>
      <c r="E458" s="20" t="s">
        <v>614</v>
      </c>
      <c r="F458" s="20" t="s">
        <v>451</v>
      </c>
      <c r="G458" s="20" t="s">
        <v>248</v>
      </c>
      <c r="H458" s="20" t="s">
        <v>48</v>
      </c>
      <c r="I458" s="20" t="s">
        <v>451</v>
      </c>
      <c r="J458" s="22" t="s">
        <v>2365</v>
      </c>
      <c r="K458" s="22" t="s">
        <v>2365</v>
      </c>
      <c r="L458" s="23" t="s">
        <v>2361</v>
      </c>
      <c r="M458" s="24" t="s">
        <v>7751</v>
      </c>
      <c r="N458" s="23">
        <v>18663000</v>
      </c>
      <c r="O458" s="25" t="s">
        <v>1035</v>
      </c>
      <c r="P458" s="25" t="s">
        <v>53</v>
      </c>
      <c r="Q458" s="20" t="s">
        <v>2366</v>
      </c>
      <c r="R458" s="20">
        <v>82297901</v>
      </c>
      <c r="S458" s="25" t="s">
        <v>2367</v>
      </c>
      <c r="T458" s="26" t="s">
        <v>57</v>
      </c>
      <c r="U458" s="23">
        <v>860900062256680</v>
      </c>
      <c r="V458" s="27" t="s">
        <v>57</v>
      </c>
      <c r="W458" s="20" t="s">
        <v>58</v>
      </c>
      <c r="X458" s="20" t="s">
        <v>59</v>
      </c>
      <c r="Y458" s="20" t="s">
        <v>59</v>
      </c>
      <c r="Z458" s="20" t="s">
        <v>80</v>
      </c>
      <c r="AA458" s="20" t="s">
        <v>81</v>
      </c>
      <c r="AB458" s="20" t="s">
        <v>96</v>
      </c>
      <c r="AC458" s="28">
        <v>369.83</v>
      </c>
      <c r="AD458" s="28">
        <f>SUM(BASE[[#This Row],[MONTO DE RENTA ]]*1.16)</f>
        <v>429.00279999999998</v>
      </c>
      <c r="AE458" s="28" t="s">
        <v>63</v>
      </c>
      <c r="AF458" s="28">
        <v>369.82758620689657</v>
      </c>
      <c r="AG458" s="28">
        <v>429</v>
      </c>
      <c r="AH458" s="22" t="s">
        <v>64</v>
      </c>
      <c r="AI458" s="63">
        <v>45713</v>
      </c>
      <c r="AJ458" s="63">
        <v>46433</v>
      </c>
      <c r="AK4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8" s="30"/>
      <c r="AN458" s="20" t="s">
        <v>65</v>
      </c>
      <c r="AP458" s="20" t="s">
        <v>84</v>
      </c>
    </row>
    <row r="459" spans="1:43" ht="16">
      <c r="A459" s="20">
        <v>9811401407</v>
      </c>
      <c r="B459" s="21">
        <v>430444</v>
      </c>
      <c r="C459" s="20" t="s">
        <v>740</v>
      </c>
      <c r="D459" s="20" t="s">
        <v>627</v>
      </c>
      <c r="E459" s="20" t="s">
        <v>376</v>
      </c>
      <c r="F459" s="20" t="s">
        <v>257</v>
      </c>
      <c r="G459" s="20" t="s">
        <v>257</v>
      </c>
      <c r="H459" s="20" t="s">
        <v>48</v>
      </c>
      <c r="I459" s="20" t="s">
        <v>257</v>
      </c>
      <c r="J459" s="22" t="s">
        <v>2368</v>
      </c>
      <c r="K459" s="22" t="s">
        <v>2368</v>
      </c>
      <c r="L459" s="23" t="s">
        <v>2361</v>
      </c>
      <c r="M459" s="24" t="s">
        <v>7751</v>
      </c>
      <c r="N459" s="23">
        <v>18663000</v>
      </c>
      <c r="O459" s="25" t="s">
        <v>1035</v>
      </c>
      <c r="P459" s="25" t="s">
        <v>53</v>
      </c>
      <c r="Q459" s="20" t="s">
        <v>2369</v>
      </c>
      <c r="R459" s="20">
        <v>82278852</v>
      </c>
      <c r="S459" s="25" t="s">
        <v>2370</v>
      </c>
      <c r="T459" s="26" t="s">
        <v>57</v>
      </c>
      <c r="U459" s="23">
        <v>860478064862185</v>
      </c>
      <c r="V459" s="45" t="s">
        <v>110</v>
      </c>
      <c r="W459" s="20" t="s">
        <v>302</v>
      </c>
      <c r="X459" s="20" t="s">
        <v>303</v>
      </c>
      <c r="Y459" s="20" t="s">
        <v>303</v>
      </c>
      <c r="Z459" s="20" t="s">
        <v>80</v>
      </c>
      <c r="AA459" s="20" t="s">
        <v>81</v>
      </c>
      <c r="AB459" s="20" t="s">
        <v>82</v>
      </c>
      <c r="AC459" s="28">
        <v>559.48</v>
      </c>
      <c r="AD459" s="28">
        <f>SUM(BASE[[#This Row],[MONTO DE RENTA ]]*1.16)</f>
        <v>648.99680000000001</v>
      </c>
      <c r="AE459" s="28" t="s">
        <v>83</v>
      </c>
      <c r="AF459" s="28">
        <v>559.48275862068965</v>
      </c>
      <c r="AG459" s="28">
        <v>649</v>
      </c>
      <c r="AH459" s="22" t="s">
        <v>64</v>
      </c>
      <c r="AI459" s="63">
        <v>45713</v>
      </c>
      <c r="AJ459" s="63">
        <v>46433</v>
      </c>
      <c r="AK4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59" s="30"/>
      <c r="AN459" s="20" t="s">
        <v>65</v>
      </c>
      <c r="AP459" s="20" t="s">
        <v>84</v>
      </c>
    </row>
    <row r="460" spans="1:43" ht="16">
      <c r="A460" s="20">
        <v>9811412607</v>
      </c>
      <c r="B460" s="21">
        <v>635047</v>
      </c>
      <c r="C460" s="20" t="s">
        <v>2371</v>
      </c>
      <c r="D460" s="20" t="s">
        <v>324</v>
      </c>
      <c r="E460" s="20" t="s">
        <v>143</v>
      </c>
      <c r="F460" s="20" t="s">
        <v>104</v>
      </c>
      <c r="G460" s="20" t="s">
        <v>104</v>
      </c>
      <c r="H460" s="20" t="s">
        <v>48</v>
      </c>
      <c r="I460" s="20" t="s">
        <v>104</v>
      </c>
      <c r="J460" s="32" t="s">
        <v>2372</v>
      </c>
      <c r="K460" s="32" t="s">
        <v>2372</v>
      </c>
      <c r="L460" s="23" t="s">
        <v>2361</v>
      </c>
      <c r="M460" s="24" t="s">
        <v>7751</v>
      </c>
      <c r="N460" s="23">
        <v>18663000</v>
      </c>
      <c r="O460" s="25" t="s">
        <v>1035</v>
      </c>
      <c r="P460" s="25" t="s">
        <v>53</v>
      </c>
      <c r="Q460" s="20" t="s">
        <v>2373</v>
      </c>
      <c r="R460" s="20">
        <v>82293652</v>
      </c>
      <c r="S460" s="25" t="s">
        <v>2374</v>
      </c>
      <c r="T460" s="26" t="s">
        <v>57</v>
      </c>
      <c r="U460" s="23">
        <v>860478064845289</v>
      </c>
      <c r="V460" s="45" t="s">
        <v>110</v>
      </c>
      <c r="W460" s="20" t="s">
        <v>302</v>
      </c>
      <c r="X460" s="20" t="s">
        <v>303</v>
      </c>
      <c r="Y460" s="20" t="s">
        <v>303</v>
      </c>
      <c r="Z460" s="20" t="s">
        <v>80</v>
      </c>
      <c r="AA460" s="20" t="s">
        <v>81</v>
      </c>
      <c r="AB460" s="20" t="s">
        <v>82</v>
      </c>
      <c r="AC460" s="28">
        <v>559.48</v>
      </c>
      <c r="AD460" s="28">
        <f>SUM(BASE[[#This Row],[MONTO DE RENTA ]]*1.16)</f>
        <v>648.99680000000001</v>
      </c>
      <c r="AE460" s="28" t="s">
        <v>83</v>
      </c>
      <c r="AF460" s="28">
        <v>559.48275862068965</v>
      </c>
      <c r="AG460" s="28">
        <v>649</v>
      </c>
      <c r="AH460" s="22" t="s">
        <v>64</v>
      </c>
      <c r="AI460" s="63">
        <v>45713</v>
      </c>
      <c r="AJ460" s="63">
        <v>46433</v>
      </c>
      <c r="AK4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0" s="30"/>
      <c r="AN460" s="20" t="s">
        <v>65</v>
      </c>
      <c r="AP460" s="20" t="s">
        <v>84</v>
      </c>
    </row>
    <row r="461" spans="1:43" ht="16">
      <c r="A461" s="20">
        <v>9811601370</v>
      </c>
      <c r="B461" s="48">
        <v>1009773</v>
      </c>
      <c r="C461" s="20" t="s">
        <v>2375</v>
      </c>
      <c r="D461" s="20" t="s">
        <v>2376</v>
      </c>
      <c r="E461" s="20" t="s">
        <v>1717</v>
      </c>
      <c r="F461" s="20" t="s">
        <v>122</v>
      </c>
      <c r="G461" s="20" t="s">
        <v>122</v>
      </c>
      <c r="H461" s="20" t="s">
        <v>48</v>
      </c>
      <c r="I461" s="20" t="s">
        <v>122</v>
      </c>
      <c r="J461" s="22" t="s">
        <v>2377</v>
      </c>
      <c r="K461" s="32" t="s">
        <v>2378</v>
      </c>
      <c r="L461" s="23" t="s">
        <v>2361</v>
      </c>
      <c r="M461" s="24" t="s">
        <v>7751</v>
      </c>
      <c r="N461" s="23">
        <v>18663000</v>
      </c>
      <c r="O461" s="25" t="s">
        <v>1035</v>
      </c>
      <c r="P461" s="25" t="s">
        <v>53</v>
      </c>
      <c r="Q461" s="20" t="s">
        <v>2379</v>
      </c>
      <c r="R461" s="20">
        <v>82591838</v>
      </c>
      <c r="S461" s="25" t="s">
        <v>55</v>
      </c>
      <c r="T461" s="26" t="s">
        <v>56</v>
      </c>
      <c r="U461" s="23">
        <v>860900062337126</v>
      </c>
      <c r="V461" s="27" t="s">
        <v>57</v>
      </c>
      <c r="W461" s="20" t="s">
        <v>58</v>
      </c>
      <c r="X461" s="20" t="s">
        <v>59</v>
      </c>
      <c r="Y461" s="20" t="s">
        <v>59</v>
      </c>
      <c r="Z461" s="20" t="s">
        <v>60</v>
      </c>
      <c r="AA461" s="20" t="s">
        <v>61</v>
      </c>
      <c r="AB461" s="20" t="s">
        <v>96</v>
      </c>
      <c r="AC461" s="28">
        <v>369.83</v>
      </c>
      <c r="AD461" s="28">
        <f>SUM(BASE[[#This Row],[MONTO DE RENTA ]]*1.16)</f>
        <v>429.00279999999998</v>
      </c>
      <c r="AE461" s="28" t="s">
        <v>63</v>
      </c>
      <c r="AF461" s="28">
        <v>369.82758620689657</v>
      </c>
      <c r="AG461" s="28">
        <v>429</v>
      </c>
      <c r="AH461" s="22" t="s">
        <v>140</v>
      </c>
      <c r="AI461" s="63">
        <v>45743</v>
      </c>
      <c r="AJ461" s="63">
        <v>46473</v>
      </c>
      <c r="AK461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461" s="20">
        <v>18663000</v>
      </c>
      <c r="AM461" s="30"/>
      <c r="AN461" s="20" t="s">
        <v>65</v>
      </c>
      <c r="AP461" s="20" t="s">
        <v>84</v>
      </c>
    </row>
    <row r="462" spans="1:43" ht="16">
      <c r="A462" s="20">
        <v>9811093899</v>
      </c>
      <c r="B462" s="49">
        <v>40531</v>
      </c>
      <c r="C462" s="20" t="s">
        <v>2380</v>
      </c>
      <c r="D462" s="20" t="s">
        <v>2381</v>
      </c>
      <c r="E462" s="20" t="s">
        <v>2382</v>
      </c>
      <c r="F462" s="20" t="s">
        <v>70</v>
      </c>
      <c r="G462" s="20" t="s">
        <v>70</v>
      </c>
      <c r="H462" s="20" t="s">
        <v>48</v>
      </c>
      <c r="I462" s="20" t="s">
        <v>70</v>
      </c>
      <c r="J462" s="22" t="s">
        <v>2383</v>
      </c>
      <c r="K462" s="22" t="s">
        <v>2383</v>
      </c>
      <c r="L462" s="23" t="s">
        <v>2361</v>
      </c>
      <c r="M462" s="24" t="s">
        <v>7751</v>
      </c>
      <c r="N462" s="23">
        <v>18663000</v>
      </c>
      <c r="O462" s="25" t="s">
        <v>1035</v>
      </c>
      <c r="P462" s="25" t="s">
        <v>53</v>
      </c>
      <c r="Q462" s="20" t="s">
        <v>2384</v>
      </c>
      <c r="R462" s="20">
        <v>82200537</v>
      </c>
      <c r="S462" s="25" t="s">
        <v>55</v>
      </c>
      <c r="T462" s="26" t="s">
        <v>56</v>
      </c>
      <c r="U462" s="23">
        <v>357654179166809</v>
      </c>
      <c r="V462" s="27" t="s">
        <v>78</v>
      </c>
      <c r="W462" s="20" t="s">
        <v>95</v>
      </c>
      <c r="X462" s="20" t="s">
        <v>95</v>
      </c>
      <c r="Y462" s="20" t="s">
        <v>95</v>
      </c>
      <c r="Z462" s="20" t="s">
        <v>60</v>
      </c>
      <c r="AA462" s="20" t="s">
        <v>61</v>
      </c>
      <c r="AB462" s="20" t="s">
        <v>82</v>
      </c>
      <c r="AC462" s="28">
        <v>559.48</v>
      </c>
      <c r="AD462" s="28">
        <f>SUM(BASE[[#This Row],[MONTO DE RENTA ]]*1.16)</f>
        <v>648.99680000000001</v>
      </c>
      <c r="AE462" s="28" t="s">
        <v>83</v>
      </c>
      <c r="AF462" s="28">
        <v>559.48275862068965</v>
      </c>
      <c r="AG462" s="28">
        <v>649</v>
      </c>
      <c r="AI462" s="63">
        <v>44937</v>
      </c>
      <c r="AJ462" s="73">
        <v>46043</v>
      </c>
      <c r="AK46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62" s="30"/>
      <c r="AN462" s="20" t="s">
        <v>99</v>
      </c>
      <c r="AP462" s="20" t="s">
        <v>84</v>
      </c>
      <c r="AQ462" s="20" t="s">
        <v>100</v>
      </c>
    </row>
    <row r="463" spans="1:43" ht="16">
      <c r="A463" s="20">
        <v>6671563320</v>
      </c>
      <c r="B463" s="21">
        <v>1006569</v>
      </c>
      <c r="C463" s="20" t="s">
        <v>2385</v>
      </c>
      <c r="D463" s="20" t="s">
        <v>462</v>
      </c>
      <c r="E463" s="20" t="s">
        <v>1309</v>
      </c>
      <c r="F463" s="20" t="s">
        <v>418</v>
      </c>
      <c r="G463" s="20" t="s">
        <v>47</v>
      </c>
      <c r="H463" s="20" t="s">
        <v>48</v>
      </c>
      <c r="I463" s="20" t="s">
        <v>418</v>
      </c>
      <c r="J463" s="22" t="s">
        <v>2386</v>
      </c>
      <c r="K463" s="22" t="s">
        <v>2386</v>
      </c>
      <c r="L463" s="23" t="s">
        <v>2387</v>
      </c>
      <c r="M463" s="24" t="s">
        <v>7740</v>
      </c>
      <c r="N463" s="23">
        <v>18664000</v>
      </c>
      <c r="O463" s="25" t="s">
        <v>866</v>
      </c>
      <c r="P463" s="25" t="s">
        <v>53</v>
      </c>
      <c r="Q463" s="20" t="s">
        <v>2388</v>
      </c>
      <c r="R463" s="20">
        <v>22031384</v>
      </c>
      <c r="S463" s="25" t="s">
        <v>2389</v>
      </c>
      <c r="T463" s="26" t="s">
        <v>57</v>
      </c>
      <c r="U463" s="23">
        <v>860900062731690</v>
      </c>
      <c r="V463" s="27" t="s">
        <v>57</v>
      </c>
      <c r="W463" s="20" t="s">
        <v>58</v>
      </c>
      <c r="X463" s="20" t="s">
        <v>59</v>
      </c>
      <c r="Y463" s="20" t="s">
        <v>59</v>
      </c>
      <c r="Z463" s="20" t="s">
        <v>131</v>
      </c>
      <c r="AA463" s="20" t="s">
        <v>132</v>
      </c>
      <c r="AB463" s="20" t="s">
        <v>96</v>
      </c>
      <c r="AC463" s="28">
        <v>369.83</v>
      </c>
      <c r="AD463" s="28">
        <f>SUM(BASE[[#This Row],[MONTO DE RENTA ]]*1.16)</f>
        <v>429.00279999999998</v>
      </c>
      <c r="AE463" s="28" t="s">
        <v>63</v>
      </c>
      <c r="AF463" s="28">
        <v>369.82758620689657</v>
      </c>
      <c r="AG463" s="28">
        <v>429</v>
      </c>
      <c r="AH463" s="22" t="s">
        <v>64</v>
      </c>
      <c r="AI463" s="63">
        <v>45703</v>
      </c>
      <c r="AJ463" s="63">
        <v>46433</v>
      </c>
      <c r="AK4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3" s="30"/>
      <c r="AN463" s="20" t="s">
        <v>65</v>
      </c>
      <c r="AP463" s="20" t="s">
        <v>84</v>
      </c>
    </row>
    <row r="464" spans="1:43" ht="16">
      <c r="A464" s="20">
        <v>6621444106</v>
      </c>
      <c r="B464" s="21">
        <v>1027826</v>
      </c>
      <c r="C464" s="20" t="s">
        <v>2390</v>
      </c>
      <c r="D464" s="20" t="s">
        <v>2391</v>
      </c>
      <c r="E464" s="20" t="s">
        <v>1186</v>
      </c>
      <c r="F464" s="20" t="s">
        <v>451</v>
      </c>
      <c r="G464" s="20" t="s">
        <v>248</v>
      </c>
      <c r="H464" s="20" t="s">
        <v>48</v>
      </c>
      <c r="I464" s="20" t="s">
        <v>451</v>
      </c>
      <c r="J464" s="22" t="s">
        <v>2392</v>
      </c>
      <c r="K464" s="22" t="s">
        <v>2392</v>
      </c>
      <c r="L464" s="23" t="s">
        <v>2387</v>
      </c>
      <c r="M464" s="24" t="s">
        <v>7740</v>
      </c>
      <c r="N464" s="23">
        <v>18664000</v>
      </c>
      <c r="O464" s="25" t="s">
        <v>866</v>
      </c>
      <c r="P464" s="25" t="s">
        <v>53</v>
      </c>
      <c r="Q464" s="20" t="s">
        <v>2393</v>
      </c>
      <c r="R464" s="20">
        <v>22020390</v>
      </c>
      <c r="S464" s="25" t="s">
        <v>2394</v>
      </c>
      <c r="T464" s="26" t="s">
        <v>57</v>
      </c>
      <c r="U464" s="23">
        <v>860900062735741</v>
      </c>
      <c r="V464" s="27" t="s">
        <v>57</v>
      </c>
      <c r="W464" s="20" t="s">
        <v>58</v>
      </c>
      <c r="X464" s="20" t="s">
        <v>59</v>
      </c>
      <c r="Y464" s="20" t="s">
        <v>59</v>
      </c>
      <c r="Z464" s="20" t="s">
        <v>131</v>
      </c>
      <c r="AA464" s="20" t="s">
        <v>132</v>
      </c>
      <c r="AB464" s="20" t="s">
        <v>96</v>
      </c>
      <c r="AC464" s="28">
        <v>369.83</v>
      </c>
      <c r="AD464" s="28">
        <f>SUM(BASE[[#This Row],[MONTO DE RENTA ]]*1.16)</f>
        <v>429.00279999999998</v>
      </c>
      <c r="AE464" s="28" t="s">
        <v>63</v>
      </c>
      <c r="AF464" s="28">
        <v>369.82758620689657</v>
      </c>
      <c r="AG464" s="28">
        <v>429</v>
      </c>
      <c r="AH464" s="22" t="s">
        <v>64</v>
      </c>
      <c r="AI464" s="63">
        <v>45703</v>
      </c>
      <c r="AJ464" s="63">
        <v>46433</v>
      </c>
      <c r="AK4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4" s="30"/>
      <c r="AN464" s="20" t="s">
        <v>65</v>
      </c>
      <c r="AP464" s="20" t="s">
        <v>84</v>
      </c>
    </row>
    <row r="465" spans="1:43" ht="16">
      <c r="A465" s="20">
        <v>6671290868</v>
      </c>
      <c r="B465" s="21">
        <v>80110</v>
      </c>
      <c r="C465" s="20" t="s">
        <v>2395</v>
      </c>
      <c r="D465" s="20" t="s">
        <v>1109</v>
      </c>
      <c r="E465" s="20" t="s">
        <v>143</v>
      </c>
      <c r="F465" s="20" t="s">
        <v>257</v>
      </c>
      <c r="G465" s="20" t="s">
        <v>257</v>
      </c>
      <c r="H465" s="20" t="s">
        <v>48</v>
      </c>
      <c r="I465" s="20" t="s">
        <v>257</v>
      </c>
      <c r="J465" s="22" t="s">
        <v>2396</v>
      </c>
      <c r="K465" s="22" t="s">
        <v>2396</v>
      </c>
      <c r="L465" s="23" t="s">
        <v>2387</v>
      </c>
      <c r="M465" s="24" t="s">
        <v>7740</v>
      </c>
      <c r="N465" s="23">
        <v>18708000</v>
      </c>
      <c r="O465" s="25" t="s">
        <v>866</v>
      </c>
      <c r="P465" s="25" t="s">
        <v>53</v>
      </c>
      <c r="Q465" s="20" t="s">
        <v>2397</v>
      </c>
      <c r="R465" s="20">
        <v>22005763</v>
      </c>
      <c r="S465" s="25" t="s">
        <v>2398</v>
      </c>
      <c r="T465" s="26" t="s">
        <v>57</v>
      </c>
      <c r="U465" s="23">
        <v>860478063557653</v>
      </c>
      <c r="V465" s="45" t="s">
        <v>110</v>
      </c>
      <c r="W465" s="20" t="s">
        <v>302</v>
      </c>
      <c r="X465" s="20" t="s">
        <v>303</v>
      </c>
      <c r="Y465" s="20" t="s">
        <v>303</v>
      </c>
      <c r="Z465" s="20" t="s">
        <v>131</v>
      </c>
      <c r="AA465" s="20" t="s">
        <v>132</v>
      </c>
      <c r="AB465" s="20" t="s">
        <v>82</v>
      </c>
      <c r="AC465" s="28">
        <v>559.48</v>
      </c>
      <c r="AD465" s="28">
        <f>SUM(BASE[[#This Row],[MONTO DE RENTA ]]*1.16)</f>
        <v>648.99680000000001</v>
      </c>
      <c r="AE465" s="28" t="s">
        <v>83</v>
      </c>
      <c r="AF465" s="28">
        <v>559.48275862068965</v>
      </c>
      <c r="AG465" s="28">
        <v>649</v>
      </c>
      <c r="AH465" s="22" t="s">
        <v>64</v>
      </c>
      <c r="AI465" s="63">
        <v>45703</v>
      </c>
      <c r="AJ465" s="63">
        <v>46433</v>
      </c>
      <c r="AK4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5" s="30"/>
      <c r="AN465" s="20" t="s">
        <v>65</v>
      </c>
      <c r="AP465" s="20" t="s">
        <v>84</v>
      </c>
    </row>
    <row r="466" spans="1:43" ht="16">
      <c r="A466" s="20">
        <v>6672328322</v>
      </c>
      <c r="B466" s="49">
        <v>1040619</v>
      </c>
      <c r="C466" s="20" t="s">
        <v>2399</v>
      </c>
      <c r="D466" s="20" t="s">
        <v>205</v>
      </c>
      <c r="E466" s="20" t="s">
        <v>298</v>
      </c>
      <c r="F466" s="20" t="s">
        <v>104</v>
      </c>
      <c r="G466" s="20" t="s">
        <v>104</v>
      </c>
      <c r="H466" s="20" t="s">
        <v>48</v>
      </c>
      <c r="I466" s="20" t="s">
        <v>104</v>
      </c>
      <c r="J466" s="22" t="s">
        <v>2400</v>
      </c>
      <c r="K466" s="22" t="s">
        <v>2400</v>
      </c>
      <c r="L466" s="23" t="s">
        <v>2387</v>
      </c>
      <c r="M466" s="24" t="s">
        <v>7740</v>
      </c>
      <c r="N466" s="23">
        <v>18664000</v>
      </c>
      <c r="O466" s="25" t="s">
        <v>866</v>
      </c>
      <c r="P466" s="25" t="s">
        <v>53</v>
      </c>
      <c r="Q466" s="20" t="s">
        <v>2401</v>
      </c>
      <c r="R466" s="20">
        <v>23009145</v>
      </c>
      <c r="S466" s="25" t="s">
        <v>55</v>
      </c>
      <c r="T466" s="101" t="s">
        <v>56</v>
      </c>
      <c r="U466" s="23">
        <v>861383071459695</v>
      </c>
      <c r="V466" s="45" t="s">
        <v>110</v>
      </c>
      <c r="W466" s="20" t="s">
        <v>111</v>
      </c>
      <c r="X466" s="20" t="s">
        <v>112</v>
      </c>
      <c r="Y466" s="20" t="s">
        <v>112</v>
      </c>
      <c r="Z466" s="20" t="s">
        <v>60</v>
      </c>
      <c r="AA466" s="20" t="s">
        <v>61</v>
      </c>
      <c r="AB466" s="20" t="s">
        <v>96</v>
      </c>
      <c r="AC466" s="28">
        <v>369.83</v>
      </c>
      <c r="AD466" s="28">
        <f>SUM(BASE[[#This Row],[MONTO DE RENTA ]]*1.16)</f>
        <v>429.00279999999998</v>
      </c>
      <c r="AE466" s="28" t="s">
        <v>97</v>
      </c>
      <c r="AF466" s="28">
        <v>473.27586206896552</v>
      </c>
      <c r="AG466" s="28">
        <v>549</v>
      </c>
      <c r="AH466" s="22" t="s">
        <v>253</v>
      </c>
      <c r="AI466" s="63">
        <v>45839</v>
      </c>
      <c r="AJ466" s="63">
        <v>46569</v>
      </c>
      <c r="AK466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466" s="20">
        <v>18664000</v>
      </c>
      <c r="AM466" s="30" t="s">
        <v>2402</v>
      </c>
      <c r="AN466" s="20" t="s">
        <v>65</v>
      </c>
      <c r="AP466" s="20" t="s">
        <v>66</v>
      </c>
    </row>
    <row r="467" spans="1:43" ht="16">
      <c r="A467" s="20">
        <v>6671297447</v>
      </c>
      <c r="B467" s="21">
        <v>1014435</v>
      </c>
      <c r="C467" s="20" t="s">
        <v>2403</v>
      </c>
      <c r="D467" s="20" t="s">
        <v>2404</v>
      </c>
      <c r="E467" s="20" t="s">
        <v>2405</v>
      </c>
      <c r="F467" s="20" t="s">
        <v>104</v>
      </c>
      <c r="G467" s="20" t="s">
        <v>104</v>
      </c>
      <c r="H467" s="20" t="s">
        <v>48</v>
      </c>
      <c r="I467" s="20" t="s">
        <v>104</v>
      </c>
      <c r="J467" s="22" t="s">
        <v>2406</v>
      </c>
      <c r="K467" s="22" t="s">
        <v>2406</v>
      </c>
      <c r="L467" s="23" t="s">
        <v>2387</v>
      </c>
      <c r="M467" s="24" t="s">
        <v>7740</v>
      </c>
      <c r="N467" s="23">
        <v>18664000</v>
      </c>
      <c r="O467" s="25" t="s">
        <v>866</v>
      </c>
      <c r="P467" s="25" t="s">
        <v>53</v>
      </c>
      <c r="Q467" s="20" t="s">
        <v>2407</v>
      </c>
      <c r="R467" s="20">
        <v>22045437</v>
      </c>
      <c r="S467" s="25" t="s">
        <v>2408</v>
      </c>
      <c r="T467" s="26" t="s">
        <v>57</v>
      </c>
      <c r="U467" s="23">
        <v>860478064066498</v>
      </c>
      <c r="V467" s="45" t="s">
        <v>110</v>
      </c>
      <c r="W467" s="20" t="s">
        <v>302</v>
      </c>
      <c r="X467" s="20" t="s">
        <v>303</v>
      </c>
      <c r="Y467" s="20" t="s">
        <v>303</v>
      </c>
      <c r="Z467" s="20" t="s">
        <v>131</v>
      </c>
      <c r="AA467" s="20" t="s">
        <v>132</v>
      </c>
      <c r="AB467" s="20" t="s">
        <v>82</v>
      </c>
      <c r="AC467" s="28">
        <v>559.48</v>
      </c>
      <c r="AD467" s="28">
        <f>SUM(BASE[[#This Row],[MONTO DE RENTA ]]*1.16)</f>
        <v>648.99680000000001</v>
      </c>
      <c r="AE467" s="28" t="s">
        <v>83</v>
      </c>
      <c r="AF467" s="28">
        <v>559.48275862068965</v>
      </c>
      <c r="AG467" s="28">
        <v>649</v>
      </c>
      <c r="AH467" s="22" t="s">
        <v>64</v>
      </c>
      <c r="AI467" s="63">
        <v>45703</v>
      </c>
      <c r="AJ467" s="63">
        <v>46433</v>
      </c>
      <c r="AK4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7" s="30"/>
      <c r="AN467" s="20" t="s">
        <v>65</v>
      </c>
      <c r="AP467" s="20" t="s">
        <v>84</v>
      </c>
    </row>
    <row r="468" spans="1:43" ht="16">
      <c r="A468" s="20">
        <v>6671295021</v>
      </c>
      <c r="B468" s="21">
        <v>645004</v>
      </c>
      <c r="C468" s="20" t="s">
        <v>159</v>
      </c>
      <c r="D468" s="20" t="s">
        <v>547</v>
      </c>
      <c r="E468" s="20" t="s">
        <v>222</v>
      </c>
      <c r="F468" s="20" t="s">
        <v>104</v>
      </c>
      <c r="G468" s="20" t="s">
        <v>104</v>
      </c>
      <c r="H468" s="20" t="s">
        <v>48</v>
      </c>
      <c r="I468" s="20" t="s">
        <v>104</v>
      </c>
      <c r="J468" s="22" t="s">
        <v>2409</v>
      </c>
      <c r="K468" s="22" t="s">
        <v>2409</v>
      </c>
      <c r="L468" s="23" t="s">
        <v>2387</v>
      </c>
      <c r="M468" s="24" t="s">
        <v>7740</v>
      </c>
      <c r="N468" s="23">
        <v>18664000</v>
      </c>
      <c r="O468" s="25" t="s">
        <v>866</v>
      </c>
      <c r="P468" s="25" t="s">
        <v>53</v>
      </c>
      <c r="Q468" s="20" t="s">
        <v>2410</v>
      </c>
      <c r="R468" s="20">
        <v>22045434</v>
      </c>
      <c r="S468" s="25" t="s">
        <v>2411</v>
      </c>
      <c r="T468" s="26" t="s">
        <v>57</v>
      </c>
      <c r="U468" s="23">
        <v>860478060204176</v>
      </c>
      <c r="V468" s="45" t="s">
        <v>110</v>
      </c>
      <c r="W468" s="20" t="s">
        <v>302</v>
      </c>
      <c r="X468" s="20" t="s">
        <v>303</v>
      </c>
      <c r="Y468" s="20" t="s">
        <v>303</v>
      </c>
      <c r="Z468" s="20" t="s">
        <v>131</v>
      </c>
      <c r="AA468" s="20" t="s">
        <v>132</v>
      </c>
      <c r="AB468" s="20" t="s">
        <v>82</v>
      </c>
      <c r="AC468" s="28">
        <v>559.48</v>
      </c>
      <c r="AD468" s="28">
        <f>SUM(BASE[[#This Row],[MONTO DE RENTA ]]*1.16)</f>
        <v>648.99680000000001</v>
      </c>
      <c r="AE468" s="28" t="s">
        <v>83</v>
      </c>
      <c r="AF468" s="28">
        <v>559.48275862068965</v>
      </c>
      <c r="AG468" s="28">
        <v>649</v>
      </c>
      <c r="AH468" s="22" t="s">
        <v>64</v>
      </c>
      <c r="AI468" s="63">
        <v>45703</v>
      </c>
      <c r="AJ468" s="63">
        <v>46433</v>
      </c>
      <c r="AK4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8" s="30"/>
      <c r="AN468" s="20" t="s">
        <v>65</v>
      </c>
      <c r="AP468" s="20" t="s">
        <v>84</v>
      </c>
    </row>
    <row r="469" spans="1:43" ht="16">
      <c r="A469" s="20">
        <v>6674793708</v>
      </c>
      <c r="B469" s="21">
        <v>80461</v>
      </c>
      <c r="C469" s="20" t="s">
        <v>43</v>
      </c>
      <c r="D469" s="20" t="s">
        <v>2412</v>
      </c>
      <c r="E469" s="20" t="s">
        <v>143</v>
      </c>
      <c r="F469" s="20" t="s">
        <v>122</v>
      </c>
      <c r="G469" s="20" t="s">
        <v>122</v>
      </c>
      <c r="H469" s="20" t="s">
        <v>48</v>
      </c>
      <c r="I469" s="20" t="s">
        <v>122</v>
      </c>
      <c r="J469" s="32" t="s">
        <v>2413</v>
      </c>
      <c r="K469" s="32" t="s">
        <v>2414</v>
      </c>
      <c r="L469" s="23" t="s">
        <v>2387</v>
      </c>
      <c r="M469" s="24" t="s">
        <v>7740</v>
      </c>
      <c r="N469" s="23">
        <v>18664000</v>
      </c>
      <c r="O469" s="25" t="s">
        <v>866</v>
      </c>
      <c r="P469" s="25" t="s">
        <v>53</v>
      </c>
      <c r="Q469" s="20" t="s">
        <v>2415</v>
      </c>
      <c r="R469" s="20">
        <v>22005757</v>
      </c>
      <c r="S469" s="25" t="s">
        <v>2416</v>
      </c>
      <c r="T469" s="26" t="s">
        <v>57</v>
      </c>
      <c r="U469" s="23">
        <v>860900062732144</v>
      </c>
      <c r="V469" s="27" t="s">
        <v>57</v>
      </c>
      <c r="W469" s="20" t="s">
        <v>58</v>
      </c>
      <c r="X469" s="20" t="s">
        <v>59</v>
      </c>
      <c r="Y469" s="20" t="s">
        <v>59</v>
      </c>
      <c r="Z469" s="20" t="s">
        <v>131</v>
      </c>
      <c r="AA469" s="20" t="s">
        <v>132</v>
      </c>
      <c r="AB469" s="20" t="s">
        <v>96</v>
      </c>
      <c r="AC469" s="28">
        <v>369.83</v>
      </c>
      <c r="AD469" s="28">
        <f>SUM(BASE[[#This Row],[MONTO DE RENTA ]]*1.16)</f>
        <v>429.00279999999998</v>
      </c>
      <c r="AE469" s="28" t="s">
        <v>63</v>
      </c>
      <c r="AF469" s="28">
        <v>369.82758620689657</v>
      </c>
      <c r="AG469" s="28">
        <v>429</v>
      </c>
      <c r="AH469" s="22" t="s">
        <v>64</v>
      </c>
      <c r="AI469" s="63">
        <v>45703</v>
      </c>
      <c r="AJ469" s="63">
        <v>46433</v>
      </c>
      <c r="AK4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69" s="30"/>
      <c r="AN469" s="20" t="s">
        <v>65</v>
      </c>
      <c r="AP469" s="20" t="s">
        <v>84</v>
      </c>
    </row>
    <row r="470" spans="1:43" ht="16">
      <c r="A470" s="20">
        <v>6673240922</v>
      </c>
      <c r="B470" s="49">
        <v>1037057</v>
      </c>
      <c r="C470" s="20" t="s">
        <v>1561</v>
      </c>
      <c r="D470" s="20" t="s">
        <v>1524</v>
      </c>
      <c r="E470" s="20" t="s">
        <v>2404</v>
      </c>
      <c r="F470" s="20" t="s">
        <v>122</v>
      </c>
      <c r="G470" s="20" t="s">
        <v>122</v>
      </c>
      <c r="H470" s="20" t="s">
        <v>48</v>
      </c>
      <c r="I470" s="20" t="s">
        <v>122</v>
      </c>
      <c r="J470" s="32" t="s">
        <v>2413</v>
      </c>
      <c r="K470" s="32" t="s">
        <v>2414</v>
      </c>
      <c r="L470" s="23" t="s">
        <v>2387</v>
      </c>
      <c r="M470" s="24" t="s">
        <v>7740</v>
      </c>
      <c r="N470" s="23">
        <v>18664000</v>
      </c>
      <c r="O470" s="25" t="s">
        <v>866</v>
      </c>
      <c r="P470" s="25" t="s">
        <v>53</v>
      </c>
      <c r="Q470" s="20" t="s">
        <v>2417</v>
      </c>
      <c r="R470" s="20">
        <v>22226965</v>
      </c>
      <c r="S470" s="25" t="s">
        <v>2418</v>
      </c>
      <c r="T470" s="44" t="s">
        <v>57</v>
      </c>
      <c r="U470" s="23">
        <v>860900062732144</v>
      </c>
      <c r="V470" s="27" t="s">
        <v>57</v>
      </c>
      <c r="W470" s="20" t="s">
        <v>58</v>
      </c>
      <c r="X470" s="20" t="s">
        <v>59</v>
      </c>
      <c r="Y470" s="20" t="s">
        <v>59</v>
      </c>
      <c r="Z470" s="20" t="s">
        <v>60</v>
      </c>
      <c r="AA470" s="20" t="s">
        <v>61</v>
      </c>
      <c r="AB470" s="20" t="s">
        <v>96</v>
      </c>
      <c r="AC470" s="28">
        <v>369.83</v>
      </c>
      <c r="AD470" s="28">
        <f>SUM(BASE[[#This Row],[MONTO DE RENTA ]]*1.16)</f>
        <v>429.00279999999998</v>
      </c>
      <c r="AE470" s="28" t="s">
        <v>63</v>
      </c>
      <c r="AF470" s="28">
        <v>369.82758620689657</v>
      </c>
      <c r="AG470" s="28">
        <v>429</v>
      </c>
      <c r="AH470" s="22" t="s">
        <v>140</v>
      </c>
      <c r="AI470" s="63">
        <v>45988</v>
      </c>
      <c r="AJ470" s="63">
        <v>46718</v>
      </c>
      <c r="AK470" s="30">
        <f ca="1">IFERROR(IF(BASE[[#This Row],[FECHA DE RENOVACION ]]&gt;TODAY(), DATEDIF(TODAY(),BASE[[#This Row],[FECHA DE RENOVACION ]],"M"), -DATEDIF(BASE[[#This Row],[FECHA DE RENOVACION ]],TODAY(),"M")), "Sin fecha")</f>
        <v>20</v>
      </c>
      <c r="AL470" s="20">
        <v>18664000</v>
      </c>
      <c r="AM470" s="30"/>
      <c r="AN470" s="20" t="s">
        <v>65</v>
      </c>
      <c r="AP470" s="20" t="s">
        <v>84</v>
      </c>
    </row>
    <row r="471" spans="1:43" ht="16">
      <c r="A471" s="20">
        <v>6671301856</v>
      </c>
      <c r="B471" s="49">
        <v>80010</v>
      </c>
      <c r="C471" s="20" t="s">
        <v>2419</v>
      </c>
      <c r="D471" s="20" t="s">
        <v>405</v>
      </c>
      <c r="E471" s="20" t="s">
        <v>2420</v>
      </c>
      <c r="F471" s="20" t="s">
        <v>70</v>
      </c>
      <c r="G471" s="20" t="s">
        <v>70</v>
      </c>
      <c r="H471" s="20" t="s">
        <v>48</v>
      </c>
      <c r="I471" s="20" t="s">
        <v>70</v>
      </c>
      <c r="J471" s="22" t="s">
        <v>2421</v>
      </c>
      <c r="K471" s="22" t="s">
        <v>2421</v>
      </c>
      <c r="L471" s="23" t="s">
        <v>2387</v>
      </c>
      <c r="M471" s="24" t="s">
        <v>7740</v>
      </c>
      <c r="N471" s="23">
        <v>18664000</v>
      </c>
      <c r="O471" s="25" t="s">
        <v>866</v>
      </c>
      <c r="P471" s="25" t="s">
        <v>53</v>
      </c>
      <c r="Q471" s="20" t="s">
        <v>2422</v>
      </c>
      <c r="R471" s="20">
        <v>21934960</v>
      </c>
      <c r="S471" s="25" t="s">
        <v>55</v>
      </c>
      <c r="T471" s="26" t="s">
        <v>56</v>
      </c>
      <c r="U471" s="23">
        <v>357894928551949</v>
      </c>
      <c r="V471" s="27" t="s">
        <v>78</v>
      </c>
      <c r="W471" s="20" t="s">
        <v>95</v>
      </c>
      <c r="X471" s="20" t="s">
        <v>95</v>
      </c>
      <c r="Y471" s="20" t="s">
        <v>95</v>
      </c>
      <c r="Z471" s="20" t="s">
        <v>60</v>
      </c>
      <c r="AA471" s="20" t="s">
        <v>61</v>
      </c>
      <c r="AB471" s="20" t="s">
        <v>82</v>
      </c>
      <c r="AC471" s="28">
        <v>559.48</v>
      </c>
      <c r="AD471" s="28">
        <f>SUM(BASE[[#This Row],[MONTO DE RENTA ]]*1.16)</f>
        <v>648.99680000000001</v>
      </c>
      <c r="AE471" s="28" t="s">
        <v>83</v>
      </c>
      <c r="AF471" s="28">
        <v>559.48275862068965</v>
      </c>
      <c r="AG471" s="28">
        <v>649</v>
      </c>
      <c r="AI471" s="63">
        <v>44937</v>
      </c>
      <c r="AJ471" s="73">
        <v>46043</v>
      </c>
      <c r="AK4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71" s="30"/>
      <c r="AN471" s="20" t="s">
        <v>99</v>
      </c>
      <c r="AP471" s="20" t="s">
        <v>84</v>
      </c>
      <c r="AQ471" s="20" t="s">
        <v>100</v>
      </c>
    </row>
    <row r="472" spans="1:43" ht="16">
      <c r="A472" s="20">
        <v>4431937941</v>
      </c>
      <c r="B472" s="21">
        <v>410291</v>
      </c>
      <c r="C472" s="20" t="s">
        <v>1810</v>
      </c>
      <c r="D472" s="20" t="s">
        <v>1265</v>
      </c>
      <c r="E472" s="20" t="s">
        <v>172</v>
      </c>
      <c r="F472" s="20" t="s">
        <v>418</v>
      </c>
      <c r="G472" s="20" t="s">
        <v>47</v>
      </c>
      <c r="H472" s="20" t="s">
        <v>48</v>
      </c>
      <c r="I472" s="20" t="s">
        <v>418</v>
      </c>
      <c r="J472" s="22" t="s">
        <v>2423</v>
      </c>
      <c r="K472" s="22" t="s">
        <v>2423</v>
      </c>
      <c r="L472" s="23" t="s">
        <v>2341</v>
      </c>
      <c r="M472" s="24" t="s">
        <v>7743</v>
      </c>
      <c r="N472" s="23">
        <v>18672000</v>
      </c>
      <c r="O472" s="25" t="s">
        <v>677</v>
      </c>
      <c r="P472" s="25" t="s">
        <v>53</v>
      </c>
      <c r="Q472" s="20" t="s">
        <v>2424</v>
      </c>
      <c r="R472" s="20">
        <v>53354237</v>
      </c>
      <c r="S472" s="25" t="s">
        <v>2425</v>
      </c>
      <c r="T472" s="26" t="s">
        <v>57</v>
      </c>
      <c r="U472" s="23">
        <v>860900062336300</v>
      </c>
      <c r="V472" s="27" t="s">
        <v>57</v>
      </c>
      <c r="W472" s="20" t="s">
        <v>58</v>
      </c>
      <c r="X472" s="20" t="s">
        <v>59</v>
      </c>
      <c r="Y472" s="20" t="s">
        <v>59</v>
      </c>
      <c r="Z472" s="20" t="s">
        <v>60</v>
      </c>
      <c r="AA472" s="20" t="s">
        <v>61</v>
      </c>
      <c r="AB472" s="20" t="s">
        <v>96</v>
      </c>
      <c r="AC472" s="28">
        <v>369.83</v>
      </c>
      <c r="AD472" s="28">
        <f>SUM(BASE[[#This Row],[MONTO DE RENTA ]]*1.16)</f>
        <v>429.00279999999998</v>
      </c>
      <c r="AE472" s="28" t="s">
        <v>63</v>
      </c>
      <c r="AF472" s="28">
        <v>369.82758620689657</v>
      </c>
      <c r="AG472" s="28">
        <v>429</v>
      </c>
      <c r="AH472" s="22" t="s">
        <v>64</v>
      </c>
      <c r="AI472" s="63">
        <v>45703</v>
      </c>
      <c r="AJ472" s="63">
        <v>46433</v>
      </c>
      <c r="AK4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72" s="30"/>
      <c r="AN472" s="20" t="s">
        <v>65</v>
      </c>
      <c r="AP472" s="20" t="s">
        <v>84</v>
      </c>
    </row>
    <row r="473" spans="1:43" ht="16">
      <c r="A473" s="20">
        <v>4433960884</v>
      </c>
      <c r="B473" s="49">
        <v>410060</v>
      </c>
      <c r="C473" s="20" t="s">
        <v>119</v>
      </c>
      <c r="D473" s="20" t="s">
        <v>187</v>
      </c>
      <c r="E473" s="20" t="s">
        <v>2426</v>
      </c>
      <c r="F473" s="20" t="s">
        <v>248</v>
      </c>
      <c r="G473" s="20" t="s">
        <v>248</v>
      </c>
      <c r="H473" s="20" t="s">
        <v>48</v>
      </c>
      <c r="I473" s="20" t="s">
        <v>248</v>
      </c>
      <c r="J473" s="22" t="s">
        <v>2427</v>
      </c>
      <c r="K473" s="22" t="s">
        <v>2427</v>
      </c>
      <c r="L473" s="23" t="s">
        <v>2341</v>
      </c>
      <c r="M473" s="24" t="s">
        <v>7743</v>
      </c>
      <c r="N473" s="23">
        <v>18672000</v>
      </c>
      <c r="O473" s="25" t="s">
        <v>677</v>
      </c>
      <c r="P473" s="25" t="s">
        <v>53</v>
      </c>
      <c r="Q473" s="20" t="s">
        <v>2428</v>
      </c>
      <c r="R473" s="20">
        <v>53335834</v>
      </c>
      <c r="S473" s="25" t="s">
        <v>55</v>
      </c>
      <c r="T473" s="26" t="s">
        <v>56</v>
      </c>
      <c r="U473" s="23">
        <v>865356065668220</v>
      </c>
      <c r="V473" s="27" t="s">
        <v>183</v>
      </c>
      <c r="W473" s="20" t="s">
        <v>129</v>
      </c>
      <c r="X473" s="20" t="s">
        <v>130</v>
      </c>
      <c r="Y473" s="20" t="s">
        <v>130</v>
      </c>
      <c r="Z473" s="20" t="s">
        <v>60</v>
      </c>
      <c r="AA473" s="20" t="s">
        <v>61</v>
      </c>
      <c r="AB473" s="20" t="s">
        <v>96</v>
      </c>
      <c r="AC473" s="28">
        <v>369.83</v>
      </c>
      <c r="AD473" s="28">
        <f>SUM(BASE[[#This Row],[MONTO DE RENTA ]]*1.16)</f>
        <v>429.00279999999998</v>
      </c>
      <c r="AE473" s="28" t="s">
        <v>63</v>
      </c>
      <c r="AF473" s="28">
        <v>369.82758620689657</v>
      </c>
      <c r="AG473" s="28">
        <v>429</v>
      </c>
      <c r="AI473" s="63">
        <v>44937</v>
      </c>
      <c r="AJ473" s="73">
        <v>46043</v>
      </c>
      <c r="AK4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73" s="30"/>
      <c r="AN473" s="20" t="s">
        <v>99</v>
      </c>
      <c r="AP473" s="20" t="s">
        <v>84</v>
      </c>
      <c r="AQ473" s="20" t="s">
        <v>100</v>
      </c>
    </row>
    <row r="474" spans="1:43" ht="16">
      <c r="A474" s="20">
        <v>4431627851</v>
      </c>
      <c r="B474" s="21">
        <v>1053231</v>
      </c>
      <c r="C474" s="20" t="s">
        <v>2338</v>
      </c>
      <c r="D474" s="20" t="s">
        <v>143</v>
      </c>
      <c r="E474" s="20" t="s">
        <v>2011</v>
      </c>
      <c r="F474" s="20" t="s">
        <v>257</v>
      </c>
      <c r="G474" s="20" t="s">
        <v>104</v>
      </c>
      <c r="H474" s="20" t="s">
        <v>48</v>
      </c>
      <c r="I474" s="20" t="s">
        <v>257</v>
      </c>
      <c r="J474" s="32" t="s">
        <v>2429</v>
      </c>
      <c r="K474" s="22" t="s">
        <v>2430</v>
      </c>
      <c r="L474" s="23" t="s">
        <v>2341</v>
      </c>
      <c r="M474" s="24" t="s">
        <v>7743</v>
      </c>
      <c r="N474" s="23">
        <v>18672000</v>
      </c>
      <c r="O474" s="25" t="s">
        <v>677</v>
      </c>
      <c r="P474" s="25" t="s">
        <v>53</v>
      </c>
      <c r="Q474" s="20" t="s">
        <v>2431</v>
      </c>
      <c r="R474" s="20">
        <v>53375196</v>
      </c>
      <c r="S474" s="25" t="s">
        <v>2432</v>
      </c>
      <c r="T474" s="26" t="s">
        <v>57</v>
      </c>
      <c r="U474" s="23">
        <v>860478063635160</v>
      </c>
      <c r="V474" s="45" t="s">
        <v>110</v>
      </c>
      <c r="W474" s="20" t="s">
        <v>302</v>
      </c>
      <c r="X474" s="20" t="s">
        <v>303</v>
      </c>
      <c r="Y474" s="20" t="s">
        <v>303</v>
      </c>
      <c r="Z474" s="20" t="s">
        <v>80</v>
      </c>
      <c r="AA474" s="20" t="s">
        <v>81</v>
      </c>
      <c r="AB474" s="20" t="s">
        <v>82</v>
      </c>
      <c r="AC474" s="28">
        <v>559.48</v>
      </c>
      <c r="AD474" s="28">
        <f>SUM(BASE[[#This Row],[MONTO DE RENTA ]]*1.16)</f>
        <v>648.99680000000001</v>
      </c>
      <c r="AE474" s="28" t="s">
        <v>83</v>
      </c>
      <c r="AF474" s="28">
        <v>559.48275862068965</v>
      </c>
      <c r="AG474" s="28">
        <v>649</v>
      </c>
      <c r="AH474" s="22" t="s">
        <v>64</v>
      </c>
      <c r="AI474" s="63">
        <v>45703</v>
      </c>
      <c r="AJ474" s="63">
        <v>46433</v>
      </c>
      <c r="AK4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74" s="30"/>
      <c r="AN474" s="20" t="s">
        <v>65</v>
      </c>
      <c r="AP474" s="20" t="s">
        <v>84</v>
      </c>
    </row>
    <row r="475" spans="1:43" ht="16">
      <c r="A475" s="20">
        <v>9841521288</v>
      </c>
      <c r="B475" s="21">
        <v>735009</v>
      </c>
      <c r="C475" s="20" t="s">
        <v>2115</v>
      </c>
      <c r="D475" s="20" t="s">
        <v>1295</v>
      </c>
      <c r="E475" s="20" t="s">
        <v>2433</v>
      </c>
      <c r="F475" s="20" t="s">
        <v>104</v>
      </c>
      <c r="G475" s="20" t="s">
        <v>104</v>
      </c>
      <c r="H475" s="20" t="s">
        <v>48</v>
      </c>
      <c r="I475" s="20" t="s">
        <v>104</v>
      </c>
      <c r="J475" s="32" t="s">
        <v>2434</v>
      </c>
      <c r="K475" s="32" t="s">
        <v>2434</v>
      </c>
      <c r="L475" s="23" t="s">
        <v>2435</v>
      </c>
      <c r="M475" s="24" t="s">
        <v>7751</v>
      </c>
      <c r="N475" s="23">
        <v>18673000</v>
      </c>
      <c r="O475" s="25" t="s">
        <v>1035</v>
      </c>
      <c r="P475" s="25" t="s">
        <v>53</v>
      </c>
      <c r="Q475" s="20" t="s">
        <v>2436</v>
      </c>
      <c r="R475" s="20">
        <v>82305631</v>
      </c>
      <c r="S475" s="25" t="s">
        <v>2437</v>
      </c>
      <c r="T475" s="26" t="s">
        <v>57</v>
      </c>
      <c r="U475" s="23">
        <v>860478064845362</v>
      </c>
      <c r="V475" s="45" t="s">
        <v>110</v>
      </c>
      <c r="W475" s="20" t="s">
        <v>302</v>
      </c>
      <c r="X475" s="20" t="s">
        <v>303</v>
      </c>
      <c r="Y475" s="20" t="s">
        <v>303</v>
      </c>
      <c r="Z475" s="20" t="s">
        <v>80</v>
      </c>
      <c r="AA475" s="20" t="s">
        <v>81</v>
      </c>
      <c r="AB475" s="20" t="s">
        <v>82</v>
      </c>
      <c r="AC475" s="28">
        <v>559.48</v>
      </c>
      <c r="AD475" s="28">
        <f>SUM(BASE[[#This Row],[MONTO DE RENTA ]]*1.16)</f>
        <v>648.99680000000001</v>
      </c>
      <c r="AE475" s="28" t="s">
        <v>83</v>
      </c>
      <c r="AF475" s="28">
        <v>559.48275862068965</v>
      </c>
      <c r="AG475" s="28">
        <v>649</v>
      </c>
      <c r="AH475" s="22" t="s">
        <v>64</v>
      </c>
      <c r="AI475" s="63">
        <v>45713</v>
      </c>
      <c r="AJ475" s="63">
        <v>46433</v>
      </c>
      <c r="AK4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75" s="30"/>
      <c r="AN475" s="20" t="s">
        <v>65</v>
      </c>
      <c r="AP475" s="20" t="s">
        <v>84</v>
      </c>
    </row>
    <row r="476" spans="1:43" ht="16">
      <c r="A476" s="20">
        <v>4431927941</v>
      </c>
      <c r="B476" s="49">
        <v>30867</v>
      </c>
      <c r="C476" s="20" t="s">
        <v>2438</v>
      </c>
      <c r="D476" s="20" t="s">
        <v>1524</v>
      </c>
      <c r="E476" s="20" t="s">
        <v>376</v>
      </c>
      <c r="F476" s="20" t="s">
        <v>70</v>
      </c>
      <c r="G476" s="20" t="s">
        <v>70</v>
      </c>
      <c r="H476" s="20" t="s">
        <v>48</v>
      </c>
      <c r="I476" s="20" t="s">
        <v>70</v>
      </c>
      <c r="J476" s="22" t="s">
        <v>2439</v>
      </c>
      <c r="K476" s="22" t="s">
        <v>2439</v>
      </c>
      <c r="L476" s="23" t="s">
        <v>2341</v>
      </c>
      <c r="M476" s="24" t="s">
        <v>7743</v>
      </c>
      <c r="N476" s="23">
        <v>18672000</v>
      </c>
      <c r="O476" s="25" t="s">
        <v>677</v>
      </c>
      <c r="P476" s="25" t="s">
        <v>53</v>
      </c>
      <c r="Q476" s="20" t="s">
        <v>2440</v>
      </c>
      <c r="R476" s="20">
        <v>53197269</v>
      </c>
      <c r="S476" s="25" t="s">
        <v>55</v>
      </c>
      <c r="T476" s="26" t="s">
        <v>56</v>
      </c>
      <c r="U476" s="23">
        <v>357894928336531</v>
      </c>
      <c r="V476" s="27" t="s">
        <v>78</v>
      </c>
      <c r="W476" s="20" t="s">
        <v>95</v>
      </c>
      <c r="X476" s="20" t="s">
        <v>95</v>
      </c>
      <c r="Y476" s="20" t="s">
        <v>95</v>
      </c>
      <c r="Z476" s="20" t="s">
        <v>60</v>
      </c>
      <c r="AA476" s="20" t="s">
        <v>61</v>
      </c>
      <c r="AB476" s="20" t="s">
        <v>82</v>
      </c>
      <c r="AC476" s="28">
        <v>559.48</v>
      </c>
      <c r="AD476" s="28">
        <f>SUM(BASE[[#This Row],[MONTO DE RENTA ]]*1.16)</f>
        <v>648.99680000000001</v>
      </c>
      <c r="AE476" s="28" t="s">
        <v>83</v>
      </c>
      <c r="AF476" s="28">
        <v>559.48275862068965</v>
      </c>
      <c r="AG476" s="28">
        <v>649</v>
      </c>
      <c r="AI476" s="63">
        <v>44937</v>
      </c>
      <c r="AJ476" s="73">
        <v>46043</v>
      </c>
      <c r="AK4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76" s="30"/>
      <c r="AN476" s="20" t="s">
        <v>99</v>
      </c>
      <c r="AP476" s="20" t="s">
        <v>84</v>
      </c>
      <c r="AQ476" s="20" t="s">
        <v>100</v>
      </c>
    </row>
    <row r="477" spans="1:43" ht="16">
      <c r="A477" s="20">
        <v>9841528494</v>
      </c>
      <c r="B477" s="21">
        <v>735053</v>
      </c>
      <c r="C477" s="20" t="s">
        <v>1403</v>
      </c>
      <c r="D477" s="20" t="s">
        <v>2441</v>
      </c>
      <c r="E477" s="20" t="s">
        <v>2442</v>
      </c>
      <c r="F477" s="20" t="s">
        <v>1038</v>
      </c>
      <c r="G477" s="20" t="s">
        <v>47</v>
      </c>
      <c r="H477" s="20" t="s">
        <v>48</v>
      </c>
      <c r="I477" s="20" t="s">
        <v>1038</v>
      </c>
      <c r="J477" s="22" t="s">
        <v>2443</v>
      </c>
      <c r="K477" s="22" t="s">
        <v>2443</v>
      </c>
      <c r="L477" s="23" t="s">
        <v>2435</v>
      </c>
      <c r="M477" s="24" t="s">
        <v>7751</v>
      </c>
      <c r="N477" s="23">
        <v>11331000</v>
      </c>
      <c r="O477" s="25" t="s">
        <v>1035</v>
      </c>
      <c r="P477" s="25" t="s">
        <v>53</v>
      </c>
      <c r="Q477" s="20" t="s">
        <v>2444</v>
      </c>
      <c r="R477" s="20">
        <v>82311636</v>
      </c>
      <c r="S477" s="25" t="s">
        <v>2445</v>
      </c>
      <c r="T477" s="26" t="s">
        <v>57</v>
      </c>
      <c r="U477" s="23">
        <v>860900062257407</v>
      </c>
      <c r="V477" s="27" t="s">
        <v>57</v>
      </c>
      <c r="W477" s="20" t="s">
        <v>58</v>
      </c>
      <c r="X477" s="20" t="s">
        <v>59</v>
      </c>
      <c r="Y477" s="20" t="s">
        <v>59</v>
      </c>
      <c r="Z477" s="20" t="s">
        <v>80</v>
      </c>
      <c r="AA477" s="20" t="s">
        <v>81</v>
      </c>
      <c r="AB477" s="20" t="s">
        <v>96</v>
      </c>
      <c r="AC477" s="28">
        <v>369.83</v>
      </c>
      <c r="AD477" s="28">
        <f>SUM(BASE[[#This Row],[MONTO DE RENTA ]]*1.16)</f>
        <v>429.00279999999998</v>
      </c>
      <c r="AE477" s="28" t="s">
        <v>63</v>
      </c>
      <c r="AF477" s="28">
        <v>369.82758620689657</v>
      </c>
      <c r="AG477" s="28">
        <v>429</v>
      </c>
      <c r="AH477" s="22" t="s">
        <v>64</v>
      </c>
      <c r="AI477" s="63">
        <v>45713</v>
      </c>
      <c r="AJ477" s="63">
        <v>46433</v>
      </c>
      <c r="AK4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77" s="30"/>
      <c r="AN477" s="20" t="s">
        <v>65</v>
      </c>
      <c r="AP477" s="20" t="s">
        <v>84</v>
      </c>
    </row>
    <row r="478" spans="1:43" ht="16">
      <c r="A478" s="20">
        <v>9841528366</v>
      </c>
      <c r="B478" s="21">
        <v>1015546</v>
      </c>
      <c r="C478" s="20" t="s">
        <v>2446</v>
      </c>
      <c r="D478" s="20" t="s">
        <v>1265</v>
      </c>
      <c r="E478" s="20" t="s">
        <v>143</v>
      </c>
      <c r="F478" s="20" t="s">
        <v>451</v>
      </c>
      <c r="G478" s="20" t="s">
        <v>248</v>
      </c>
      <c r="H478" s="20" t="s">
        <v>48</v>
      </c>
      <c r="I478" s="20" t="s">
        <v>451</v>
      </c>
      <c r="J478" s="54" t="s">
        <v>2447</v>
      </c>
      <c r="K478" s="54" t="s">
        <v>2447</v>
      </c>
      <c r="L478" s="23" t="s">
        <v>2435</v>
      </c>
      <c r="M478" s="24" t="s">
        <v>7751</v>
      </c>
      <c r="N478" s="23">
        <v>18673000</v>
      </c>
      <c r="O478" s="25" t="s">
        <v>1035</v>
      </c>
      <c r="P478" s="25" t="s">
        <v>53</v>
      </c>
      <c r="Q478" s="20" t="s">
        <v>2448</v>
      </c>
      <c r="R478" s="20">
        <v>82311633</v>
      </c>
      <c r="S478" s="25" t="s">
        <v>2449</v>
      </c>
      <c r="T478" s="65" t="s">
        <v>57</v>
      </c>
      <c r="U478" s="23">
        <v>860900062257340</v>
      </c>
      <c r="V478" s="27" t="s">
        <v>57</v>
      </c>
      <c r="W478" s="20" t="s">
        <v>58</v>
      </c>
      <c r="X478" s="20" t="s">
        <v>59</v>
      </c>
      <c r="Y478" s="20" t="s">
        <v>59</v>
      </c>
      <c r="Z478" s="20" t="s">
        <v>80</v>
      </c>
      <c r="AA478" s="20" t="s">
        <v>81</v>
      </c>
      <c r="AB478" s="20" t="s">
        <v>96</v>
      </c>
      <c r="AC478" s="28">
        <v>369.83</v>
      </c>
      <c r="AD478" s="28">
        <f>SUM(BASE[[#This Row],[MONTO DE RENTA ]]*1.16)</f>
        <v>429.00279999999998</v>
      </c>
      <c r="AE478" s="28" t="s">
        <v>63</v>
      </c>
      <c r="AF478" s="28">
        <v>369.82758620689657</v>
      </c>
      <c r="AG478" s="28">
        <v>429</v>
      </c>
      <c r="AH478" s="22" t="s">
        <v>448</v>
      </c>
      <c r="AI478" s="63">
        <v>45710</v>
      </c>
      <c r="AJ478" s="63">
        <v>46402</v>
      </c>
      <c r="AK478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478" s="30" t="s">
        <v>2450</v>
      </c>
      <c r="AN478" s="20" t="s">
        <v>65</v>
      </c>
      <c r="AP478" s="20" t="s">
        <v>84</v>
      </c>
    </row>
    <row r="479" spans="1:43" ht="16">
      <c r="A479" s="20">
        <v>9841521290</v>
      </c>
      <c r="B479" s="21">
        <v>950154</v>
      </c>
      <c r="C479" s="20" t="s">
        <v>1862</v>
      </c>
      <c r="D479" s="20" t="s">
        <v>2451</v>
      </c>
      <c r="E479" s="20" t="s">
        <v>2452</v>
      </c>
      <c r="F479" s="20" t="s">
        <v>257</v>
      </c>
      <c r="G479" s="20" t="s">
        <v>257</v>
      </c>
      <c r="H479" s="20" t="s">
        <v>48</v>
      </c>
      <c r="I479" s="20" t="s">
        <v>257</v>
      </c>
      <c r="J479" s="22" t="s">
        <v>2453</v>
      </c>
      <c r="K479" s="22" t="s">
        <v>2453</v>
      </c>
      <c r="L479" s="23" t="s">
        <v>2435</v>
      </c>
      <c r="M479" s="24" t="s">
        <v>7751</v>
      </c>
      <c r="N479" s="23">
        <v>18673000</v>
      </c>
      <c r="O479" s="25" t="s">
        <v>1035</v>
      </c>
      <c r="P479" s="25" t="s">
        <v>53</v>
      </c>
      <c r="Q479" s="20" t="s">
        <v>2454</v>
      </c>
      <c r="R479" s="20">
        <v>82305633</v>
      </c>
      <c r="S479" s="25" t="s">
        <v>2455</v>
      </c>
      <c r="T479" s="26" t="s">
        <v>57</v>
      </c>
      <c r="U479" s="23">
        <v>860478064854448</v>
      </c>
      <c r="V479" s="45" t="s">
        <v>110</v>
      </c>
      <c r="W479" s="20" t="s">
        <v>302</v>
      </c>
      <c r="X479" s="20" t="s">
        <v>303</v>
      </c>
      <c r="Y479" s="20" t="s">
        <v>303</v>
      </c>
      <c r="Z479" s="20" t="s">
        <v>80</v>
      </c>
      <c r="AA479" s="20" t="s">
        <v>81</v>
      </c>
      <c r="AB479" s="20" t="s">
        <v>82</v>
      </c>
      <c r="AC479" s="28">
        <v>559.48</v>
      </c>
      <c r="AD479" s="28">
        <f>SUM(BASE[[#This Row],[MONTO DE RENTA ]]*1.16)</f>
        <v>648.99680000000001</v>
      </c>
      <c r="AE479" s="28" t="s">
        <v>83</v>
      </c>
      <c r="AF479" s="28">
        <v>559.48275862068965</v>
      </c>
      <c r="AG479" s="28">
        <v>649</v>
      </c>
      <c r="AH479" s="22" t="s">
        <v>64</v>
      </c>
      <c r="AI479" s="63">
        <v>45713</v>
      </c>
      <c r="AJ479" s="63">
        <v>46433</v>
      </c>
      <c r="AK4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79" s="30"/>
      <c r="AN479" s="20" t="s">
        <v>65</v>
      </c>
      <c r="AP479" s="20" t="s">
        <v>84</v>
      </c>
    </row>
    <row r="480" spans="1:43" ht="16">
      <c r="A480" s="20">
        <v>9841330015</v>
      </c>
      <c r="B480" s="49">
        <v>1043464</v>
      </c>
      <c r="C480" s="20" t="s">
        <v>2456</v>
      </c>
      <c r="D480" s="20" t="s">
        <v>45</v>
      </c>
      <c r="E480" s="20" t="s">
        <v>172</v>
      </c>
      <c r="F480" s="20" t="s">
        <v>104</v>
      </c>
      <c r="G480" s="20" t="s">
        <v>104</v>
      </c>
      <c r="H480" s="20" t="s">
        <v>48</v>
      </c>
      <c r="I480" s="20" t="s">
        <v>104</v>
      </c>
      <c r="J480" s="32" t="s">
        <v>2457</v>
      </c>
      <c r="K480" s="32" t="s">
        <v>2457</v>
      </c>
      <c r="L480" s="23" t="s">
        <v>2435</v>
      </c>
      <c r="M480" s="24" t="s">
        <v>7751</v>
      </c>
      <c r="N480" s="23">
        <v>18673000</v>
      </c>
      <c r="O480" s="25" t="s">
        <v>1035</v>
      </c>
      <c r="P480" s="25" t="s">
        <v>53</v>
      </c>
      <c r="Q480" s="20" t="s">
        <v>2458</v>
      </c>
      <c r="R480" s="20">
        <v>83579126</v>
      </c>
      <c r="S480" s="25" t="s">
        <v>55</v>
      </c>
      <c r="T480" s="26" t="s">
        <v>56</v>
      </c>
      <c r="U480" s="23">
        <v>867353050253629</v>
      </c>
      <c r="V480" s="45" t="s">
        <v>110</v>
      </c>
      <c r="W480" s="20" t="s">
        <v>149</v>
      </c>
      <c r="X480" s="20" t="s">
        <v>150</v>
      </c>
      <c r="Y480" s="20" t="s">
        <v>150</v>
      </c>
      <c r="Z480" s="20" t="s">
        <v>60</v>
      </c>
      <c r="AA480" s="20" t="s">
        <v>61</v>
      </c>
      <c r="AB480" s="20" t="s">
        <v>96</v>
      </c>
      <c r="AC480" s="28">
        <v>369.83</v>
      </c>
      <c r="AD480" s="28">
        <f>SUM(BASE[[#This Row],[MONTO DE RENTA ]]*1.16)</f>
        <v>429.00279999999998</v>
      </c>
      <c r="AE480" s="28" t="s">
        <v>97</v>
      </c>
      <c r="AF480" s="28">
        <v>473.27586206896552</v>
      </c>
      <c r="AG480" s="28">
        <v>549</v>
      </c>
      <c r="AI480" s="63">
        <v>44937</v>
      </c>
      <c r="AJ480" s="73">
        <v>46043</v>
      </c>
      <c r="AK48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80" s="30"/>
      <c r="AN480" s="20" t="s">
        <v>99</v>
      </c>
      <c r="AP480" s="20" t="s">
        <v>66</v>
      </c>
      <c r="AQ480" s="20" t="s">
        <v>100</v>
      </c>
    </row>
    <row r="481" spans="1:43" ht="16">
      <c r="A481" s="20">
        <v>9841528546</v>
      </c>
      <c r="B481" s="21">
        <v>735009</v>
      </c>
      <c r="C481" s="20" t="s">
        <v>2115</v>
      </c>
      <c r="D481" s="20" t="s">
        <v>1295</v>
      </c>
      <c r="E481" s="20" t="s">
        <v>2433</v>
      </c>
      <c r="F481" s="20" t="s">
        <v>104</v>
      </c>
      <c r="G481" s="20" t="s">
        <v>104</v>
      </c>
      <c r="H481" s="20" t="s">
        <v>48</v>
      </c>
      <c r="I481" s="20" t="s">
        <v>104</v>
      </c>
      <c r="J481" s="22" t="s">
        <v>2459</v>
      </c>
      <c r="K481" s="32" t="s">
        <v>2460</v>
      </c>
      <c r="L481" s="23" t="s">
        <v>2435</v>
      </c>
      <c r="M481" s="24" t="s">
        <v>7751</v>
      </c>
      <c r="N481" s="23">
        <v>18673000</v>
      </c>
      <c r="O481" s="25" t="s">
        <v>1035</v>
      </c>
      <c r="P481" s="25" t="s">
        <v>53</v>
      </c>
      <c r="Q481" s="20" t="s">
        <v>2461</v>
      </c>
      <c r="R481" s="20">
        <v>82305636</v>
      </c>
      <c r="S481" s="25" t="s">
        <v>2462</v>
      </c>
      <c r="T481" s="26" t="s">
        <v>57</v>
      </c>
      <c r="U481" s="23">
        <v>860478064854398</v>
      </c>
      <c r="V481" s="45" t="s">
        <v>110</v>
      </c>
      <c r="W481" s="20" t="s">
        <v>302</v>
      </c>
      <c r="X481" s="20" t="s">
        <v>303</v>
      </c>
      <c r="Y481" s="20" t="s">
        <v>303</v>
      </c>
      <c r="Z481" s="20" t="s">
        <v>80</v>
      </c>
      <c r="AA481" s="20" t="s">
        <v>81</v>
      </c>
      <c r="AB481" s="20" t="s">
        <v>82</v>
      </c>
      <c r="AC481" s="28">
        <v>559.48</v>
      </c>
      <c r="AD481" s="28">
        <f>SUM(BASE[[#This Row],[MONTO DE RENTA ]]*1.16)</f>
        <v>648.99680000000001</v>
      </c>
      <c r="AE481" s="28" t="s">
        <v>83</v>
      </c>
      <c r="AF481" s="28">
        <v>559.48275862068965</v>
      </c>
      <c r="AG481" s="28">
        <v>649</v>
      </c>
      <c r="AH481" s="22" t="s">
        <v>64</v>
      </c>
      <c r="AI481" s="63">
        <v>45713</v>
      </c>
      <c r="AJ481" s="63">
        <v>46433</v>
      </c>
      <c r="AK4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81" s="30"/>
      <c r="AN481" s="20" t="s">
        <v>65</v>
      </c>
      <c r="AP481" s="20" t="s">
        <v>84</v>
      </c>
    </row>
    <row r="482" spans="1:43" ht="16">
      <c r="A482" s="20">
        <v>9841158415</v>
      </c>
      <c r="B482" s="49">
        <v>1018347</v>
      </c>
      <c r="C482" s="20" t="s">
        <v>2463</v>
      </c>
      <c r="D482" s="20" t="s">
        <v>2464</v>
      </c>
      <c r="E482" s="20" t="s">
        <v>1330</v>
      </c>
      <c r="F482" s="20" t="s">
        <v>104</v>
      </c>
      <c r="G482" s="20" t="s">
        <v>104</v>
      </c>
      <c r="H482" s="20" t="s">
        <v>48</v>
      </c>
      <c r="I482" s="20" t="s">
        <v>104</v>
      </c>
      <c r="J482" s="32" t="s">
        <v>2465</v>
      </c>
      <c r="K482" s="32" t="s">
        <v>2465</v>
      </c>
      <c r="L482" s="23" t="s">
        <v>2435</v>
      </c>
      <c r="M482" s="24" t="s">
        <v>7751</v>
      </c>
      <c r="N482" s="23">
        <v>18673000</v>
      </c>
      <c r="O482" s="25" t="s">
        <v>1035</v>
      </c>
      <c r="P482" s="25" t="s">
        <v>53</v>
      </c>
      <c r="Q482" s="20" t="s">
        <v>2466</v>
      </c>
      <c r="R482" s="20">
        <v>83596121</v>
      </c>
      <c r="S482" s="25" t="s">
        <v>55</v>
      </c>
      <c r="T482" s="26" t="s">
        <v>56</v>
      </c>
      <c r="U482" s="23">
        <v>867353050251573</v>
      </c>
      <c r="V482" s="45" t="s">
        <v>110</v>
      </c>
      <c r="W482" s="20" t="s">
        <v>149</v>
      </c>
      <c r="X482" s="20" t="s">
        <v>150</v>
      </c>
      <c r="Y482" s="20" t="s">
        <v>150</v>
      </c>
      <c r="Z482" s="20" t="s">
        <v>60</v>
      </c>
      <c r="AA482" s="20" t="s">
        <v>61</v>
      </c>
      <c r="AB482" s="20" t="s">
        <v>96</v>
      </c>
      <c r="AC482" s="28">
        <v>369.83</v>
      </c>
      <c r="AD482" s="28">
        <f>SUM(BASE[[#This Row],[MONTO DE RENTA ]]*1.16)</f>
        <v>429.00279999999998</v>
      </c>
      <c r="AE482" s="28" t="s">
        <v>97</v>
      </c>
      <c r="AF482" s="28">
        <v>473.27586206896552</v>
      </c>
      <c r="AG482" s="28">
        <v>549</v>
      </c>
      <c r="AI482" s="63">
        <v>44937</v>
      </c>
      <c r="AJ482" s="73">
        <v>46043</v>
      </c>
      <c r="AK4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82" s="30"/>
      <c r="AN482" s="20" t="s">
        <v>99</v>
      </c>
      <c r="AP482" s="20" t="s">
        <v>66</v>
      </c>
      <c r="AQ482" s="20" t="s">
        <v>100</v>
      </c>
    </row>
    <row r="483" spans="1:43" ht="16">
      <c r="A483" s="20">
        <v>9841779133</v>
      </c>
      <c r="B483" s="21">
        <v>1048151</v>
      </c>
      <c r="C483" s="20" t="s">
        <v>2467</v>
      </c>
      <c r="D483" s="20" t="s">
        <v>2468</v>
      </c>
      <c r="E483" s="20" t="s">
        <v>2469</v>
      </c>
      <c r="F483" s="20" t="s">
        <v>122</v>
      </c>
      <c r="G483" s="20" t="s">
        <v>122</v>
      </c>
      <c r="H483" s="20" t="s">
        <v>48</v>
      </c>
      <c r="I483" s="20" t="s">
        <v>122</v>
      </c>
      <c r="J483" s="32" t="s">
        <v>2470</v>
      </c>
      <c r="K483" s="32" t="s">
        <v>2471</v>
      </c>
      <c r="L483" s="23" t="s">
        <v>2435</v>
      </c>
      <c r="M483" s="24" t="s">
        <v>7751</v>
      </c>
      <c r="N483" s="23">
        <v>18673000</v>
      </c>
      <c r="O483" s="25" t="s">
        <v>1035</v>
      </c>
      <c r="P483" s="25" t="s">
        <v>53</v>
      </c>
      <c r="Q483" s="20" t="s">
        <v>2472</v>
      </c>
      <c r="R483" s="20">
        <v>83424260</v>
      </c>
      <c r="S483" s="25" t="s">
        <v>2473</v>
      </c>
      <c r="T483" s="26" t="s">
        <v>57</v>
      </c>
      <c r="U483" s="23">
        <v>860900062337480</v>
      </c>
      <c r="V483" s="27" t="s">
        <v>57</v>
      </c>
      <c r="W483" s="20" t="s">
        <v>58</v>
      </c>
      <c r="X483" s="20" t="s">
        <v>59</v>
      </c>
      <c r="Y483" s="20" t="s">
        <v>59</v>
      </c>
      <c r="Z483" s="20" t="s">
        <v>80</v>
      </c>
      <c r="AA483" s="20" t="s">
        <v>81</v>
      </c>
      <c r="AB483" s="20" t="s">
        <v>96</v>
      </c>
      <c r="AC483" s="28">
        <v>369.83</v>
      </c>
      <c r="AD483" s="28">
        <f>SUM(BASE[[#This Row],[MONTO DE RENTA ]]*1.16)</f>
        <v>429.00279999999998</v>
      </c>
      <c r="AE483" s="28" t="s">
        <v>63</v>
      </c>
      <c r="AF483" s="28">
        <v>369.82758620689657</v>
      </c>
      <c r="AG483" s="28">
        <v>429</v>
      </c>
      <c r="AI483" s="63">
        <v>44937</v>
      </c>
      <c r="AJ483" s="84">
        <v>46681</v>
      </c>
      <c r="AK48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483" s="30"/>
      <c r="AN483" s="20" t="s">
        <v>65</v>
      </c>
      <c r="AP483" s="20" t="s">
        <v>84</v>
      </c>
    </row>
    <row r="484" spans="1:43" ht="16">
      <c r="A484" s="20">
        <v>5532231566</v>
      </c>
      <c r="B484" s="49">
        <v>1031992</v>
      </c>
      <c r="C484" s="20" t="s">
        <v>2474</v>
      </c>
      <c r="D484" s="20" t="s">
        <v>1623</v>
      </c>
      <c r="E484" s="20" t="s">
        <v>438</v>
      </c>
      <c r="F484" s="20" t="s">
        <v>104</v>
      </c>
      <c r="G484" s="20" t="s">
        <v>122</v>
      </c>
      <c r="H484" s="20" t="s">
        <v>48</v>
      </c>
      <c r="I484" s="20" t="s">
        <v>104</v>
      </c>
      <c r="J484" s="32" t="s">
        <v>2471</v>
      </c>
      <c r="K484" s="32" t="s">
        <v>2471</v>
      </c>
      <c r="L484" s="23" t="s">
        <v>2435</v>
      </c>
      <c r="M484" s="24" t="s">
        <v>7751</v>
      </c>
      <c r="N484" s="23">
        <v>18673000</v>
      </c>
      <c r="O484" s="25" t="s">
        <v>52</v>
      </c>
      <c r="P484" s="25" t="s">
        <v>53</v>
      </c>
      <c r="Q484" s="20" t="s">
        <v>2475</v>
      </c>
      <c r="R484" s="20">
        <v>91332785</v>
      </c>
      <c r="S484" s="25" t="s">
        <v>55</v>
      </c>
      <c r="T484" s="26" t="s">
        <v>56</v>
      </c>
      <c r="U484" s="23">
        <v>860900062337480</v>
      </c>
      <c r="V484" s="27" t="s">
        <v>183</v>
      </c>
      <c r="W484" s="20" t="s">
        <v>58</v>
      </c>
      <c r="X484" s="20" t="s">
        <v>59</v>
      </c>
      <c r="Y484" s="20" t="s">
        <v>59</v>
      </c>
      <c r="Z484" s="20" t="s">
        <v>60</v>
      </c>
      <c r="AA484" s="20" t="s">
        <v>61</v>
      </c>
      <c r="AB484" s="20" t="s">
        <v>96</v>
      </c>
      <c r="AC484" s="28">
        <v>369.83</v>
      </c>
      <c r="AD484" s="28">
        <f>SUM(BASE[[#This Row],[MONTO DE RENTA ]]*1.16)</f>
        <v>429.00279999999998</v>
      </c>
      <c r="AE484" s="28" t="s">
        <v>63</v>
      </c>
      <c r="AF484" s="28">
        <v>369.82758620689657</v>
      </c>
      <c r="AG484" s="28">
        <v>429</v>
      </c>
      <c r="AH484" s="36" t="s">
        <v>64</v>
      </c>
      <c r="AI484" s="84">
        <v>45323</v>
      </c>
      <c r="AJ484" s="84">
        <v>46054</v>
      </c>
      <c r="AK48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84" s="30"/>
      <c r="AN484" s="20" t="s">
        <v>99</v>
      </c>
      <c r="AP484" s="20" t="s">
        <v>84</v>
      </c>
      <c r="AQ484" s="20" t="s">
        <v>100</v>
      </c>
    </row>
    <row r="485" spans="1:43" ht="16">
      <c r="A485" s="20">
        <v>4921406295</v>
      </c>
      <c r="B485" s="21">
        <v>1059235</v>
      </c>
      <c r="C485" s="20" t="s">
        <v>2476</v>
      </c>
      <c r="D485" s="20" t="s">
        <v>1789</v>
      </c>
      <c r="E485" s="20" t="s">
        <v>817</v>
      </c>
      <c r="F485" s="20" t="s">
        <v>104</v>
      </c>
      <c r="G485" s="20" t="s">
        <v>104</v>
      </c>
      <c r="H485" s="20" t="s">
        <v>48</v>
      </c>
      <c r="I485" s="20" t="s">
        <v>104</v>
      </c>
      <c r="J485" s="22" t="s">
        <v>2477</v>
      </c>
      <c r="K485" s="22" t="s">
        <v>2477</v>
      </c>
      <c r="L485" s="23" t="s">
        <v>2478</v>
      </c>
      <c r="M485" s="24" t="s">
        <v>7743</v>
      </c>
      <c r="N485" s="23">
        <v>18677000</v>
      </c>
      <c r="O485" s="25" t="s">
        <v>93</v>
      </c>
      <c r="P485" s="25" t="s">
        <v>53</v>
      </c>
      <c r="Q485" s="20" t="s">
        <v>2479</v>
      </c>
      <c r="R485" s="20">
        <v>62144795</v>
      </c>
      <c r="S485" s="25" t="s">
        <v>2480</v>
      </c>
      <c r="T485" s="26" t="s">
        <v>57</v>
      </c>
      <c r="U485" s="23">
        <v>860478064859108</v>
      </c>
      <c r="V485" s="45" t="s">
        <v>110</v>
      </c>
      <c r="W485" s="20" t="s">
        <v>302</v>
      </c>
      <c r="X485" s="20" t="s">
        <v>303</v>
      </c>
      <c r="Y485" s="20" t="s">
        <v>303</v>
      </c>
      <c r="Z485" s="20" t="s">
        <v>80</v>
      </c>
      <c r="AA485" s="20" t="s">
        <v>81</v>
      </c>
      <c r="AB485" s="20" t="s">
        <v>82</v>
      </c>
      <c r="AC485" s="28">
        <v>559.48</v>
      </c>
      <c r="AD485" s="28">
        <f>SUM(BASE[[#This Row],[MONTO DE RENTA ]]*1.16)</f>
        <v>648.99680000000001</v>
      </c>
      <c r="AE485" s="28" t="s">
        <v>83</v>
      </c>
      <c r="AF485" s="28">
        <v>559.48275862068965</v>
      </c>
      <c r="AG485" s="28">
        <v>649</v>
      </c>
      <c r="AH485" s="22" t="s">
        <v>64</v>
      </c>
      <c r="AI485" s="63">
        <v>45703</v>
      </c>
      <c r="AJ485" s="63">
        <v>46433</v>
      </c>
      <c r="AK4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85" s="30"/>
      <c r="AN485" s="20" t="s">
        <v>65</v>
      </c>
      <c r="AP485" s="20" t="s">
        <v>84</v>
      </c>
    </row>
    <row r="486" spans="1:43" ht="16">
      <c r="A486" s="20">
        <v>9841681181</v>
      </c>
      <c r="B486" s="49">
        <v>640001</v>
      </c>
      <c r="C486" s="20" t="s">
        <v>1147</v>
      </c>
      <c r="D486" s="20" t="s">
        <v>376</v>
      </c>
      <c r="E486" s="20" t="s">
        <v>1495</v>
      </c>
      <c r="F486" s="20" t="s">
        <v>70</v>
      </c>
      <c r="G486" s="20" t="s">
        <v>70</v>
      </c>
      <c r="H486" s="20" t="s">
        <v>48</v>
      </c>
      <c r="I486" s="20" t="s">
        <v>70</v>
      </c>
      <c r="J486" s="22" t="s">
        <v>2481</v>
      </c>
      <c r="K486" s="22" t="s">
        <v>2481</v>
      </c>
      <c r="L486" s="23" t="s">
        <v>2435</v>
      </c>
      <c r="M486" s="24" t="s">
        <v>7751</v>
      </c>
      <c r="N486" s="23">
        <v>18673000</v>
      </c>
      <c r="O486" s="25" t="s">
        <v>1035</v>
      </c>
      <c r="P486" s="25" t="s">
        <v>53</v>
      </c>
      <c r="Q486" s="20" t="s">
        <v>2482</v>
      </c>
      <c r="R486" s="20">
        <v>82200544</v>
      </c>
      <c r="S486" s="25" t="s">
        <v>55</v>
      </c>
      <c r="T486" s="26" t="s">
        <v>56</v>
      </c>
      <c r="U486" s="23">
        <v>357654179463792</v>
      </c>
      <c r="V486" s="27" t="s">
        <v>78</v>
      </c>
      <c r="W486" s="20" t="s">
        <v>95</v>
      </c>
      <c r="X486" s="20" t="s">
        <v>95</v>
      </c>
      <c r="Y486" s="20" t="s">
        <v>95</v>
      </c>
      <c r="Z486" s="20" t="s">
        <v>60</v>
      </c>
      <c r="AA486" s="20" t="s">
        <v>61</v>
      </c>
      <c r="AB486" s="20" t="s">
        <v>82</v>
      </c>
      <c r="AC486" s="28">
        <v>559.48</v>
      </c>
      <c r="AD486" s="28">
        <f>SUM(BASE[[#This Row],[MONTO DE RENTA ]]*1.16)</f>
        <v>648.99680000000001</v>
      </c>
      <c r="AE486" s="28" t="s">
        <v>83</v>
      </c>
      <c r="AF486" s="28">
        <v>559.48275862068965</v>
      </c>
      <c r="AG486" s="28">
        <v>649</v>
      </c>
      <c r="AI486" s="63">
        <v>44937</v>
      </c>
      <c r="AJ486" s="73">
        <v>46043</v>
      </c>
      <c r="AK48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86" s="30"/>
      <c r="AN486" s="20" t="s">
        <v>99</v>
      </c>
      <c r="AP486" s="20" t="s">
        <v>84</v>
      </c>
      <c r="AQ486" s="20" t="s">
        <v>100</v>
      </c>
    </row>
    <row r="487" spans="1:43" ht="16">
      <c r="A487" s="20">
        <v>9512478748</v>
      </c>
      <c r="B487" s="21">
        <v>745048</v>
      </c>
      <c r="C487" s="20" t="s">
        <v>2483</v>
      </c>
      <c r="D487" s="20" t="s">
        <v>45</v>
      </c>
      <c r="E487" s="20" t="s">
        <v>86</v>
      </c>
      <c r="F487" s="20" t="s">
        <v>587</v>
      </c>
      <c r="G487" s="20" t="s">
        <v>47</v>
      </c>
      <c r="H487" s="20" t="s">
        <v>48</v>
      </c>
      <c r="I487" s="20" t="s">
        <v>587</v>
      </c>
      <c r="J487" s="22" t="s">
        <v>2484</v>
      </c>
      <c r="K487" s="22" t="s">
        <v>2484</v>
      </c>
      <c r="L487" s="23" t="s">
        <v>2485</v>
      </c>
      <c r="M487" s="24" t="s">
        <v>7742</v>
      </c>
      <c r="N487" s="23">
        <v>18674000</v>
      </c>
      <c r="O487" s="25" t="s">
        <v>828</v>
      </c>
      <c r="P487" s="25" t="s">
        <v>53</v>
      </c>
      <c r="Q487" s="20" t="s">
        <v>2486</v>
      </c>
      <c r="R487" s="20">
        <v>73036553</v>
      </c>
      <c r="S487" s="25" t="s">
        <v>2487</v>
      </c>
      <c r="T487" s="26" t="s">
        <v>57</v>
      </c>
      <c r="U487" s="23">
        <v>860900062256276</v>
      </c>
      <c r="V487" s="27" t="s">
        <v>57</v>
      </c>
      <c r="W487" s="20" t="s">
        <v>58</v>
      </c>
      <c r="X487" s="20" t="s">
        <v>59</v>
      </c>
      <c r="Y487" s="20" t="s">
        <v>59</v>
      </c>
      <c r="Z487" s="20" t="s">
        <v>131</v>
      </c>
      <c r="AA487" s="20" t="s">
        <v>132</v>
      </c>
      <c r="AB487" s="20" t="s">
        <v>96</v>
      </c>
      <c r="AC487" s="28">
        <v>369.83</v>
      </c>
      <c r="AD487" s="28">
        <f>SUM(BASE[[#This Row],[MONTO DE RENTA ]]*1.16)</f>
        <v>429.00279999999998</v>
      </c>
      <c r="AE487" s="28" t="s">
        <v>63</v>
      </c>
      <c r="AF487" s="28">
        <v>369.82758620689657</v>
      </c>
      <c r="AG487" s="28">
        <v>429</v>
      </c>
      <c r="AH487" s="22" t="s">
        <v>64</v>
      </c>
      <c r="AI487" s="63">
        <v>45713</v>
      </c>
      <c r="AJ487" s="63">
        <v>46433</v>
      </c>
      <c r="AK4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87" s="30"/>
      <c r="AN487" s="20" t="s">
        <v>65</v>
      </c>
      <c r="AP487" s="20" t="s">
        <v>84</v>
      </c>
    </row>
    <row r="488" spans="1:43" ht="16">
      <c r="A488" s="20">
        <v>9512478747</v>
      </c>
      <c r="B488" s="21">
        <v>1008380</v>
      </c>
      <c r="C488" s="20" t="s">
        <v>2488</v>
      </c>
      <c r="D488" s="20" t="s">
        <v>797</v>
      </c>
      <c r="E488" s="20" t="s">
        <v>45</v>
      </c>
      <c r="F488" s="20" t="s">
        <v>451</v>
      </c>
      <c r="G488" s="20" t="s">
        <v>248</v>
      </c>
      <c r="H488" s="20" t="s">
        <v>48</v>
      </c>
      <c r="I488" s="20" t="s">
        <v>451</v>
      </c>
      <c r="J488" s="22" t="s">
        <v>2489</v>
      </c>
      <c r="K488" s="22" t="s">
        <v>2489</v>
      </c>
      <c r="L488" s="23" t="s">
        <v>2485</v>
      </c>
      <c r="M488" s="24" t="s">
        <v>7742</v>
      </c>
      <c r="N488" s="23">
        <v>18674000</v>
      </c>
      <c r="O488" s="25" t="s">
        <v>828</v>
      </c>
      <c r="P488" s="25" t="s">
        <v>53</v>
      </c>
      <c r="Q488" s="20" t="s">
        <v>2490</v>
      </c>
      <c r="R488" s="20">
        <v>73085126</v>
      </c>
      <c r="S488" s="25" t="s">
        <v>2491</v>
      </c>
      <c r="T488" s="26" t="s">
        <v>57</v>
      </c>
      <c r="U488" s="23">
        <v>860900062256375</v>
      </c>
      <c r="V488" s="27" t="s">
        <v>57</v>
      </c>
      <c r="W488" s="20" t="s">
        <v>58</v>
      </c>
      <c r="X488" s="20" t="s">
        <v>59</v>
      </c>
      <c r="Y488" s="20" t="s">
        <v>59</v>
      </c>
      <c r="Z488" s="20" t="s">
        <v>131</v>
      </c>
      <c r="AA488" s="20" t="s">
        <v>132</v>
      </c>
      <c r="AB488" s="20" t="s">
        <v>96</v>
      </c>
      <c r="AC488" s="28">
        <v>369.83</v>
      </c>
      <c r="AD488" s="28">
        <f>SUM(BASE[[#This Row],[MONTO DE RENTA ]]*1.16)</f>
        <v>429.00279999999998</v>
      </c>
      <c r="AE488" s="28" t="s">
        <v>63</v>
      </c>
      <c r="AF488" s="28">
        <v>369.82758620689657</v>
      </c>
      <c r="AG488" s="28">
        <v>429</v>
      </c>
      <c r="AH488" s="22" t="s">
        <v>64</v>
      </c>
      <c r="AI488" s="63">
        <v>45713</v>
      </c>
      <c r="AJ488" s="63">
        <v>46433</v>
      </c>
      <c r="AK4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88" s="30"/>
      <c r="AN488" s="20" t="s">
        <v>65</v>
      </c>
      <c r="AP488" s="20" t="s">
        <v>84</v>
      </c>
    </row>
    <row r="489" spans="1:43" ht="16">
      <c r="A489" s="20">
        <v>9512138963</v>
      </c>
      <c r="B489" s="21">
        <v>810256</v>
      </c>
      <c r="C489" s="20" t="s">
        <v>2492</v>
      </c>
      <c r="D489" s="20" t="s">
        <v>477</v>
      </c>
      <c r="E489" s="20" t="s">
        <v>187</v>
      </c>
      <c r="F489" s="20" t="s">
        <v>257</v>
      </c>
      <c r="G489" s="20" t="s">
        <v>257</v>
      </c>
      <c r="H489" s="20" t="s">
        <v>48</v>
      </c>
      <c r="I489" s="20" t="s">
        <v>257</v>
      </c>
      <c r="J489" s="22" t="s">
        <v>2493</v>
      </c>
      <c r="K489" s="22" t="s">
        <v>2493</v>
      </c>
      <c r="L489" s="23" t="s">
        <v>2485</v>
      </c>
      <c r="M489" s="24" t="s">
        <v>7742</v>
      </c>
      <c r="N489" s="23">
        <v>18674000</v>
      </c>
      <c r="O489" s="25" t="s">
        <v>828</v>
      </c>
      <c r="P489" s="25" t="s">
        <v>53</v>
      </c>
      <c r="Q489" s="20" t="s">
        <v>2494</v>
      </c>
      <c r="R489" s="20">
        <v>73108885</v>
      </c>
      <c r="S489" s="25" t="s">
        <v>2495</v>
      </c>
      <c r="T489" s="26" t="s">
        <v>57</v>
      </c>
      <c r="U489" s="23">
        <v>860478064066548</v>
      </c>
      <c r="V489" s="45" t="s">
        <v>110</v>
      </c>
      <c r="W489" s="20" t="s">
        <v>302</v>
      </c>
      <c r="X489" s="20" t="s">
        <v>303</v>
      </c>
      <c r="Y489" s="20" t="s">
        <v>303</v>
      </c>
      <c r="Z489" s="20" t="s">
        <v>131</v>
      </c>
      <c r="AA489" s="20" t="s">
        <v>132</v>
      </c>
      <c r="AB489" s="20" t="s">
        <v>82</v>
      </c>
      <c r="AC489" s="28">
        <v>559.48</v>
      </c>
      <c r="AD489" s="28">
        <f>SUM(BASE[[#This Row],[MONTO DE RENTA ]]*1.16)</f>
        <v>648.99680000000001</v>
      </c>
      <c r="AE489" s="28" t="s">
        <v>83</v>
      </c>
      <c r="AF489" s="28">
        <v>559.48275862068965</v>
      </c>
      <c r="AG489" s="28">
        <v>649</v>
      </c>
      <c r="AH489" s="22" t="s">
        <v>64</v>
      </c>
      <c r="AI489" s="63">
        <v>45713</v>
      </c>
      <c r="AJ489" s="63">
        <v>46433</v>
      </c>
      <c r="AK4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89" s="30"/>
      <c r="AN489" s="20" t="s">
        <v>65</v>
      </c>
      <c r="AP489" s="20" t="s">
        <v>84</v>
      </c>
    </row>
    <row r="490" spans="1:43" ht="16">
      <c r="A490" s="20">
        <v>9512141378</v>
      </c>
      <c r="B490" s="21">
        <v>745012</v>
      </c>
      <c r="C490" s="20" t="s">
        <v>2496</v>
      </c>
      <c r="D490" s="20" t="s">
        <v>103</v>
      </c>
      <c r="E490" s="20" t="s">
        <v>1431</v>
      </c>
      <c r="F490" s="20" t="s">
        <v>104</v>
      </c>
      <c r="G490" s="20" t="s">
        <v>104</v>
      </c>
      <c r="H490" s="20" t="s">
        <v>48</v>
      </c>
      <c r="I490" s="20" t="s">
        <v>104</v>
      </c>
      <c r="J490" s="32" t="s">
        <v>2497</v>
      </c>
      <c r="K490" s="32" t="s">
        <v>2497</v>
      </c>
      <c r="L490" s="23" t="s">
        <v>2485</v>
      </c>
      <c r="M490" s="24" t="s">
        <v>7742</v>
      </c>
      <c r="N490" s="23">
        <v>18674000</v>
      </c>
      <c r="O490" s="25" t="s">
        <v>828</v>
      </c>
      <c r="P490" s="25" t="s">
        <v>53</v>
      </c>
      <c r="Q490" s="20" t="s">
        <v>2498</v>
      </c>
      <c r="R490" s="20">
        <v>73108888</v>
      </c>
      <c r="S490" s="25" t="s">
        <v>2499</v>
      </c>
      <c r="T490" s="26" t="s">
        <v>57</v>
      </c>
      <c r="U490" s="23">
        <v>860478064066514</v>
      </c>
      <c r="V490" s="45" t="s">
        <v>110</v>
      </c>
      <c r="W490" s="20" t="s">
        <v>302</v>
      </c>
      <c r="X490" s="20" t="s">
        <v>303</v>
      </c>
      <c r="Y490" s="20" t="s">
        <v>303</v>
      </c>
      <c r="Z490" s="20" t="s">
        <v>131</v>
      </c>
      <c r="AA490" s="20" t="s">
        <v>132</v>
      </c>
      <c r="AB490" s="20" t="s">
        <v>82</v>
      </c>
      <c r="AC490" s="28">
        <v>559.48</v>
      </c>
      <c r="AD490" s="28">
        <f>SUM(BASE[[#This Row],[MONTO DE RENTA ]]*1.16)</f>
        <v>648.99680000000001</v>
      </c>
      <c r="AE490" s="28" t="s">
        <v>83</v>
      </c>
      <c r="AF490" s="28">
        <v>559.48275862068965</v>
      </c>
      <c r="AG490" s="28">
        <v>649</v>
      </c>
      <c r="AH490" s="22" t="s">
        <v>64</v>
      </c>
      <c r="AI490" s="63">
        <v>45713</v>
      </c>
      <c r="AJ490" s="63">
        <v>46433</v>
      </c>
      <c r="AK4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0" s="30"/>
      <c r="AN490" s="20" t="s">
        <v>65</v>
      </c>
      <c r="AP490" s="20" t="s">
        <v>84</v>
      </c>
    </row>
    <row r="491" spans="1:43" ht="16">
      <c r="A491" s="20">
        <v>9512478751</v>
      </c>
      <c r="B491" s="21">
        <v>745042</v>
      </c>
      <c r="C491" s="20" t="s">
        <v>537</v>
      </c>
      <c r="D491" s="20" t="s">
        <v>546</v>
      </c>
      <c r="E491" s="20" t="s">
        <v>1295</v>
      </c>
      <c r="F491" s="20" t="s">
        <v>104</v>
      </c>
      <c r="G491" s="20" t="s">
        <v>104</v>
      </c>
      <c r="H491" s="20" t="s">
        <v>48</v>
      </c>
      <c r="I491" s="20" t="s">
        <v>104</v>
      </c>
      <c r="J491" s="32" t="s">
        <v>2500</v>
      </c>
      <c r="K491" s="32" t="s">
        <v>2500</v>
      </c>
      <c r="L491" s="23" t="s">
        <v>2485</v>
      </c>
      <c r="M491" s="24" t="s">
        <v>7742</v>
      </c>
      <c r="N491" s="23">
        <v>18674000</v>
      </c>
      <c r="O491" s="25" t="s">
        <v>828</v>
      </c>
      <c r="P491" s="25" t="s">
        <v>53</v>
      </c>
      <c r="Q491" s="20" t="s">
        <v>2501</v>
      </c>
      <c r="R491" s="20">
        <v>73108890</v>
      </c>
      <c r="S491" s="25" t="s">
        <v>2502</v>
      </c>
      <c r="T491" s="26" t="s">
        <v>57</v>
      </c>
      <c r="U491" s="23">
        <v>860478064808485</v>
      </c>
      <c r="V491" s="45" t="s">
        <v>110</v>
      </c>
      <c r="W491" s="20" t="s">
        <v>302</v>
      </c>
      <c r="X491" s="20" t="s">
        <v>303</v>
      </c>
      <c r="Y491" s="20" t="s">
        <v>303</v>
      </c>
      <c r="Z491" s="20" t="s">
        <v>131</v>
      </c>
      <c r="AA491" s="20" t="s">
        <v>132</v>
      </c>
      <c r="AB491" s="20" t="s">
        <v>82</v>
      </c>
      <c r="AC491" s="28">
        <v>559.48</v>
      </c>
      <c r="AD491" s="28">
        <f>SUM(BASE[[#This Row],[MONTO DE RENTA ]]*1.16)</f>
        <v>648.99680000000001</v>
      </c>
      <c r="AE491" s="28" t="s">
        <v>83</v>
      </c>
      <c r="AF491" s="28">
        <v>559.48275862068965</v>
      </c>
      <c r="AG491" s="28">
        <v>649</v>
      </c>
      <c r="AH491" s="22" t="s">
        <v>64</v>
      </c>
      <c r="AI491" s="63">
        <v>45713</v>
      </c>
      <c r="AJ491" s="63">
        <v>46433</v>
      </c>
      <c r="AK4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1" s="30"/>
      <c r="AN491" s="20" t="s">
        <v>65</v>
      </c>
      <c r="AP491" s="20" t="s">
        <v>84</v>
      </c>
    </row>
    <row r="492" spans="1:43" ht="16">
      <c r="A492" s="20">
        <v>9511478059</v>
      </c>
      <c r="B492" s="49">
        <v>460080</v>
      </c>
      <c r="C492" s="20" t="s">
        <v>2503</v>
      </c>
      <c r="D492" s="20" t="s">
        <v>347</v>
      </c>
      <c r="E492" s="20" t="s">
        <v>205</v>
      </c>
      <c r="F492" s="20" t="s">
        <v>70</v>
      </c>
      <c r="G492" s="20" t="s">
        <v>70</v>
      </c>
      <c r="H492" s="20" t="s">
        <v>48</v>
      </c>
      <c r="I492" s="20" t="s">
        <v>70</v>
      </c>
      <c r="J492" s="22" t="s">
        <v>2504</v>
      </c>
      <c r="K492" s="22" t="s">
        <v>2504</v>
      </c>
      <c r="L492" s="23" t="s">
        <v>2485</v>
      </c>
      <c r="M492" s="24" t="s">
        <v>7742</v>
      </c>
      <c r="N492" s="23">
        <v>18674000</v>
      </c>
      <c r="O492" s="25" t="s">
        <v>828</v>
      </c>
      <c r="P492" s="25" t="s">
        <v>53</v>
      </c>
      <c r="Q492" s="20" t="s">
        <v>2505</v>
      </c>
      <c r="R492" s="20">
        <v>72922685</v>
      </c>
      <c r="S492" s="25" t="s">
        <v>55</v>
      </c>
      <c r="T492" s="26" t="s">
        <v>56</v>
      </c>
      <c r="U492" s="23">
        <v>357894929176506</v>
      </c>
      <c r="V492" s="27" t="s">
        <v>78</v>
      </c>
      <c r="W492" s="20" t="s">
        <v>95</v>
      </c>
      <c r="X492" s="20" t="s">
        <v>95</v>
      </c>
      <c r="Y492" s="20" t="s">
        <v>95</v>
      </c>
      <c r="Z492" s="20" t="s">
        <v>60</v>
      </c>
      <c r="AA492" s="20" t="s">
        <v>61</v>
      </c>
      <c r="AB492" s="20" t="s">
        <v>82</v>
      </c>
      <c r="AC492" s="28">
        <v>559.48</v>
      </c>
      <c r="AD492" s="28">
        <f>SUM(BASE[[#This Row],[MONTO DE RENTA ]]*1.16)</f>
        <v>648.99680000000001</v>
      </c>
      <c r="AE492" s="28" t="s">
        <v>83</v>
      </c>
      <c r="AF492" s="28">
        <v>559.48275862068965</v>
      </c>
      <c r="AG492" s="28">
        <v>649</v>
      </c>
      <c r="AI492" s="63">
        <v>44937</v>
      </c>
      <c r="AJ492" s="73">
        <v>46043</v>
      </c>
      <c r="AK4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92" s="30"/>
      <c r="AN492" s="20" t="s">
        <v>99</v>
      </c>
      <c r="AP492" s="20" t="s">
        <v>84</v>
      </c>
      <c r="AQ492" s="20" t="s">
        <v>100</v>
      </c>
    </row>
    <row r="493" spans="1:43" ht="16">
      <c r="A493" s="20">
        <v>9831082950</v>
      </c>
      <c r="B493" s="21">
        <v>996286</v>
      </c>
      <c r="C493" s="20" t="s">
        <v>2506</v>
      </c>
      <c r="D493" s="20" t="s">
        <v>172</v>
      </c>
      <c r="E493" s="20" t="s">
        <v>937</v>
      </c>
      <c r="F493" s="20" t="s">
        <v>47</v>
      </c>
      <c r="G493" s="20" t="s">
        <v>47</v>
      </c>
      <c r="H493" s="20" t="s">
        <v>48</v>
      </c>
      <c r="I493" s="20" t="s">
        <v>47</v>
      </c>
      <c r="J493" s="22" t="s">
        <v>2507</v>
      </c>
      <c r="K493" s="22" t="s">
        <v>2507</v>
      </c>
      <c r="L493" s="23" t="s">
        <v>2508</v>
      </c>
      <c r="M493" s="24" t="s">
        <v>7751</v>
      </c>
      <c r="N493" s="23">
        <v>18675000</v>
      </c>
      <c r="O493" s="25" t="s">
        <v>1035</v>
      </c>
      <c r="P493" s="25" t="s">
        <v>53</v>
      </c>
      <c r="Q493" s="20" t="s">
        <v>2509</v>
      </c>
      <c r="R493" s="20">
        <v>82289262</v>
      </c>
      <c r="S493" s="25" t="s">
        <v>2510</v>
      </c>
      <c r="T493" s="26" t="s">
        <v>57</v>
      </c>
      <c r="U493" s="23">
        <v>860900062256565</v>
      </c>
      <c r="V493" s="27" t="s">
        <v>57</v>
      </c>
      <c r="W493" s="20" t="s">
        <v>58</v>
      </c>
      <c r="X493" s="20" t="s">
        <v>59</v>
      </c>
      <c r="Y493" s="20" t="s">
        <v>59</v>
      </c>
      <c r="Z493" s="20" t="s">
        <v>80</v>
      </c>
      <c r="AA493" s="20" t="s">
        <v>81</v>
      </c>
      <c r="AB493" s="20" t="s">
        <v>96</v>
      </c>
      <c r="AC493" s="28">
        <v>369.83</v>
      </c>
      <c r="AD493" s="28">
        <f>SUM(BASE[[#This Row],[MONTO DE RENTA ]]*1.16)</f>
        <v>429.00279999999998</v>
      </c>
      <c r="AE493" s="28" t="s">
        <v>63</v>
      </c>
      <c r="AF493" s="28">
        <v>369.82758620689657</v>
      </c>
      <c r="AG493" s="28">
        <v>429</v>
      </c>
      <c r="AH493" s="22" t="s">
        <v>64</v>
      </c>
      <c r="AI493" s="63">
        <v>45713</v>
      </c>
      <c r="AJ493" s="63">
        <v>46433</v>
      </c>
      <c r="AK4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3" s="30"/>
      <c r="AN493" s="20" t="s">
        <v>65</v>
      </c>
      <c r="AP493" s="20" t="s">
        <v>84</v>
      </c>
    </row>
    <row r="494" spans="1:43" ht="16">
      <c r="A494" s="20">
        <v>9831222092</v>
      </c>
      <c r="B494" s="21">
        <v>755066</v>
      </c>
      <c r="C494" s="20" t="s">
        <v>2511</v>
      </c>
      <c r="D494" s="20" t="s">
        <v>2512</v>
      </c>
      <c r="E494" s="20" t="s">
        <v>2513</v>
      </c>
      <c r="F494" s="20" t="s">
        <v>248</v>
      </c>
      <c r="G494" s="20" t="s">
        <v>248</v>
      </c>
      <c r="H494" s="20" t="s">
        <v>48</v>
      </c>
      <c r="I494" s="20" t="s">
        <v>248</v>
      </c>
      <c r="J494" s="22" t="s">
        <v>2514</v>
      </c>
      <c r="K494" s="22" t="s">
        <v>2514</v>
      </c>
      <c r="L494" s="23" t="s">
        <v>2508</v>
      </c>
      <c r="M494" s="24" t="s">
        <v>7751</v>
      </c>
      <c r="N494" s="23">
        <v>18675000</v>
      </c>
      <c r="O494" s="25" t="s">
        <v>1035</v>
      </c>
      <c r="P494" s="25" t="s">
        <v>53</v>
      </c>
      <c r="Q494" s="20" t="s">
        <v>2515</v>
      </c>
      <c r="R494" s="20">
        <v>82289268</v>
      </c>
      <c r="S494" s="25" t="s">
        <v>2516</v>
      </c>
      <c r="T494" s="26" t="s">
        <v>57</v>
      </c>
      <c r="U494" s="23">
        <v>860900062338652</v>
      </c>
      <c r="V494" s="27" t="s">
        <v>57</v>
      </c>
      <c r="W494" s="20" t="s">
        <v>58</v>
      </c>
      <c r="X494" s="20" t="s">
        <v>59</v>
      </c>
      <c r="Y494" s="20" t="s">
        <v>59</v>
      </c>
      <c r="Z494" s="20" t="s">
        <v>80</v>
      </c>
      <c r="AA494" s="20" t="s">
        <v>81</v>
      </c>
      <c r="AB494" s="20" t="s">
        <v>96</v>
      </c>
      <c r="AC494" s="28">
        <v>369.83</v>
      </c>
      <c r="AD494" s="28">
        <f>SUM(BASE[[#This Row],[MONTO DE RENTA ]]*1.16)</f>
        <v>429.00279999999998</v>
      </c>
      <c r="AE494" s="28" t="s">
        <v>63</v>
      </c>
      <c r="AF494" s="28">
        <v>369.82758620689657</v>
      </c>
      <c r="AG494" s="28">
        <v>429</v>
      </c>
      <c r="AH494" s="22" t="s">
        <v>64</v>
      </c>
      <c r="AI494" s="29">
        <v>45713</v>
      </c>
      <c r="AJ494" s="29">
        <v>46433</v>
      </c>
      <c r="AK4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4" s="30"/>
      <c r="AN494" s="20" t="s">
        <v>65</v>
      </c>
      <c r="AP494" s="20" t="s">
        <v>84</v>
      </c>
    </row>
    <row r="495" spans="1:43" ht="16">
      <c r="A495" s="20">
        <v>9831082771</v>
      </c>
      <c r="B495" s="21">
        <v>370037</v>
      </c>
      <c r="C495" s="20" t="s">
        <v>2517</v>
      </c>
      <c r="D495" s="20" t="s">
        <v>2518</v>
      </c>
      <c r="E495" s="20" t="s">
        <v>172</v>
      </c>
      <c r="F495" s="20" t="s">
        <v>257</v>
      </c>
      <c r="G495" s="20" t="s">
        <v>257</v>
      </c>
      <c r="H495" s="20" t="s">
        <v>48</v>
      </c>
      <c r="I495" s="20" t="s">
        <v>257</v>
      </c>
      <c r="J495" s="22" t="s">
        <v>2519</v>
      </c>
      <c r="K495" s="22" t="s">
        <v>2519</v>
      </c>
      <c r="L495" s="23" t="s">
        <v>2508</v>
      </c>
      <c r="M495" s="24" t="s">
        <v>7751</v>
      </c>
      <c r="N495" s="23">
        <v>18675000</v>
      </c>
      <c r="O495" s="25" t="s">
        <v>1035</v>
      </c>
      <c r="P495" s="25" t="s">
        <v>53</v>
      </c>
      <c r="Q495" s="20" t="s">
        <v>2520</v>
      </c>
      <c r="R495" s="20">
        <v>82289165</v>
      </c>
      <c r="S495" s="25" t="s">
        <v>2521</v>
      </c>
      <c r="T495" s="26" t="s">
        <v>57</v>
      </c>
      <c r="U495" s="23">
        <v>860478064845313</v>
      </c>
      <c r="V495" s="45" t="s">
        <v>110</v>
      </c>
      <c r="W495" s="20" t="s">
        <v>302</v>
      </c>
      <c r="X495" s="20" t="s">
        <v>303</v>
      </c>
      <c r="Y495" s="20" t="s">
        <v>303</v>
      </c>
      <c r="Z495" s="20" t="s">
        <v>80</v>
      </c>
      <c r="AA495" s="20" t="s">
        <v>81</v>
      </c>
      <c r="AB495" s="20" t="s">
        <v>82</v>
      </c>
      <c r="AC495" s="28">
        <v>559.48</v>
      </c>
      <c r="AD495" s="28">
        <f>SUM(BASE[[#This Row],[MONTO DE RENTA ]]*1.16)</f>
        <v>648.99680000000001</v>
      </c>
      <c r="AE495" s="28" t="s">
        <v>83</v>
      </c>
      <c r="AF495" s="28">
        <v>559.48275862068965</v>
      </c>
      <c r="AG495" s="28">
        <v>649</v>
      </c>
      <c r="AH495" s="22" t="s">
        <v>64</v>
      </c>
      <c r="AI495" s="29">
        <v>45713</v>
      </c>
      <c r="AJ495" s="29">
        <v>46433</v>
      </c>
      <c r="AK4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5" s="30"/>
      <c r="AN495" s="20" t="s">
        <v>65</v>
      </c>
      <c r="AP495" s="20" t="s">
        <v>84</v>
      </c>
    </row>
    <row r="496" spans="1:43" ht="16">
      <c r="A496" s="20">
        <v>9831224700</v>
      </c>
      <c r="B496" s="21">
        <v>1043149</v>
      </c>
      <c r="C496" s="20" t="s">
        <v>2522</v>
      </c>
      <c r="D496" s="20" t="s">
        <v>376</v>
      </c>
      <c r="E496" s="20" t="s">
        <v>2523</v>
      </c>
      <c r="F496" s="20" t="s">
        <v>104</v>
      </c>
      <c r="G496" s="20" t="s">
        <v>104</v>
      </c>
      <c r="H496" s="20" t="s">
        <v>48</v>
      </c>
      <c r="I496" s="20" t="s">
        <v>104</v>
      </c>
      <c r="J496" s="32" t="s">
        <v>2524</v>
      </c>
      <c r="K496" s="32" t="s">
        <v>2524</v>
      </c>
      <c r="L496" s="23" t="s">
        <v>2508</v>
      </c>
      <c r="M496" s="24" t="s">
        <v>7751</v>
      </c>
      <c r="N496" s="23">
        <v>18675000</v>
      </c>
      <c r="O496" s="25" t="s">
        <v>1035</v>
      </c>
      <c r="P496" s="25" t="s">
        <v>53</v>
      </c>
      <c r="Q496" s="20" t="s">
        <v>2525</v>
      </c>
      <c r="R496" s="20">
        <v>82289170</v>
      </c>
      <c r="S496" s="25" t="s">
        <v>2526</v>
      </c>
      <c r="T496" s="26" t="s">
        <v>57</v>
      </c>
      <c r="U496" s="23">
        <v>860478064862045</v>
      </c>
      <c r="V496" s="45" t="s">
        <v>110</v>
      </c>
      <c r="W496" s="20" t="s">
        <v>302</v>
      </c>
      <c r="X496" s="20" t="s">
        <v>303</v>
      </c>
      <c r="Y496" s="20" t="s">
        <v>303</v>
      </c>
      <c r="Z496" s="20" t="s">
        <v>80</v>
      </c>
      <c r="AA496" s="20" t="s">
        <v>81</v>
      </c>
      <c r="AB496" s="20" t="s">
        <v>82</v>
      </c>
      <c r="AC496" s="28">
        <v>559.48</v>
      </c>
      <c r="AD496" s="28">
        <f>SUM(BASE[[#This Row],[MONTO DE RENTA ]]*1.16)</f>
        <v>648.99680000000001</v>
      </c>
      <c r="AE496" s="28" t="s">
        <v>83</v>
      </c>
      <c r="AF496" s="28">
        <v>559.48275862068965</v>
      </c>
      <c r="AG496" s="28">
        <v>649</v>
      </c>
      <c r="AH496" s="22" t="s">
        <v>64</v>
      </c>
      <c r="AI496" s="63">
        <v>45713</v>
      </c>
      <c r="AJ496" s="63">
        <v>46433</v>
      </c>
      <c r="AK4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6" s="30"/>
      <c r="AN496" s="20" t="s">
        <v>65</v>
      </c>
      <c r="AP496" s="20" t="s">
        <v>84</v>
      </c>
    </row>
    <row r="497" spans="1:43" ht="16">
      <c r="A497" s="20">
        <v>9831098712</v>
      </c>
      <c r="B497" s="49">
        <v>480059</v>
      </c>
      <c r="C497" s="20" t="s">
        <v>2527</v>
      </c>
      <c r="D497" s="20" t="s">
        <v>2528</v>
      </c>
      <c r="E497" s="20" t="s">
        <v>2529</v>
      </c>
      <c r="F497" s="20" t="s">
        <v>70</v>
      </c>
      <c r="G497" s="20" t="s">
        <v>70</v>
      </c>
      <c r="H497" s="20" t="s">
        <v>48</v>
      </c>
      <c r="I497" s="20" t="s">
        <v>70</v>
      </c>
      <c r="J497" s="22" t="s">
        <v>2530</v>
      </c>
      <c r="K497" s="22" t="s">
        <v>2530</v>
      </c>
      <c r="L497" s="23" t="s">
        <v>2508</v>
      </c>
      <c r="M497" s="24" t="s">
        <v>7751</v>
      </c>
      <c r="N497" s="23">
        <v>18675000</v>
      </c>
      <c r="O497" s="25" t="s">
        <v>1035</v>
      </c>
      <c r="P497" s="25" t="s">
        <v>53</v>
      </c>
      <c r="Q497" s="20" t="s">
        <v>2531</v>
      </c>
      <c r="R497" s="20">
        <v>82200540</v>
      </c>
      <c r="S497" s="25" t="s">
        <v>55</v>
      </c>
      <c r="T497" s="26" t="s">
        <v>56</v>
      </c>
      <c r="U497" s="23">
        <v>357654179363257</v>
      </c>
      <c r="V497" s="27" t="s">
        <v>78</v>
      </c>
      <c r="W497" s="20" t="s">
        <v>95</v>
      </c>
      <c r="X497" s="20" t="s">
        <v>95</v>
      </c>
      <c r="Y497" s="20" t="s">
        <v>95</v>
      </c>
      <c r="Z497" s="20" t="s">
        <v>60</v>
      </c>
      <c r="AA497" s="20" t="s">
        <v>61</v>
      </c>
      <c r="AB497" s="20" t="s">
        <v>82</v>
      </c>
      <c r="AC497" s="28">
        <v>559.48</v>
      </c>
      <c r="AD497" s="28">
        <f>SUM(BASE[[#This Row],[MONTO DE RENTA ]]*1.16)</f>
        <v>648.99680000000001</v>
      </c>
      <c r="AE497" s="28" t="s">
        <v>83</v>
      </c>
      <c r="AF497" s="28">
        <v>559.48275862068965</v>
      </c>
      <c r="AG497" s="28">
        <v>649</v>
      </c>
      <c r="AI497" s="63">
        <v>44937</v>
      </c>
      <c r="AJ497" s="73">
        <v>46043</v>
      </c>
      <c r="AK4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497" s="30"/>
      <c r="AN497" s="20" t="s">
        <v>99</v>
      </c>
      <c r="AP497" s="20" t="s">
        <v>84</v>
      </c>
      <c r="AQ497" s="20" t="s">
        <v>100</v>
      </c>
    </row>
    <row r="498" spans="1:43" ht="16">
      <c r="A498" s="20">
        <v>8113117928</v>
      </c>
      <c r="B498" s="21">
        <v>640043</v>
      </c>
      <c r="C498" s="20" t="s">
        <v>2532</v>
      </c>
      <c r="D498" s="20" t="s">
        <v>1423</v>
      </c>
      <c r="E498" s="20" t="s">
        <v>45</v>
      </c>
      <c r="F498" s="20" t="s">
        <v>2533</v>
      </c>
      <c r="G498" s="20" t="s">
        <v>47</v>
      </c>
      <c r="H498" s="20" t="s">
        <v>48</v>
      </c>
      <c r="I498" s="20" t="s">
        <v>2533</v>
      </c>
      <c r="J498" s="22" t="s">
        <v>2534</v>
      </c>
      <c r="K498" s="22" t="s">
        <v>2534</v>
      </c>
      <c r="L498" s="23" t="s">
        <v>2535</v>
      </c>
      <c r="M498" s="24" t="s">
        <v>7737</v>
      </c>
      <c r="N498" s="23">
        <v>18676000</v>
      </c>
      <c r="O498" s="25" t="s">
        <v>74</v>
      </c>
      <c r="P498" s="25" t="s">
        <v>53</v>
      </c>
      <c r="Q498" s="20" t="s">
        <v>2536</v>
      </c>
      <c r="R498" s="20">
        <v>43141264</v>
      </c>
      <c r="S498" s="25" t="s">
        <v>2537</v>
      </c>
      <c r="T498" s="26" t="s">
        <v>57</v>
      </c>
      <c r="U498" s="23">
        <v>860900062337464</v>
      </c>
      <c r="V498" s="27" t="s">
        <v>57</v>
      </c>
      <c r="W498" s="20" t="s">
        <v>58</v>
      </c>
      <c r="X498" s="20" t="s">
        <v>59</v>
      </c>
      <c r="Y498" s="20" t="s">
        <v>59</v>
      </c>
      <c r="Z498" s="20" t="s">
        <v>167</v>
      </c>
      <c r="AA498" s="20" t="s">
        <v>168</v>
      </c>
      <c r="AB498" s="20" t="s">
        <v>96</v>
      </c>
      <c r="AC498" s="28">
        <v>369.83</v>
      </c>
      <c r="AD498" s="28">
        <f>SUM(BASE[[#This Row],[MONTO DE RENTA ]]*1.16)</f>
        <v>429.00279999999998</v>
      </c>
      <c r="AE498" s="28" t="s">
        <v>63</v>
      </c>
      <c r="AF498" s="28">
        <v>369.82758620689657</v>
      </c>
      <c r="AG498" s="28">
        <v>429</v>
      </c>
      <c r="AH498" s="22" t="s">
        <v>64</v>
      </c>
      <c r="AI498" s="63">
        <v>45703</v>
      </c>
      <c r="AJ498" s="63">
        <v>46433</v>
      </c>
      <c r="AK4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498" s="192"/>
      <c r="AN498" s="20" t="s">
        <v>65</v>
      </c>
      <c r="AP498" s="20" t="s">
        <v>84</v>
      </c>
    </row>
    <row r="499" spans="1:43" ht="16">
      <c r="A499" s="20">
        <v>8113485334</v>
      </c>
      <c r="B499" s="21">
        <v>11867</v>
      </c>
      <c r="C499" s="20" t="s">
        <v>1838</v>
      </c>
      <c r="D499" s="20" t="s">
        <v>2538</v>
      </c>
      <c r="E499" s="20" t="s">
        <v>507</v>
      </c>
      <c r="F499" s="20" t="s">
        <v>451</v>
      </c>
      <c r="G499" s="20" t="s">
        <v>248</v>
      </c>
      <c r="H499" s="20" t="s">
        <v>48</v>
      </c>
      <c r="I499" s="20" t="s">
        <v>451</v>
      </c>
      <c r="J499" s="22" t="s">
        <v>2539</v>
      </c>
      <c r="K499" s="193" t="s">
        <v>2540</v>
      </c>
      <c r="L499" s="23" t="s">
        <v>2535</v>
      </c>
      <c r="M499" s="24" t="s">
        <v>7737</v>
      </c>
      <c r="N499" s="23">
        <v>18676000</v>
      </c>
      <c r="O499" s="25" t="s">
        <v>74</v>
      </c>
      <c r="P499" s="25" t="s">
        <v>53</v>
      </c>
      <c r="Q499" s="20" t="s">
        <v>2541</v>
      </c>
      <c r="R499" s="20">
        <v>43121118</v>
      </c>
      <c r="S499" s="25" t="s">
        <v>2542</v>
      </c>
      <c r="T499" s="26" t="s">
        <v>57</v>
      </c>
      <c r="U499" s="23" t="s">
        <v>193</v>
      </c>
      <c r="V499" s="27" t="s">
        <v>57</v>
      </c>
      <c r="W499" s="20" t="s">
        <v>194</v>
      </c>
      <c r="X499" s="20" t="s">
        <v>194</v>
      </c>
      <c r="Y499" s="20" t="s">
        <v>194</v>
      </c>
      <c r="Z499" s="20" t="s">
        <v>167</v>
      </c>
      <c r="AA499" s="20" t="s">
        <v>168</v>
      </c>
      <c r="AB499" s="20" t="s">
        <v>96</v>
      </c>
      <c r="AC499" s="28">
        <v>369.83</v>
      </c>
      <c r="AD499" s="28">
        <f>SUM(BASE[[#This Row],[MONTO DE RENTA ]]*1.16)</f>
        <v>429.00279999999998</v>
      </c>
      <c r="AE499" s="28" t="s">
        <v>63</v>
      </c>
      <c r="AF499" s="28">
        <v>369.82758620689657</v>
      </c>
      <c r="AG499" s="28">
        <v>429</v>
      </c>
      <c r="AI499" s="63">
        <v>44937</v>
      </c>
      <c r="AJ499" s="84">
        <v>46681</v>
      </c>
      <c r="AK499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499" s="30"/>
      <c r="AN499" s="20" t="s">
        <v>65</v>
      </c>
      <c r="AP499" s="20" t="s">
        <v>84</v>
      </c>
    </row>
    <row r="500" spans="1:43" ht="16">
      <c r="A500" s="20">
        <v>8115685046</v>
      </c>
      <c r="B500" s="21">
        <v>10380</v>
      </c>
      <c r="C500" s="20" t="s">
        <v>902</v>
      </c>
      <c r="D500" s="20" t="s">
        <v>1000</v>
      </c>
      <c r="E500" s="20" t="s">
        <v>376</v>
      </c>
      <c r="F500" s="20" t="s">
        <v>257</v>
      </c>
      <c r="G500" s="20" t="s">
        <v>257</v>
      </c>
      <c r="H500" s="20" t="s">
        <v>48</v>
      </c>
      <c r="I500" s="20" t="s">
        <v>257</v>
      </c>
      <c r="J500" s="22" t="s">
        <v>2543</v>
      </c>
      <c r="K500" s="22" t="s">
        <v>2543</v>
      </c>
      <c r="L500" s="23" t="s">
        <v>2535</v>
      </c>
      <c r="M500" s="24" t="s">
        <v>7737</v>
      </c>
      <c r="N500" s="23">
        <v>18676000</v>
      </c>
      <c r="O500" s="25" t="s">
        <v>74</v>
      </c>
      <c r="P500" s="25" t="s">
        <v>53</v>
      </c>
      <c r="Q500" s="20" t="s">
        <v>2544</v>
      </c>
      <c r="R500" s="20">
        <v>43090246</v>
      </c>
      <c r="S500" s="25" t="s">
        <v>2545</v>
      </c>
      <c r="T500" s="26" t="s">
        <v>57</v>
      </c>
      <c r="U500" s="23">
        <v>860478063821307</v>
      </c>
      <c r="V500" s="45" t="s">
        <v>110</v>
      </c>
      <c r="W500" s="20" t="s">
        <v>302</v>
      </c>
      <c r="X500" s="20" t="s">
        <v>303</v>
      </c>
      <c r="Y500" s="20" t="s">
        <v>303</v>
      </c>
      <c r="Z500" s="20" t="s">
        <v>80</v>
      </c>
      <c r="AA500" s="20" t="s">
        <v>81</v>
      </c>
      <c r="AB500" s="20" t="s">
        <v>82</v>
      </c>
      <c r="AC500" s="28">
        <v>559.48</v>
      </c>
      <c r="AD500" s="28">
        <f>SUM(BASE[[#This Row],[MONTO DE RENTA ]]*1.16)</f>
        <v>648.99680000000001</v>
      </c>
      <c r="AE500" s="28" t="s">
        <v>83</v>
      </c>
      <c r="AF500" s="28">
        <v>559.48275862068965</v>
      </c>
      <c r="AG500" s="28">
        <v>649</v>
      </c>
      <c r="AH500" s="22" t="s">
        <v>64</v>
      </c>
      <c r="AI500" s="63">
        <v>45703</v>
      </c>
      <c r="AJ500" s="63">
        <v>46433</v>
      </c>
      <c r="AK5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0" s="30"/>
      <c r="AN500" s="20" t="s">
        <v>65</v>
      </c>
      <c r="AP500" s="20" t="s">
        <v>84</v>
      </c>
    </row>
    <row r="501" spans="1:43" ht="16">
      <c r="A501" s="20">
        <v>8181171405</v>
      </c>
      <c r="B501" s="49">
        <v>1014431</v>
      </c>
      <c r="C501" s="20" t="s">
        <v>2546</v>
      </c>
      <c r="D501" s="20" t="s">
        <v>1204</v>
      </c>
      <c r="E501" s="20" t="s">
        <v>152</v>
      </c>
      <c r="F501" s="20" t="s">
        <v>104</v>
      </c>
      <c r="G501" s="20" t="s">
        <v>104</v>
      </c>
      <c r="H501" s="20" t="s">
        <v>48</v>
      </c>
      <c r="I501" s="20" t="s">
        <v>104</v>
      </c>
      <c r="J501" s="32" t="s">
        <v>2547</v>
      </c>
      <c r="K501" s="32" t="s">
        <v>2547</v>
      </c>
      <c r="L501" s="23" t="s">
        <v>2535</v>
      </c>
      <c r="M501" s="24" t="s">
        <v>7737</v>
      </c>
      <c r="N501" s="23">
        <v>18676000</v>
      </c>
      <c r="O501" s="25" t="s">
        <v>74</v>
      </c>
      <c r="P501" s="25" t="s">
        <v>53</v>
      </c>
      <c r="Q501" s="20" t="s">
        <v>2548</v>
      </c>
      <c r="R501" s="20">
        <v>43619250</v>
      </c>
      <c r="S501" s="25" t="s">
        <v>55</v>
      </c>
      <c r="T501" s="26" t="s">
        <v>56</v>
      </c>
      <c r="U501" s="23">
        <v>867353050210991</v>
      </c>
      <c r="V501" s="45" t="s">
        <v>110</v>
      </c>
      <c r="W501" s="20" t="s">
        <v>149</v>
      </c>
      <c r="X501" s="20" t="s">
        <v>150</v>
      </c>
      <c r="Y501" s="20" t="s">
        <v>150</v>
      </c>
      <c r="Z501" s="20" t="s">
        <v>60</v>
      </c>
      <c r="AA501" s="20" t="s">
        <v>61</v>
      </c>
      <c r="AB501" s="20" t="s">
        <v>96</v>
      </c>
      <c r="AC501" s="28">
        <v>369.83</v>
      </c>
      <c r="AD501" s="28">
        <f>SUM(BASE[[#This Row],[MONTO DE RENTA ]]*1.16)</f>
        <v>429.00279999999998</v>
      </c>
      <c r="AE501" s="28" t="s">
        <v>97</v>
      </c>
      <c r="AF501" s="28">
        <v>473.27586206896552</v>
      </c>
      <c r="AG501" s="28">
        <v>549</v>
      </c>
      <c r="AI501" s="63">
        <v>44937</v>
      </c>
      <c r="AJ501" s="73">
        <v>46043</v>
      </c>
      <c r="AK50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01" s="30"/>
      <c r="AN501" s="20" t="s">
        <v>99</v>
      </c>
      <c r="AP501" s="20" t="s">
        <v>66</v>
      </c>
      <c r="AQ501" s="20" t="s">
        <v>100</v>
      </c>
    </row>
    <row r="502" spans="1:43" ht="16">
      <c r="A502" s="20">
        <v>8112611757</v>
      </c>
      <c r="B502" s="21">
        <v>1050467</v>
      </c>
      <c r="C502" s="20" t="s">
        <v>2549</v>
      </c>
      <c r="D502" s="20" t="s">
        <v>323</v>
      </c>
      <c r="E502" s="20" t="s">
        <v>206</v>
      </c>
      <c r="F502" s="20" t="s">
        <v>104</v>
      </c>
      <c r="G502" s="20" t="s">
        <v>104</v>
      </c>
      <c r="H502" s="20" t="s">
        <v>48</v>
      </c>
      <c r="I502" s="20" t="s">
        <v>104</v>
      </c>
      <c r="J502" s="32" t="s">
        <v>2550</v>
      </c>
      <c r="K502" s="32" t="s">
        <v>2550</v>
      </c>
      <c r="L502" s="23" t="s">
        <v>2535</v>
      </c>
      <c r="M502" s="24" t="s">
        <v>7737</v>
      </c>
      <c r="N502" s="23">
        <v>18676000</v>
      </c>
      <c r="O502" s="25" t="s">
        <v>74</v>
      </c>
      <c r="P502" s="25" t="s">
        <v>53</v>
      </c>
      <c r="Q502" s="20" t="s">
        <v>2551</v>
      </c>
      <c r="R502" s="20">
        <v>43090330</v>
      </c>
      <c r="S502" s="25" t="s">
        <v>2552</v>
      </c>
      <c r="T502" s="26" t="s">
        <v>57</v>
      </c>
      <c r="U502" s="23">
        <v>860478062096497</v>
      </c>
      <c r="V502" s="45" t="s">
        <v>110</v>
      </c>
      <c r="W502" s="20" t="s">
        <v>302</v>
      </c>
      <c r="X502" s="20" t="s">
        <v>303</v>
      </c>
      <c r="Y502" s="20" t="s">
        <v>303</v>
      </c>
      <c r="Z502" s="20" t="s">
        <v>80</v>
      </c>
      <c r="AA502" s="20" t="s">
        <v>81</v>
      </c>
      <c r="AB502" s="20" t="s">
        <v>82</v>
      </c>
      <c r="AC502" s="28">
        <v>559.48</v>
      </c>
      <c r="AD502" s="28">
        <f>SUM(BASE[[#This Row],[MONTO DE RENTA ]]*1.16)</f>
        <v>648.99680000000001</v>
      </c>
      <c r="AE502" s="28" t="s">
        <v>83</v>
      </c>
      <c r="AF502" s="28">
        <v>559.48275862068965</v>
      </c>
      <c r="AG502" s="28">
        <v>649</v>
      </c>
      <c r="AH502" s="22" t="s">
        <v>64</v>
      </c>
      <c r="AI502" s="63">
        <v>45703</v>
      </c>
      <c r="AJ502" s="63">
        <v>46433</v>
      </c>
      <c r="AK5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2" s="30"/>
      <c r="AN502" s="20" t="s">
        <v>65</v>
      </c>
      <c r="AP502" s="20" t="s">
        <v>84</v>
      </c>
    </row>
    <row r="503" spans="1:43" ht="16">
      <c r="A503" s="20">
        <v>8113748409</v>
      </c>
      <c r="B503" s="49">
        <v>40036</v>
      </c>
      <c r="C503" s="20" t="s">
        <v>2553</v>
      </c>
      <c r="D503" s="20" t="s">
        <v>546</v>
      </c>
      <c r="E503" s="20" t="s">
        <v>2554</v>
      </c>
      <c r="F503" s="20" t="s">
        <v>70</v>
      </c>
      <c r="G503" s="20" t="s">
        <v>70</v>
      </c>
      <c r="H503" s="20" t="s">
        <v>48</v>
      </c>
      <c r="I503" s="20" t="s">
        <v>70</v>
      </c>
      <c r="J503" s="22" t="s">
        <v>2555</v>
      </c>
      <c r="K503" s="22" t="s">
        <v>2555</v>
      </c>
      <c r="L503" s="23" t="s">
        <v>2535</v>
      </c>
      <c r="M503" s="24" t="s">
        <v>7737</v>
      </c>
      <c r="N503" s="23">
        <v>18676000</v>
      </c>
      <c r="O503" s="25" t="s">
        <v>74</v>
      </c>
      <c r="P503" s="25" t="s">
        <v>53</v>
      </c>
      <c r="Q503" s="20" t="s">
        <v>2556</v>
      </c>
      <c r="R503" s="20">
        <v>42943876</v>
      </c>
      <c r="S503" s="25" t="s">
        <v>55</v>
      </c>
      <c r="T503" s="26" t="s">
        <v>56</v>
      </c>
      <c r="U503" s="23">
        <v>357654177602540</v>
      </c>
      <c r="V503" s="27" t="s">
        <v>78</v>
      </c>
      <c r="W503" s="20" t="s">
        <v>95</v>
      </c>
      <c r="X503" s="20" t="s">
        <v>95</v>
      </c>
      <c r="Y503" s="20" t="s">
        <v>95</v>
      </c>
      <c r="Z503" s="20" t="s">
        <v>60</v>
      </c>
      <c r="AA503" s="20" t="s">
        <v>61</v>
      </c>
      <c r="AB503" s="20" t="s">
        <v>82</v>
      </c>
      <c r="AC503" s="28">
        <v>559.48</v>
      </c>
      <c r="AD503" s="28">
        <f>SUM(BASE[[#This Row],[MONTO DE RENTA ]]*1.16)</f>
        <v>648.99680000000001</v>
      </c>
      <c r="AE503" s="28" t="s">
        <v>83</v>
      </c>
      <c r="AF503" s="28">
        <v>559.48275862068965</v>
      </c>
      <c r="AG503" s="28">
        <v>649</v>
      </c>
      <c r="AI503" s="63">
        <v>44937</v>
      </c>
      <c r="AJ503" s="73">
        <v>46043</v>
      </c>
      <c r="AK5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03" s="30"/>
      <c r="AN503" s="20" t="s">
        <v>99</v>
      </c>
      <c r="AP503" s="20" t="s">
        <v>84</v>
      </c>
      <c r="AQ503" s="20" t="s">
        <v>100</v>
      </c>
    </row>
    <row r="504" spans="1:43" ht="16">
      <c r="A504" s="20">
        <v>4921205563</v>
      </c>
      <c r="B504" s="59">
        <v>1020400</v>
      </c>
      <c r="C504" s="20" t="s">
        <v>2557</v>
      </c>
      <c r="D504" s="20" t="s">
        <v>1303</v>
      </c>
      <c r="E504" s="20" t="s">
        <v>376</v>
      </c>
      <c r="F504" s="20" t="s">
        <v>47</v>
      </c>
      <c r="G504" s="20" t="s">
        <v>47</v>
      </c>
      <c r="H504" s="20" t="s">
        <v>48</v>
      </c>
      <c r="I504" s="20" t="s">
        <v>47</v>
      </c>
      <c r="J504" s="22" t="s">
        <v>2558</v>
      </c>
      <c r="K504" s="22" t="s">
        <v>2558</v>
      </c>
      <c r="L504" s="23" t="s">
        <v>2478</v>
      </c>
      <c r="M504" s="24" t="s">
        <v>7743</v>
      </c>
      <c r="N504" s="23">
        <v>18677000</v>
      </c>
      <c r="O504" s="25" t="s">
        <v>93</v>
      </c>
      <c r="P504" s="25" t="s">
        <v>53</v>
      </c>
      <c r="Q504" s="20" t="s">
        <v>2559</v>
      </c>
      <c r="R504" s="20">
        <v>62129167</v>
      </c>
      <c r="S504" s="25" t="s">
        <v>2560</v>
      </c>
      <c r="T504" s="26" t="s">
        <v>57</v>
      </c>
      <c r="U504" s="23">
        <v>860900062336466</v>
      </c>
      <c r="V504" s="27" t="s">
        <v>57</v>
      </c>
      <c r="W504" s="20" t="s">
        <v>58</v>
      </c>
      <c r="X504" s="20" t="s">
        <v>59</v>
      </c>
      <c r="Y504" s="20" t="s">
        <v>59</v>
      </c>
      <c r="Z504" s="20" t="s">
        <v>60</v>
      </c>
      <c r="AA504" s="20" t="s">
        <v>61</v>
      </c>
      <c r="AB504" s="20" t="s">
        <v>96</v>
      </c>
      <c r="AC504" s="28">
        <v>369.83</v>
      </c>
      <c r="AD504" s="28">
        <f>SUM(BASE[[#This Row],[MONTO DE RENTA ]]*1.16)</f>
        <v>429.00279999999998</v>
      </c>
      <c r="AE504" s="28" t="s">
        <v>63</v>
      </c>
      <c r="AF504" s="28">
        <v>369.82758620689657</v>
      </c>
      <c r="AG504" s="28">
        <v>429</v>
      </c>
      <c r="AH504" s="22" t="s">
        <v>64</v>
      </c>
      <c r="AI504" s="63">
        <v>45703</v>
      </c>
      <c r="AJ504" s="63">
        <v>46433</v>
      </c>
      <c r="AK5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4" s="30"/>
      <c r="AN504" s="20" t="s">
        <v>65</v>
      </c>
      <c r="AP504" s="20" t="s">
        <v>84</v>
      </c>
    </row>
    <row r="505" spans="1:43" ht="16">
      <c r="A505" s="20">
        <v>4921205741</v>
      </c>
      <c r="B505" s="21">
        <v>1014233</v>
      </c>
      <c r="C505" s="20" t="s">
        <v>2561</v>
      </c>
      <c r="D505" s="20" t="s">
        <v>143</v>
      </c>
      <c r="E505" s="20" t="s">
        <v>2562</v>
      </c>
      <c r="F505" s="20" t="s">
        <v>451</v>
      </c>
      <c r="G505" s="20" t="s">
        <v>248</v>
      </c>
      <c r="H505" s="20" t="s">
        <v>48</v>
      </c>
      <c r="I505" s="20" t="s">
        <v>451</v>
      </c>
      <c r="J505" s="145" t="s">
        <v>2563</v>
      </c>
      <c r="K505" s="145" t="s">
        <v>2563</v>
      </c>
      <c r="L505" s="23" t="s">
        <v>2478</v>
      </c>
      <c r="M505" s="24" t="s">
        <v>7743</v>
      </c>
      <c r="N505" s="23">
        <v>18677000</v>
      </c>
      <c r="O505" s="25" t="s">
        <v>93</v>
      </c>
      <c r="P505" s="25" t="s">
        <v>53</v>
      </c>
      <c r="Q505" s="20" t="s">
        <v>2564</v>
      </c>
      <c r="R505" s="20">
        <v>62129284</v>
      </c>
      <c r="S505" s="25" t="s">
        <v>2565</v>
      </c>
      <c r="T505" s="26" t="s">
        <v>57</v>
      </c>
      <c r="U505" s="23">
        <v>860900062336482</v>
      </c>
      <c r="V505" s="27" t="s">
        <v>57</v>
      </c>
      <c r="W505" s="20" t="s">
        <v>58</v>
      </c>
      <c r="X505" s="20" t="s">
        <v>59</v>
      </c>
      <c r="Y505" s="20" t="s">
        <v>59</v>
      </c>
      <c r="Z505" s="20" t="s">
        <v>60</v>
      </c>
      <c r="AA505" s="20" t="s">
        <v>61</v>
      </c>
      <c r="AB505" s="20" t="s">
        <v>96</v>
      </c>
      <c r="AC505" s="28">
        <v>369.83</v>
      </c>
      <c r="AD505" s="28">
        <f>SUM(BASE[[#This Row],[MONTO DE RENTA ]]*1.16)</f>
        <v>429.00279999999998</v>
      </c>
      <c r="AE505" s="28" t="s">
        <v>63</v>
      </c>
      <c r="AF505" s="28">
        <v>369.82758620689657</v>
      </c>
      <c r="AG505" s="28">
        <v>429</v>
      </c>
      <c r="AH505" s="22" t="s">
        <v>64</v>
      </c>
      <c r="AI505" s="63">
        <v>45703</v>
      </c>
      <c r="AJ505" s="63">
        <v>46433</v>
      </c>
      <c r="AK50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5" s="30"/>
      <c r="AN505" s="20" t="s">
        <v>65</v>
      </c>
      <c r="AP505" s="20" t="s">
        <v>84</v>
      </c>
    </row>
    <row r="506" spans="1:43" ht="16">
      <c r="A506" s="20">
        <v>4921406862</v>
      </c>
      <c r="B506" s="21">
        <v>840205</v>
      </c>
      <c r="C506" s="20" t="s">
        <v>2566</v>
      </c>
      <c r="D506" s="20" t="s">
        <v>461</v>
      </c>
      <c r="E506" s="20" t="s">
        <v>2567</v>
      </c>
      <c r="F506" s="20" t="s">
        <v>257</v>
      </c>
      <c r="G506" s="20" t="s">
        <v>257</v>
      </c>
      <c r="H506" s="20" t="s">
        <v>48</v>
      </c>
      <c r="I506" s="20" t="s">
        <v>257</v>
      </c>
      <c r="J506" s="22" t="s">
        <v>2568</v>
      </c>
      <c r="K506" s="22" t="s">
        <v>2568</v>
      </c>
      <c r="L506" s="23" t="s">
        <v>2478</v>
      </c>
      <c r="M506" s="24" t="s">
        <v>7743</v>
      </c>
      <c r="N506" s="23">
        <v>18771000</v>
      </c>
      <c r="O506" s="25" t="s">
        <v>93</v>
      </c>
      <c r="P506" s="25" t="s">
        <v>53</v>
      </c>
      <c r="Q506" s="20" t="s">
        <v>2569</v>
      </c>
      <c r="R506" s="20">
        <v>62144796</v>
      </c>
      <c r="S506" s="25" t="s">
        <v>2570</v>
      </c>
      <c r="T506" s="26" t="s">
        <v>57</v>
      </c>
      <c r="U506" s="23">
        <v>860478064847467</v>
      </c>
      <c r="V506" s="45" t="s">
        <v>110</v>
      </c>
      <c r="W506" s="20" t="s">
        <v>302</v>
      </c>
      <c r="X506" s="20" t="s">
        <v>303</v>
      </c>
      <c r="Y506" s="20" t="s">
        <v>303</v>
      </c>
      <c r="Z506" s="20" t="s">
        <v>80</v>
      </c>
      <c r="AA506" s="20" t="s">
        <v>81</v>
      </c>
      <c r="AB506" s="20" t="s">
        <v>82</v>
      </c>
      <c r="AC506" s="28">
        <v>559.48</v>
      </c>
      <c r="AD506" s="28">
        <f>SUM(BASE[[#This Row],[MONTO DE RENTA ]]*1.16)</f>
        <v>648.99680000000001</v>
      </c>
      <c r="AE506" s="28" t="s">
        <v>83</v>
      </c>
      <c r="AF506" s="28">
        <v>559.48275862068965</v>
      </c>
      <c r="AG506" s="28">
        <v>649</v>
      </c>
      <c r="AH506" s="22" t="s">
        <v>64</v>
      </c>
      <c r="AI506" s="63">
        <v>45703</v>
      </c>
      <c r="AJ506" s="63">
        <v>46433</v>
      </c>
      <c r="AK5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6" s="30"/>
      <c r="AN506" s="20" t="s">
        <v>65</v>
      </c>
      <c r="AP506" s="20" t="s">
        <v>84</v>
      </c>
    </row>
    <row r="507" spans="1:43" ht="16">
      <c r="A507" s="20">
        <v>4921406872</v>
      </c>
      <c r="B507" s="21">
        <v>1059235</v>
      </c>
      <c r="C507" s="20" t="s">
        <v>2476</v>
      </c>
      <c r="D507" s="20" t="s">
        <v>1789</v>
      </c>
      <c r="E507" s="20" t="s">
        <v>817</v>
      </c>
      <c r="F507" s="20" t="s">
        <v>104</v>
      </c>
      <c r="G507" s="20" t="s">
        <v>104</v>
      </c>
      <c r="H507" s="20" t="s">
        <v>48</v>
      </c>
      <c r="I507" s="20" t="s">
        <v>104</v>
      </c>
      <c r="J507" s="22" t="s">
        <v>2477</v>
      </c>
      <c r="K507" s="22" t="s">
        <v>2477</v>
      </c>
      <c r="L507" s="23" t="s">
        <v>2478</v>
      </c>
      <c r="M507" s="24" t="s">
        <v>7743</v>
      </c>
      <c r="N507" s="23">
        <v>18677000</v>
      </c>
      <c r="O507" s="25" t="s">
        <v>93</v>
      </c>
      <c r="P507" s="25" t="s">
        <v>53</v>
      </c>
      <c r="Q507" s="20" t="s">
        <v>2571</v>
      </c>
      <c r="R507" s="20">
        <v>62144797</v>
      </c>
      <c r="S507" s="25" t="s">
        <v>2572</v>
      </c>
      <c r="T507" s="26" t="s">
        <v>57</v>
      </c>
      <c r="U507" s="23">
        <v>860478064859108</v>
      </c>
      <c r="V507" s="45" t="s">
        <v>110</v>
      </c>
      <c r="W507" s="20" t="s">
        <v>302</v>
      </c>
      <c r="X507" s="20" t="s">
        <v>303</v>
      </c>
      <c r="Y507" s="20" t="s">
        <v>303</v>
      </c>
      <c r="Z507" s="20" t="s">
        <v>60</v>
      </c>
      <c r="AA507" s="20" t="s">
        <v>61</v>
      </c>
      <c r="AB507" s="20" t="s">
        <v>96</v>
      </c>
      <c r="AC507" s="28">
        <v>369.83</v>
      </c>
      <c r="AD507" s="28">
        <f>SUM(BASE[[#This Row],[MONTO DE RENTA ]]*1.16)</f>
        <v>429.00279999999998</v>
      </c>
      <c r="AE507" s="28" t="s">
        <v>97</v>
      </c>
      <c r="AF507" s="28">
        <v>473.27586206896552</v>
      </c>
      <c r="AG507" s="28">
        <v>549</v>
      </c>
      <c r="AH507" s="22" t="s">
        <v>64</v>
      </c>
      <c r="AI507" s="63">
        <v>45703</v>
      </c>
      <c r="AJ507" s="63">
        <v>46433</v>
      </c>
      <c r="AK5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07" s="30"/>
      <c r="AN507" s="20" t="s">
        <v>65</v>
      </c>
      <c r="AP507" s="20" t="s">
        <v>66</v>
      </c>
    </row>
    <row r="508" spans="1:43" ht="16">
      <c r="A508" s="20">
        <v>5575006843</v>
      </c>
      <c r="B508" s="49">
        <v>990047</v>
      </c>
      <c r="C508" s="20" t="s">
        <v>1003</v>
      </c>
      <c r="D508" s="20" t="s">
        <v>102</v>
      </c>
      <c r="E508" s="20" t="s">
        <v>627</v>
      </c>
      <c r="F508" s="20" t="s">
        <v>1004</v>
      </c>
      <c r="G508" s="20" t="s">
        <v>1004</v>
      </c>
      <c r="H508" s="20" t="s">
        <v>48</v>
      </c>
      <c r="I508" s="20" t="s">
        <v>1004</v>
      </c>
      <c r="J508" s="54" t="s">
        <v>2573</v>
      </c>
      <c r="K508" s="54" t="s">
        <v>2573</v>
      </c>
      <c r="L508" s="23" t="s">
        <v>2574</v>
      </c>
      <c r="M508" s="24" t="s">
        <v>7747</v>
      </c>
      <c r="N508" s="23">
        <v>18679000</v>
      </c>
      <c r="O508" s="25" t="s">
        <v>52</v>
      </c>
      <c r="P508" s="25" t="s">
        <v>53</v>
      </c>
      <c r="Q508" s="20" t="s">
        <v>2575</v>
      </c>
      <c r="R508" s="20">
        <v>91076430</v>
      </c>
      <c r="S508" s="25" t="s">
        <v>2576</v>
      </c>
      <c r="T508" s="44" t="s">
        <v>57</v>
      </c>
      <c r="U508" s="23">
        <v>865356065729881</v>
      </c>
      <c r="V508" s="27" t="s">
        <v>57</v>
      </c>
      <c r="W508" s="20" t="s">
        <v>129</v>
      </c>
      <c r="X508" s="20" t="s">
        <v>130</v>
      </c>
      <c r="Y508" s="20" t="s">
        <v>130</v>
      </c>
      <c r="Z508" s="20" t="s">
        <v>60</v>
      </c>
      <c r="AA508" s="20" t="s">
        <v>61</v>
      </c>
      <c r="AB508" s="20" t="s">
        <v>96</v>
      </c>
      <c r="AC508" s="28">
        <v>369.83</v>
      </c>
      <c r="AD508" s="28">
        <f>SUM(BASE[[#This Row],[MONTO DE RENTA ]]*1.16)</f>
        <v>429.00279999999998</v>
      </c>
      <c r="AE508" s="28" t="s">
        <v>63</v>
      </c>
      <c r="AF508" s="28">
        <v>369.82758620689657</v>
      </c>
      <c r="AG508" s="28">
        <v>429</v>
      </c>
      <c r="AH508" s="22" t="s">
        <v>140</v>
      </c>
      <c r="AI508" s="63">
        <v>45967</v>
      </c>
      <c r="AJ508" s="63">
        <v>46697</v>
      </c>
      <c r="AK508" s="30">
        <f ca="1">IFERROR(IF(BASE[[#This Row],[FECHA DE RENOVACION ]]&gt;TODAY(), DATEDIF(TODAY(),BASE[[#This Row],[FECHA DE RENOVACION ]],"M"), -DATEDIF(BASE[[#This Row],[FECHA DE RENOVACION ]],TODAY(),"M")), "Sin fecha")</f>
        <v>20</v>
      </c>
      <c r="AM508" s="30" t="s">
        <v>2577</v>
      </c>
      <c r="AN508" s="20" t="s">
        <v>65</v>
      </c>
      <c r="AP508" s="20" t="s">
        <v>84</v>
      </c>
    </row>
    <row r="509" spans="1:43" ht="16">
      <c r="A509" s="20">
        <v>4925444387</v>
      </c>
      <c r="B509" s="49">
        <v>710091</v>
      </c>
      <c r="C509" s="20" t="s">
        <v>2578</v>
      </c>
      <c r="D509" s="20" t="s">
        <v>135</v>
      </c>
      <c r="E509" s="20" t="s">
        <v>1789</v>
      </c>
      <c r="F509" s="20" t="s">
        <v>70</v>
      </c>
      <c r="G509" s="20" t="s">
        <v>70</v>
      </c>
      <c r="H509" s="20" t="s">
        <v>48</v>
      </c>
      <c r="I509" s="20" t="s">
        <v>70</v>
      </c>
      <c r="J509" s="22" t="s">
        <v>2579</v>
      </c>
      <c r="K509" s="22" t="s">
        <v>2579</v>
      </c>
      <c r="L509" s="23" t="s">
        <v>2478</v>
      </c>
      <c r="M509" s="24" t="s">
        <v>7743</v>
      </c>
      <c r="N509" s="23">
        <v>11161000</v>
      </c>
      <c r="O509" s="25" t="s">
        <v>93</v>
      </c>
      <c r="P509" s="25" t="s">
        <v>53</v>
      </c>
      <c r="Q509" s="20" t="s">
        <v>2580</v>
      </c>
      <c r="R509" s="20">
        <v>62025800</v>
      </c>
      <c r="S509" s="25" t="s">
        <v>55</v>
      </c>
      <c r="T509" s="26" t="s">
        <v>56</v>
      </c>
      <c r="U509" s="23">
        <v>357894929516057</v>
      </c>
      <c r="V509" s="27" t="s">
        <v>78</v>
      </c>
      <c r="W509" s="20" t="s">
        <v>95</v>
      </c>
      <c r="X509" s="20" t="s">
        <v>95</v>
      </c>
      <c r="Y509" s="20" t="s">
        <v>95</v>
      </c>
      <c r="Z509" s="20" t="s">
        <v>60</v>
      </c>
      <c r="AA509" s="20" t="s">
        <v>61</v>
      </c>
      <c r="AB509" s="20" t="s">
        <v>82</v>
      </c>
      <c r="AC509" s="28">
        <v>559.48</v>
      </c>
      <c r="AD509" s="28">
        <f>SUM(BASE[[#This Row],[MONTO DE RENTA ]]*1.16)</f>
        <v>648.99680000000001</v>
      </c>
      <c r="AE509" s="28" t="s">
        <v>83</v>
      </c>
      <c r="AF509" s="28">
        <v>559.48275862068965</v>
      </c>
      <c r="AG509" s="28">
        <v>649</v>
      </c>
      <c r="AI509" s="63">
        <v>44937</v>
      </c>
      <c r="AJ509" s="73">
        <v>46043</v>
      </c>
      <c r="AK50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09" s="30"/>
      <c r="AN509" s="20" t="s">
        <v>99</v>
      </c>
      <c r="AP509" s="20" t="s">
        <v>84</v>
      </c>
      <c r="AQ509" s="20" t="s">
        <v>100</v>
      </c>
    </row>
    <row r="510" spans="1:43" ht="16">
      <c r="A510" s="20">
        <v>5541448076</v>
      </c>
      <c r="B510" s="21">
        <v>1007132</v>
      </c>
      <c r="C510" s="20" t="s">
        <v>2581</v>
      </c>
      <c r="D510" s="20" t="s">
        <v>657</v>
      </c>
      <c r="E510" s="20" t="s">
        <v>2582</v>
      </c>
      <c r="F510" s="20" t="s">
        <v>704</v>
      </c>
      <c r="G510" s="20" t="s">
        <v>704</v>
      </c>
      <c r="H510" s="20" t="s">
        <v>48</v>
      </c>
      <c r="I510" s="20" t="s">
        <v>704</v>
      </c>
      <c r="J510" s="22" t="s">
        <v>2583</v>
      </c>
      <c r="K510" s="22" t="s">
        <v>2583</v>
      </c>
      <c r="L510" s="23" t="s">
        <v>2574</v>
      </c>
      <c r="M510" s="24" t="s">
        <v>7747</v>
      </c>
      <c r="N510" s="23">
        <v>18679000</v>
      </c>
      <c r="O510" s="25" t="s">
        <v>52</v>
      </c>
      <c r="P510" s="25" t="s">
        <v>53</v>
      </c>
      <c r="Q510" s="20" t="s">
        <v>2584</v>
      </c>
      <c r="R510" s="20">
        <v>96071060</v>
      </c>
      <c r="S510" s="25" t="s">
        <v>2585</v>
      </c>
      <c r="T510" s="26" t="s">
        <v>57</v>
      </c>
      <c r="U510" s="23">
        <v>865356065730236</v>
      </c>
      <c r="V510" s="27" t="s">
        <v>183</v>
      </c>
      <c r="W510" s="20" t="s">
        <v>129</v>
      </c>
      <c r="X510" s="20" t="s">
        <v>130</v>
      </c>
      <c r="Y510" s="20" t="s">
        <v>130</v>
      </c>
      <c r="Z510" s="20" t="s">
        <v>60</v>
      </c>
      <c r="AA510" s="20" t="s">
        <v>61</v>
      </c>
      <c r="AB510" s="20" t="s">
        <v>96</v>
      </c>
      <c r="AC510" s="28">
        <v>369.83</v>
      </c>
      <c r="AD510" s="28">
        <f>SUM(BASE[[#This Row],[MONTO DE RENTA ]]*1.16)</f>
        <v>429.00279999999998</v>
      </c>
      <c r="AE510" s="28" t="s">
        <v>63</v>
      </c>
      <c r="AF510" s="28">
        <v>369.82758620689657</v>
      </c>
      <c r="AG510" s="28">
        <v>429</v>
      </c>
      <c r="AI510" s="63">
        <v>44937</v>
      </c>
      <c r="AJ510" s="84">
        <v>46054</v>
      </c>
      <c r="AK51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10" s="30"/>
      <c r="AN510" s="20" t="s">
        <v>99</v>
      </c>
      <c r="AP510" s="20" t="s">
        <v>84</v>
      </c>
      <c r="AQ510" s="20" t="s">
        <v>100</v>
      </c>
    </row>
    <row r="511" spans="1:43" ht="16">
      <c r="A511" s="20">
        <v>5554053959</v>
      </c>
      <c r="B511" s="49">
        <v>460067</v>
      </c>
      <c r="C511" s="20" t="s">
        <v>2586</v>
      </c>
      <c r="D511" s="20" t="s">
        <v>437</v>
      </c>
      <c r="E511" s="20" t="s">
        <v>937</v>
      </c>
      <c r="F511" s="20" t="s">
        <v>704</v>
      </c>
      <c r="G511" s="20" t="s">
        <v>704</v>
      </c>
      <c r="H511" s="20" t="s">
        <v>48</v>
      </c>
      <c r="I511" s="20" t="s">
        <v>704</v>
      </c>
      <c r="J511" s="22" t="s">
        <v>2583</v>
      </c>
      <c r="K511" s="22" t="s">
        <v>2583</v>
      </c>
      <c r="L511" s="23" t="s">
        <v>2574</v>
      </c>
      <c r="M511" s="24" t="s">
        <v>7747</v>
      </c>
      <c r="N511" s="23">
        <v>18679000</v>
      </c>
      <c r="O511" s="25" t="s">
        <v>52</v>
      </c>
      <c r="P511" s="25" t="s">
        <v>53</v>
      </c>
      <c r="Q511" s="20" t="s">
        <v>2587</v>
      </c>
      <c r="R511" s="20">
        <v>91493480</v>
      </c>
      <c r="S511" s="25" t="s">
        <v>55</v>
      </c>
      <c r="T511" s="26" t="s">
        <v>56</v>
      </c>
      <c r="U511" s="23">
        <v>865356065730236</v>
      </c>
      <c r="V511" s="27" t="s">
        <v>183</v>
      </c>
      <c r="W511" s="20" t="s">
        <v>129</v>
      </c>
      <c r="X511" s="20" t="s">
        <v>130</v>
      </c>
      <c r="Y511" s="20" t="s">
        <v>130</v>
      </c>
      <c r="Z511" s="20" t="s">
        <v>60</v>
      </c>
      <c r="AA511" s="20" t="s">
        <v>61</v>
      </c>
      <c r="AB511" s="20" t="s">
        <v>96</v>
      </c>
      <c r="AC511" s="28">
        <v>369.83</v>
      </c>
      <c r="AD511" s="28">
        <f>SUM(BASE[[#This Row],[MONTO DE RENTA ]]*1.16)</f>
        <v>429.00279999999998</v>
      </c>
      <c r="AE511" s="28" t="s">
        <v>63</v>
      </c>
      <c r="AF511" s="28">
        <v>369.82758620689657</v>
      </c>
      <c r="AG511" s="28">
        <v>429</v>
      </c>
      <c r="AH511" s="36" t="s">
        <v>64</v>
      </c>
      <c r="AI511" s="84">
        <v>45323</v>
      </c>
      <c r="AJ511" s="84">
        <v>46054</v>
      </c>
      <c r="AK5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11" s="30"/>
      <c r="AN511" s="20" t="s">
        <v>99</v>
      </c>
      <c r="AP511" s="20" t="s">
        <v>84</v>
      </c>
      <c r="AQ511" s="20" t="s">
        <v>100</v>
      </c>
    </row>
    <row r="512" spans="1:43" ht="16">
      <c r="A512" s="20">
        <v>5541339554</v>
      </c>
      <c r="B512" s="49">
        <v>997641</v>
      </c>
      <c r="C512" s="20" t="s">
        <v>2588</v>
      </c>
      <c r="D512" s="20" t="s">
        <v>1057</v>
      </c>
      <c r="E512" s="20" t="s">
        <v>1309</v>
      </c>
      <c r="F512" s="20" t="s">
        <v>2589</v>
      </c>
      <c r="G512" s="20" t="s">
        <v>2589</v>
      </c>
      <c r="H512" s="20" t="s">
        <v>48</v>
      </c>
      <c r="I512" s="20" t="s">
        <v>2589</v>
      </c>
      <c r="J512" s="22" t="s">
        <v>2583</v>
      </c>
      <c r="K512" s="22" t="s">
        <v>2583</v>
      </c>
      <c r="L512" s="23" t="s">
        <v>2574</v>
      </c>
      <c r="M512" s="24" t="s">
        <v>7747</v>
      </c>
      <c r="N512" s="23">
        <v>18679000</v>
      </c>
      <c r="O512" s="25" t="s">
        <v>52</v>
      </c>
      <c r="P512" s="25" t="s">
        <v>53</v>
      </c>
      <c r="Q512" s="20" t="s">
        <v>2590</v>
      </c>
      <c r="R512" s="20">
        <v>96071057</v>
      </c>
      <c r="S512" s="25" t="s">
        <v>55</v>
      </c>
      <c r="T512" s="26" t="s">
        <v>56</v>
      </c>
      <c r="U512" s="23">
        <v>865356065730236</v>
      </c>
      <c r="V512" s="27" t="s">
        <v>183</v>
      </c>
      <c r="W512" s="20" t="s">
        <v>129</v>
      </c>
      <c r="X512" s="20" t="s">
        <v>130</v>
      </c>
      <c r="Y512" s="20" t="s">
        <v>130</v>
      </c>
      <c r="Z512" s="20" t="s">
        <v>60</v>
      </c>
      <c r="AA512" s="20" t="s">
        <v>61</v>
      </c>
      <c r="AB512" s="20" t="s">
        <v>96</v>
      </c>
      <c r="AC512" s="28">
        <v>369.83</v>
      </c>
      <c r="AD512" s="28">
        <f>SUM(BASE[[#This Row],[MONTO DE RENTA ]]*1.16)</f>
        <v>429.00279999999998</v>
      </c>
      <c r="AE512" s="28" t="s">
        <v>63</v>
      </c>
      <c r="AF512" s="28">
        <v>369.82758620689657</v>
      </c>
      <c r="AG512" s="28">
        <v>429</v>
      </c>
      <c r="AH512" s="36" t="s">
        <v>64</v>
      </c>
      <c r="AI512" s="84">
        <v>45323</v>
      </c>
      <c r="AJ512" s="84">
        <v>46054</v>
      </c>
      <c r="AK5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12" s="30"/>
      <c r="AN512" s="20" t="s">
        <v>99</v>
      </c>
      <c r="AP512" s="20" t="s">
        <v>84</v>
      </c>
      <c r="AQ512" s="20" t="s">
        <v>100</v>
      </c>
    </row>
    <row r="513" spans="1:43" ht="16">
      <c r="A513" s="20">
        <v>5575006844</v>
      </c>
      <c r="B513" s="49">
        <v>650403</v>
      </c>
      <c r="C513" s="20" t="s">
        <v>2591</v>
      </c>
      <c r="D513" s="20" t="s">
        <v>437</v>
      </c>
      <c r="E513" s="20" t="s">
        <v>2592</v>
      </c>
      <c r="F513" s="20" t="s">
        <v>2589</v>
      </c>
      <c r="G513" s="20" t="s">
        <v>2589</v>
      </c>
      <c r="H513" s="20" t="s">
        <v>48</v>
      </c>
      <c r="I513" s="20" t="s">
        <v>2589</v>
      </c>
      <c r="J513" s="22" t="s">
        <v>2573</v>
      </c>
      <c r="K513" s="22" t="s">
        <v>2573</v>
      </c>
      <c r="L513" s="23" t="s">
        <v>2574</v>
      </c>
      <c r="M513" s="24" t="s">
        <v>7747</v>
      </c>
      <c r="N513" s="23">
        <v>18679000</v>
      </c>
      <c r="O513" s="25" t="s">
        <v>52</v>
      </c>
      <c r="P513" s="25" t="s">
        <v>53</v>
      </c>
      <c r="Q513" s="20" t="s">
        <v>2593</v>
      </c>
      <c r="R513" s="20">
        <v>91076436</v>
      </c>
      <c r="S513" s="25" t="s">
        <v>55</v>
      </c>
      <c r="T513" s="26" t="s">
        <v>56</v>
      </c>
      <c r="U513" s="23">
        <v>865356065729881</v>
      </c>
      <c r="V513" s="27" t="s">
        <v>183</v>
      </c>
      <c r="W513" s="20" t="s">
        <v>129</v>
      </c>
      <c r="X513" s="20" t="s">
        <v>130</v>
      </c>
      <c r="Y513" s="20" t="s">
        <v>130</v>
      </c>
      <c r="Z513" s="20" t="s">
        <v>60</v>
      </c>
      <c r="AA513" s="20" t="s">
        <v>61</v>
      </c>
      <c r="AB513" s="20" t="s">
        <v>96</v>
      </c>
      <c r="AC513" s="28">
        <v>369.83</v>
      </c>
      <c r="AD513" s="28">
        <f>SUM(BASE[[#This Row],[MONTO DE RENTA ]]*1.16)</f>
        <v>429.00279999999998</v>
      </c>
      <c r="AE513" s="28" t="s">
        <v>63</v>
      </c>
      <c r="AF513" s="28">
        <v>369.82758620689657</v>
      </c>
      <c r="AG513" s="28">
        <v>429</v>
      </c>
      <c r="AH513" s="36" t="s">
        <v>140</v>
      </c>
      <c r="AI513" s="84">
        <v>46071</v>
      </c>
      <c r="AJ513" s="84">
        <v>46801</v>
      </c>
      <c r="AK513" s="30">
        <f ca="1">IFERROR(IF(BASE[[#This Row],[FECHA DE RENOVACION ]]&gt;TODAY(), DATEDIF(TODAY(),BASE[[#This Row],[FECHA DE RENOVACION ]],"M"), -DATEDIF(BASE[[#This Row],[FECHA DE RENOVACION ]],TODAY(),"M")), "Sin fecha")</f>
        <v>23</v>
      </c>
      <c r="AM513" s="30"/>
      <c r="AN513" s="20" t="s">
        <v>2594</v>
      </c>
      <c r="AP513" s="20" t="s">
        <v>84</v>
      </c>
      <c r="AQ513" s="20" t="s">
        <v>100</v>
      </c>
    </row>
    <row r="514" spans="1:43" ht="16">
      <c r="A514" s="20">
        <v>5541402697</v>
      </c>
      <c r="B514" s="49">
        <v>1013702</v>
      </c>
      <c r="C514" s="20" t="s">
        <v>964</v>
      </c>
      <c r="D514" s="20" t="s">
        <v>965</v>
      </c>
      <c r="E514" s="20" t="s">
        <v>657</v>
      </c>
      <c r="F514" s="20" t="s">
        <v>761</v>
      </c>
      <c r="G514" s="20" t="s">
        <v>761</v>
      </c>
      <c r="H514" s="20" t="s">
        <v>48</v>
      </c>
      <c r="I514" s="20" t="s">
        <v>761</v>
      </c>
      <c r="J514" s="54" t="s">
        <v>2595</v>
      </c>
      <c r="K514" s="22" t="s">
        <v>2595</v>
      </c>
      <c r="L514" s="23" t="s">
        <v>92</v>
      </c>
      <c r="M514" s="24" t="s">
        <v>7738</v>
      </c>
      <c r="N514" s="23">
        <v>11306000</v>
      </c>
      <c r="O514" s="25" t="s">
        <v>52</v>
      </c>
      <c r="P514" s="25" t="s">
        <v>53</v>
      </c>
      <c r="Q514" s="20" t="s">
        <v>2596</v>
      </c>
      <c r="R514" s="20">
        <v>91076387</v>
      </c>
      <c r="S514" s="25" t="s">
        <v>55</v>
      </c>
      <c r="T514" s="44" t="s">
        <v>56</v>
      </c>
      <c r="U514" s="23" t="s">
        <v>193</v>
      </c>
      <c r="V514" s="27" t="s">
        <v>183</v>
      </c>
      <c r="W514" s="20" t="s">
        <v>194</v>
      </c>
      <c r="X514" s="20" t="s">
        <v>194</v>
      </c>
      <c r="Y514" s="20" t="s">
        <v>194</v>
      </c>
      <c r="Z514" s="20" t="s">
        <v>60</v>
      </c>
      <c r="AA514" s="20" t="s">
        <v>61</v>
      </c>
      <c r="AB514" s="20" t="s">
        <v>96</v>
      </c>
      <c r="AC514" s="28">
        <v>369.83</v>
      </c>
      <c r="AD514" s="28">
        <f>SUM(BASE[[#This Row],[MONTO DE RENTA ]]*1.16)</f>
        <v>429.00279999999998</v>
      </c>
      <c r="AE514" s="28" t="s">
        <v>63</v>
      </c>
      <c r="AF514" s="28">
        <v>369.82758620689657</v>
      </c>
      <c r="AG514" s="28">
        <v>429</v>
      </c>
      <c r="AH514" s="22" t="s">
        <v>64</v>
      </c>
      <c r="AI514" s="63">
        <v>45323</v>
      </c>
      <c r="AJ514" s="63">
        <v>46054</v>
      </c>
      <c r="AK51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14" s="30"/>
      <c r="AN514" s="20" t="s">
        <v>99</v>
      </c>
      <c r="AP514" s="20" t="s">
        <v>84</v>
      </c>
      <c r="AQ514" s="20" t="s">
        <v>100</v>
      </c>
    </row>
    <row r="515" spans="1:43" ht="16">
      <c r="A515" s="20">
        <v>6871835943</v>
      </c>
      <c r="B515" s="49">
        <v>1057023</v>
      </c>
      <c r="C515" s="20" t="s">
        <v>663</v>
      </c>
      <c r="D515" s="20" t="s">
        <v>946</v>
      </c>
      <c r="E515" s="20" t="s">
        <v>1822</v>
      </c>
      <c r="F515" s="20" t="s">
        <v>104</v>
      </c>
      <c r="G515" s="20" t="s">
        <v>104</v>
      </c>
      <c r="H515" s="20" t="s">
        <v>48</v>
      </c>
      <c r="I515" s="20" t="s">
        <v>104</v>
      </c>
      <c r="J515" s="22" t="s">
        <v>2597</v>
      </c>
      <c r="K515" s="22" t="s">
        <v>2597</v>
      </c>
      <c r="L515" s="23" t="s">
        <v>2598</v>
      </c>
      <c r="M515" s="24" t="s">
        <v>7740</v>
      </c>
      <c r="N515" s="23">
        <v>18682000</v>
      </c>
      <c r="O515" s="25" t="s">
        <v>866</v>
      </c>
      <c r="P515" s="25" t="s">
        <v>53</v>
      </c>
      <c r="Q515" s="20" t="s">
        <v>2599</v>
      </c>
      <c r="R515" s="20">
        <v>22275208</v>
      </c>
      <c r="S515" s="25" t="s">
        <v>55</v>
      </c>
      <c r="T515" s="26" t="s">
        <v>56</v>
      </c>
      <c r="U515" s="23">
        <v>865356065669897</v>
      </c>
      <c r="V515" s="27" t="s">
        <v>183</v>
      </c>
      <c r="W515" s="20" t="s">
        <v>129</v>
      </c>
      <c r="X515" s="20" t="s">
        <v>130</v>
      </c>
      <c r="Y515" s="20" t="s">
        <v>130</v>
      </c>
      <c r="Z515" s="20" t="s">
        <v>60</v>
      </c>
      <c r="AA515" s="20" t="s">
        <v>61</v>
      </c>
      <c r="AB515" s="20" t="s">
        <v>96</v>
      </c>
      <c r="AC515" s="28">
        <v>369.83</v>
      </c>
      <c r="AD515" s="28">
        <f>SUM(BASE[[#This Row],[MONTO DE RENTA ]]*1.16)</f>
        <v>429.00279999999998</v>
      </c>
      <c r="AE515" s="28" t="s">
        <v>63</v>
      </c>
      <c r="AF515" s="28">
        <v>369.82758620689657</v>
      </c>
      <c r="AG515" s="28">
        <v>429</v>
      </c>
      <c r="AI515" s="29">
        <v>44937</v>
      </c>
      <c r="AJ515" s="29">
        <v>46043</v>
      </c>
      <c r="AK51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15" s="30"/>
      <c r="AN515" s="20" t="s">
        <v>99</v>
      </c>
      <c r="AP515" s="20" t="s">
        <v>84</v>
      </c>
      <c r="AQ515" s="20" t="s">
        <v>100</v>
      </c>
    </row>
    <row r="516" spans="1:43" ht="16">
      <c r="A516" s="20">
        <v>6871579678</v>
      </c>
      <c r="B516" s="21">
        <v>1004663</v>
      </c>
      <c r="C516" s="20" t="s">
        <v>2600</v>
      </c>
      <c r="D516" s="20" t="s">
        <v>1167</v>
      </c>
      <c r="E516" s="20" t="s">
        <v>686</v>
      </c>
      <c r="F516" s="20" t="s">
        <v>451</v>
      </c>
      <c r="G516" s="20" t="s">
        <v>47</v>
      </c>
      <c r="H516" s="20" t="s">
        <v>48</v>
      </c>
      <c r="I516" s="20" t="s">
        <v>451</v>
      </c>
      <c r="J516" s="22" t="s">
        <v>2601</v>
      </c>
      <c r="K516" s="22" t="s">
        <v>2601</v>
      </c>
      <c r="L516" s="23" t="s">
        <v>2598</v>
      </c>
      <c r="M516" s="24" t="s">
        <v>7740</v>
      </c>
      <c r="N516" s="23">
        <v>18682000</v>
      </c>
      <c r="O516" s="25" t="s">
        <v>866</v>
      </c>
      <c r="P516" s="25" t="s">
        <v>53</v>
      </c>
      <c r="Q516" s="20" t="s">
        <v>2602</v>
      </c>
      <c r="R516" s="20">
        <v>22134976</v>
      </c>
      <c r="S516" s="25" t="s">
        <v>2603</v>
      </c>
      <c r="T516" s="26" t="s">
        <v>57</v>
      </c>
      <c r="U516" s="23">
        <v>860900062731971</v>
      </c>
      <c r="V516" s="27" t="s">
        <v>57</v>
      </c>
      <c r="W516" s="20" t="s">
        <v>58</v>
      </c>
      <c r="X516" s="20" t="s">
        <v>59</v>
      </c>
      <c r="Y516" s="20" t="s">
        <v>59</v>
      </c>
      <c r="Z516" s="20" t="s">
        <v>131</v>
      </c>
      <c r="AA516" s="20" t="s">
        <v>132</v>
      </c>
      <c r="AB516" s="20" t="s">
        <v>96</v>
      </c>
      <c r="AC516" s="28">
        <v>369.83</v>
      </c>
      <c r="AD516" s="28">
        <f>SUM(BASE[[#This Row],[MONTO DE RENTA ]]*1.16)</f>
        <v>429.00279999999998</v>
      </c>
      <c r="AE516" s="28" t="s">
        <v>63</v>
      </c>
      <c r="AF516" s="28">
        <v>369.82758620689657</v>
      </c>
      <c r="AG516" s="28">
        <v>429</v>
      </c>
      <c r="AH516" s="22" t="s">
        <v>64</v>
      </c>
      <c r="AI516" s="63">
        <v>45703</v>
      </c>
      <c r="AJ516" s="63">
        <v>46433</v>
      </c>
      <c r="AK5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16" s="30"/>
      <c r="AN516" s="20" t="s">
        <v>65</v>
      </c>
      <c r="AP516" s="20" t="s">
        <v>84</v>
      </c>
    </row>
    <row r="517" spans="1:43" ht="16">
      <c r="A517" s="20">
        <v>6871747834</v>
      </c>
      <c r="B517" s="21">
        <v>1020808</v>
      </c>
      <c r="C517" s="20" t="s">
        <v>2604</v>
      </c>
      <c r="D517" s="20" t="s">
        <v>2161</v>
      </c>
      <c r="E517" s="20" t="s">
        <v>216</v>
      </c>
      <c r="F517" s="20" t="s">
        <v>248</v>
      </c>
      <c r="G517" s="20" t="s">
        <v>248</v>
      </c>
      <c r="H517" s="20" t="s">
        <v>48</v>
      </c>
      <c r="I517" s="20" t="s">
        <v>248</v>
      </c>
      <c r="J517" s="22" t="s">
        <v>2605</v>
      </c>
      <c r="K517" s="22" t="s">
        <v>2605</v>
      </c>
      <c r="L517" s="23" t="s">
        <v>2598</v>
      </c>
      <c r="M517" s="24" t="s">
        <v>7740</v>
      </c>
      <c r="N517" s="23">
        <v>18682000</v>
      </c>
      <c r="O517" s="25" t="s">
        <v>866</v>
      </c>
      <c r="P517" s="25" t="s">
        <v>53</v>
      </c>
      <c r="Q517" s="20" t="s">
        <v>2606</v>
      </c>
      <c r="R517" s="20">
        <v>22080293</v>
      </c>
      <c r="S517" s="25" t="s">
        <v>2607</v>
      </c>
      <c r="T517" s="26" t="s">
        <v>57</v>
      </c>
      <c r="U517" s="23">
        <v>860900062732060</v>
      </c>
      <c r="V517" s="27" t="s">
        <v>57</v>
      </c>
      <c r="W517" s="20" t="s">
        <v>58</v>
      </c>
      <c r="X517" s="20" t="s">
        <v>59</v>
      </c>
      <c r="Y517" s="20" t="s">
        <v>59</v>
      </c>
      <c r="Z517" s="20" t="s">
        <v>131</v>
      </c>
      <c r="AA517" s="20" t="s">
        <v>132</v>
      </c>
      <c r="AB517" s="20" t="s">
        <v>96</v>
      </c>
      <c r="AC517" s="28">
        <v>369.83</v>
      </c>
      <c r="AD517" s="28">
        <f>SUM(BASE[[#This Row],[MONTO DE RENTA ]]*1.16)</f>
        <v>429.00279999999998</v>
      </c>
      <c r="AE517" s="28" t="s">
        <v>63</v>
      </c>
      <c r="AF517" s="28">
        <v>369.82758620689657</v>
      </c>
      <c r="AG517" s="28">
        <v>429</v>
      </c>
      <c r="AH517" s="22" t="s">
        <v>64</v>
      </c>
      <c r="AI517" s="63">
        <v>45703</v>
      </c>
      <c r="AJ517" s="63">
        <v>46433</v>
      </c>
      <c r="AK5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17" s="30"/>
      <c r="AN517" s="20" t="s">
        <v>65</v>
      </c>
      <c r="AP517" s="20" t="s">
        <v>84</v>
      </c>
    </row>
    <row r="518" spans="1:43" ht="16">
      <c r="A518" s="20">
        <v>6871747915</v>
      </c>
      <c r="B518" s="21">
        <v>999992</v>
      </c>
      <c r="C518" s="20" t="s">
        <v>1467</v>
      </c>
      <c r="D518" s="20" t="s">
        <v>657</v>
      </c>
      <c r="E518" s="20" t="s">
        <v>2608</v>
      </c>
      <c r="F518" s="20" t="s">
        <v>257</v>
      </c>
      <c r="G518" s="20" t="s">
        <v>257</v>
      </c>
      <c r="H518" s="20" t="s">
        <v>48</v>
      </c>
      <c r="I518" s="20" t="s">
        <v>257</v>
      </c>
      <c r="J518" s="22" t="s">
        <v>2609</v>
      </c>
      <c r="K518" s="22" t="s">
        <v>2609</v>
      </c>
      <c r="L518" s="23" t="s">
        <v>2598</v>
      </c>
      <c r="M518" s="24" t="s">
        <v>7740</v>
      </c>
      <c r="N518" s="23">
        <v>18682000</v>
      </c>
      <c r="O518" s="25" t="s">
        <v>866</v>
      </c>
      <c r="P518" s="25" t="s">
        <v>53</v>
      </c>
      <c r="Q518" s="20" t="s">
        <v>2610</v>
      </c>
      <c r="R518" s="20">
        <v>22083132</v>
      </c>
      <c r="S518" s="25" t="s">
        <v>2611</v>
      </c>
      <c r="T518" s="26" t="s">
        <v>57</v>
      </c>
      <c r="U518" s="23">
        <v>860478064065078</v>
      </c>
      <c r="V518" s="45" t="s">
        <v>110</v>
      </c>
      <c r="W518" s="20" t="s">
        <v>302</v>
      </c>
      <c r="X518" s="20" t="s">
        <v>303</v>
      </c>
      <c r="Y518" s="20" t="s">
        <v>303</v>
      </c>
      <c r="Z518" s="20" t="s">
        <v>131</v>
      </c>
      <c r="AA518" s="20" t="s">
        <v>132</v>
      </c>
      <c r="AB518" s="20" t="s">
        <v>82</v>
      </c>
      <c r="AC518" s="28">
        <v>559.48</v>
      </c>
      <c r="AD518" s="28">
        <f>SUM(BASE[[#This Row],[MONTO DE RENTA ]]*1.16)</f>
        <v>648.99680000000001</v>
      </c>
      <c r="AE518" s="28" t="s">
        <v>83</v>
      </c>
      <c r="AF518" s="28">
        <v>559.48275862068965</v>
      </c>
      <c r="AG518" s="28">
        <v>649</v>
      </c>
      <c r="AH518" s="22" t="s">
        <v>64</v>
      </c>
      <c r="AI518" s="63">
        <v>45703</v>
      </c>
      <c r="AJ518" s="63">
        <v>46433</v>
      </c>
      <c r="AK5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18" s="30"/>
      <c r="AN518" s="20" t="s">
        <v>65</v>
      </c>
      <c r="AP518" s="20" t="s">
        <v>84</v>
      </c>
    </row>
    <row r="519" spans="1:43" ht="16">
      <c r="A519" s="20">
        <v>6871747912</v>
      </c>
      <c r="B519" s="21">
        <v>1057023</v>
      </c>
      <c r="C519" s="20" t="s">
        <v>663</v>
      </c>
      <c r="D519" s="20" t="s">
        <v>946</v>
      </c>
      <c r="E519" s="20" t="s">
        <v>1822</v>
      </c>
      <c r="F519" s="20" t="s">
        <v>104</v>
      </c>
      <c r="G519" s="20" t="s">
        <v>104</v>
      </c>
      <c r="H519" s="20" t="s">
        <v>48</v>
      </c>
      <c r="I519" s="20" t="s">
        <v>104</v>
      </c>
      <c r="J519" s="22" t="s">
        <v>2612</v>
      </c>
      <c r="K519" s="32" t="s">
        <v>2597</v>
      </c>
      <c r="L519" s="23" t="s">
        <v>2598</v>
      </c>
      <c r="M519" s="24" t="s">
        <v>7740</v>
      </c>
      <c r="N519" s="23">
        <v>18682000</v>
      </c>
      <c r="O519" s="25" t="s">
        <v>866</v>
      </c>
      <c r="P519" s="25" t="s">
        <v>53</v>
      </c>
      <c r="Q519" s="20" t="s">
        <v>2613</v>
      </c>
      <c r="R519" s="20">
        <v>22083131</v>
      </c>
      <c r="S519" s="25" t="s">
        <v>2614</v>
      </c>
      <c r="T519" s="26" t="s">
        <v>57</v>
      </c>
      <c r="U519" s="23">
        <v>865356065669897</v>
      </c>
      <c r="V519" s="45" t="s">
        <v>110</v>
      </c>
      <c r="W519" s="20" t="s">
        <v>129</v>
      </c>
      <c r="X519" s="20" t="s">
        <v>130</v>
      </c>
      <c r="Y519" s="20" t="s">
        <v>130</v>
      </c>
      <c r="Z519" s="20" t="s">
        <v>131</v>
      </c>
      <c r="AA519" s="20" t="s">
        <v>132</v>
      </c>
      <c r="AB519" s="20" t="s">
        <v>82</v>
      </c>
      <c r="AC519" s="28">
        <v>559.48</v>
      </c>
      <c r="AD519" s="28">
        <f>SUM(BASE[[#This Row],[MONTO DE RENTA ]]*1.16)</f>
        <v>648.99680000000001</v>
      </c>
      <c r="AE519" s="28" t="s">
        <v>83</v>
      </c>
      <c r="AF519" s="28">
        <v>559.48275862068965</v>
      </c>
      <c r="AG519" s="28">
        <v>649</v>
      </c>
      <c r="AI519" s="63">
        <v>44937</v>
      </c>
      <c r="AJ519" s="84">
        <v>46681</v>
      </c>
      <c r="AK519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519" s="30"/>
      <c r="AN519" s="20" t="s">
        <v>65</v>
      </c>
      <c r="AP519" s="20" t="s">
        <v>84</v>
      </c>
    </row>
    <row r="520" spans="1:43" ht="16">
      <c r="A520" s="20">
        <v>4646549624</v>
      </c>
      <c r="B520" s="49">
        <v>475015</v>
      </c>
      <c r="C520" s="20" t="s">
        <v>285</v>
      </c>
      <c r="D520" s="20" t="s">
        <v>143</v>
      </c>
      <c r="E520" s="20" t="s">
        <v>286</v>
      </c>
      <c r="F520" s="20" t="s">
        <v>47</v>
      </c>
      <c r="G520" s="20" t="s">
        <v>47</v>
      </c>
      <c r="H520" s="20" t="s">
        <v>48</v>
      </c>
      <c r="I520" s="20" t="s">
        <v>47</v>
      </c>
      <c r="J520" s="22" t="s">
        <v>2615</v>
      </c>
      <c r="K520" s="22" t="s">
        <v>2615</v>
      </c>
      <c r="L520" s="23" t="s">
        <v>2616</v>
      </c>
      <c r="M520" s="24" t="s">
        <v>7743</v>
      </c>
      <c r="N520" s="23">
        <v>11137000</v>
      </c>
      <c r="O520" s="25" t="s">
        <v>93</v>
      </c>
      <c r="P520" s="25" t="s">
        <v>53</v>
      </c>
      <c r="Q520" s="20" t="s">
        <v>2617</v>
      </c>
      <c r="R520" s="20">
        <v>61939469</v>
      </c>
      <c r="S520" s="25" t="s">
        <v>55</v>
      </c>
      <c r="T520" s="26" t="s">
        <v>56</v>
      </c>
      <c r="U520" s="23">
        <v>865356065671034</v>
      </c>
      <c r="V520" s="27" t="s">
        <v>183</v>
      </c>
      <c r="W520" s="20" t="s">
        <v>129</v>
      </c>
      <c r="X520" s="20" t="s">
        <v>130</v>
      </c>
      <c r="Y520" s="20" t="s">
        <v>130</v>
      </c>
      <c r="Z520" s="20" t="s">
        <v>60</v>
      </c>
      <c r="AA520" s="20" t="s">
        <v>61</v>
      </c>
      <c r="AB520" s="20" t="s">
        <v>96</v>
      </c>
      <c r="AC520" s="28">
        <v>369.83</v>
      </c>
      <c r="AD520" s="28">
        <f>SUM(BASE[[#This Row],[MONTO DE RENTA ]]*1.16)</f>
        <v>429.00279999999998</v>
      </c>
      <c r="AE520" s="28" t="s">
        <v>63</v>
      </c>
      <c r="AF520" s="28">
        <v>369.82758620689657</v>
      </c>
      <c r="AG520" s="28">
        <v>429</v>
      </c>
      <c r="AI520" s="63">
        <v>44937</v>
      </c>
      <c r="AJ520" s="73">
        <v>46043</v>
      </c>
      <c r="AK5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0" s="30"/>
      <c r="AN520" s="20" t="s">
        <v>99</v>
      </c>
      <c r="AP520" s="20" t="s">
        <v>84</v>
      </c>
      <c r="AQ520" s="20" t="s">
        <v>100</v>
      </c>
    </row>
    <row r="521" spans="1:43" ht="16">
      <c r="A521" s="20">
        <v>6871748679</v>
      </c>
      <c r="B521" s="21">
        <v>270626</v>
      </c>
      <c r="C521" s="20" t="s">
        <v>2618</v>
      </c>
      <c r="D521" s="20" t="s">
        <v>357</v>
      </c>
      <c r="E521" s="20" t="s">
        <v>376</v>
      </c>
      <c r="F521" s="20" t="s">
        <v>70</v>
      </c>
      <c r="G521" s="20" t="s">
        <v>70</v>
      </c>
      <c r="H521" s="20" t="s">
        <v>48</v>
      </c>
      <c r="I521" s="20" t="s">
        <v>70</v>
      </c>
      <c r="J521" s="22" t="s">
        <v>2619</v>
      </c>
      <c r="K521" s="22" t="s">
        <v>2619</v>
      </c>
      <c r="L521" s="23" t="s">
        <v>2598</v>
      </c>
      <c r="M521" s="24" t="s">
        <v>7740</v>
      </c>
      <c r="N521" s="23">
        <v>18670000</v>
      </c>
      <c r="O521" s="25" t="s">
        <v>866</v>
      </c>
      <c r="P521" s="25" t="s">
        <v>53</v>
      </c>
      <c r="Q521" s="20" t="s">
        <v>2620</v>
      </c>
      <c r="R521" s="20">
        <v>22035946</v>
      </c>
      <c r="S521" s="25" t="s">
        <v>2621</v>
      </c>
      <c r="T521" s="26" t="s">
        <v>77</v>
      </c>
      <c r="U521" s="23">
        <v>358366320044590</v>
      </c>
      <c r="V521" s="27" t="s">
        <v>78</v>
      </c>
      <c r="W521" s="20" t="s">
        <v>79</v>
      </c>
      <c r="X521" s="20" t="s">
        <v>79</v>
      </c>
      <c r="Y521" s="20" t="s">
        <v>79</v>
      </c>
      <c r="Z521" s="20" t="s">
        <v>131</v>
      </c>
      <c r="AA521" s="20" t="s">
        <v>132</v>
      </c>
      <c r="AB521" s="20" t="s">
        <v>82</v>
      </c>
      <c r="AC521" s="28">
        <v>559.48</v>
      </c>
      <c r="AD521" s="28">
        <f>SUM(BASE[[#This Row],[MONTO DE RENTA ]]*1.16)</f>
        <v>648.99680000000001</v>
      </c>
      <c r="AE521" s="28" t="s">
        <v>83</v>
      </c>
      <c r="AF521" s="28">
        <v>559.48275862068965</v>
      </c>
      <c r="AG521" s="28">
        <v>649</v>
      </c>
      <c r="AH521" s="22" t="s">
        <v>64</v>
      </c>
      <c r="AI521" s="29">
        <v>45703</v>
      </c>
      <c r="AJ521" s="29">
        <v>46433</v>
      </c>
      <c r="AK5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21" s="30"/>
      <c r="AN521" s="20" t="s">
        <v>65</v>
      </c>
      <c r="AP521" s="20" t="s">
        <v>84</v>
      </c>
    </row>
    <row r="522" spans="1:43" ht="16">
      <c r="A522" s="20">
        <v>5545772679</v>
      </c>
      <c r="B522" s="21">
        <v>1004501</v>
      </c>
      <c r="C522" s="20" t="s">
        <v>2056</v>
      </c>
      <c r="D522" s="20" t="s">
        <v>347</v>
      </c>
      <c r="E522" s="20" t="s">
        <v>293</v>
      </c>
      <c r="F522" s="20" t="s">
        <v>47</v>
      </c>
      <c r="G522" s="20" t="s">
        <v>47</v>
      </c>
      <c r="H522" s="20" t="s">
        <v>48</v>
      </c>
      <c r="I522" s="20" t="s">
        <v>47</v>
      </c>
      <c r="J522" s="22" t="s">
        <v>2622</v>
      </c>
      <c r="K522" s="32" t="s">
        <v>2622</v>
      </c>
      <c r="L522" s="23" t="s">
        <v>2623</v>
      </c>
      <c r="M522" s="24" t="s">
        <v>7736</v>
      </c>
      <c r="N522" s="23">
        <v>18691000</v>
      </c>
      <c r="O522" s="25" t="s">
        <v>52</v>
      </c>
      <c r="P522" s="25" t="s">
        <v>53</v>
      </c>
      <c r="Q522" s="20" t="s">
        <v>2624</v>
      </c>
      <c r="R522" s="20">
        <v>90182404</v>
      </c>
      <c r="S522" s="25" t="s">
        <v>2625</v>
      </c>
      <c r="T522" s="26" t="s">
        <v>57</v>
      </c>
      <c r="U522" s="23">
        <v>860900062323704</v>
      </c>
      <c r="V522" s="27" t="s">
        <v>57</v>
      </c>
      <c r="W522" s="20" t="s">
        <v>58</v>
      </c>
      <c r="X522" s="20" t="s">
        <v>59</v>
      </c>
      <c r="Y522" s="20" t="s">
        <v>59</v>
      </c>
      <c r="Z522" s="20" t="s">
        <v>60</v>
      </c>
      <c r="AA522" s="20" t="s">
        <v>61</v>
      </c>
      <c r="AB522" s="20" t="s">
        <v>96</v>
      </c>
      <c r="AC522" s="28">
        <v>369.83</v>
      </c>
      <c r="AD522" s="28">
        <f>SUM(BASE[[#This Row],[MONTO DE RENTA ]]*1.16)</f>
        <v>429.00279999999998</v>
      </c>
      <c r="AE522" s="28" t="s">
        <v>63</v>
      </c>
      <c r="AF522" s="28">
        <v>369.82758620689657</v>
      </c>
      <c r="AG522" s="28">
        <v>429</v>
      </c>
      <c r="AH522" s="22" t="s">
        <v>64</v>
      </c>
      <c r="AI522" s="29">
        <v>45703</v>
      </c>
      <c r="AJ522" s="29">
        <v>46433</v>
      </c>
      <c r="AK5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22" s="30"/>
      <c r="AN522" s="20" t="s">
        <v>65</v>
      </c>
      <c r="AP522" s="20" t="s">
        <v>84</v>
      </c>
    </row>
    <row r="523" spans="1:43" ht="16">
      <c r="A523" s="20">
        <v>5543810076</v>
      </c>
      <c r="B523" s="49">
        <v>21838</v>
      </c>
      <c r="C523" s="20" t="s">
        <v>2626</v>
      </c>
      <c r="D523" s="20" t="s">
        <v>2627</v>
      </c>
      <c r="E523" s="20" t="s">
        <v>983</v>
      </c>
      <c r="F523" s="20" t="s">
        <v>248</v>
      </c>
      <c r="G523" s="20" t="s">
        <v>248</v>
      </c>
      <c r="H523" s="20" t="s">
        <v>48</v>
      </c>
      <c r="I523" s="20" t="s">
        <v>248</v>
      </c>
      <c r="J523" s="22" t="s">
        <v>2628</v>
      </c>
      <c r="K523" s="22" t="s">
        <v>2628</v>
      </c>
      <c r="L523" s="23" t="s">
        <v>2623</v>
      </c>
      <c r="M523" s="24" t="s">
        <v>7736</v>
      </c>
      <c r="N523" s="23">
        <v>18691000</v>
      </c>
      <c r="O523" s="25" t="s">
        <v>52</v>
      </c>
      <c r="P523" s="25" t="s">
        <v>53</v>
      </c>
      <c r="Q523" s="20" t="s">
        <v>2629</v>
      </c>
      <c r="R523" s="20">
        <v>9662735</v>
      </c>
      <c r="S523" s="25" t="s">
        <v>2630</v>
      </c>
      <c r="T523" s="26" t="s">
        <v>57</v>
      </c>
      <c r="U523" s="23">
        <v>865356065729204</v>
      </c>
      <c r="V523" s="27" t="s">
        <v>183</v>
      </c>
      <c r="W523" s="20" t="s">
        <v>129</v>
      </c>
      <c r="X523" s="20" t="s">
        <v>130</v>
      </c>
      <c r="Y523" s="20" t="s">
        <v>130</v>
      </c>
      <c r="Z523" s="20" t="s">
        <v>261</v>
      </c>
      <c r="AA523" s="20" t="s">
        <v>473</v>
      </c>
      <c r="AB523" s="20" t="s">
        <v>262</v>
      </c>
      <c r="AC523" s="28">
        <v>369.83</v>
      </c>
      <c r="AD523" s="28">
        <f>SUM(BASE[[#This Row],[MONTO DE RENTA ]]*1.16)</f>
        <v>429.00279999999998</v>
      </c>
      <c r="AE523" s="28" t="s">
        <v>63</v>
      </c>
      <c r="AF523" s="28">
        <v>369.82758620689657</v>
      </c>
      <c r="AG523" s="28">
        <v>429</v>
      </c>
      <c r="AI523" s="63">
        <v>44937</v>
      </c>
      <c r="AJ523" s="73">
        <v>46043</v>
      </c>
      <c r="AK52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3" s="30"/>
      <c r="AN523" s="20" t="s">
        <v>99</v>
      </c>
      <c r="AP523" s="20" t="s">
        <v>84</v>
      </c>
      <c r="AQ523" s="20" t="s">
        <v>100</v>
      </c>
    </row>
    <row r="524" spans="1:43" ht="16">
      <c r="A524" s="20">
        <v>5543810936</v>
      </c>
      <c r="B524" s="49">
        <v>1006202</v>
      </c>
      <c r="C524" s="20" t="s">
        <v>2631</v>
      </c>
      <c r="D524" s="20" t="s">
        <v>172</v>
      </c>
      <c r="E524" s="20" t="s">
        <v>2632</v>
      </c>
      <c r="F524" s="20" t="s">
        <v>257</v>
      </c>
      <c r="G524" s="20" t="s">
        <v>257</v>
      </c>
      <c r="H524" s="20" t="s">
        <v>48</v>
      </c>
      <c r="I524" s="20" t="s">
        <v>257</v>
      </c>
      <c r="J524" s="22" t="s">
        <v>2633</v>
      </c>
      <c r="K524" s="22" t="s">
        <v>2633</v>
      </c>
      <c r="L524" s="23" t="s">
        <v>2623</v>
      </c>
      <c r="M524" s="24" t="s">
        <v>7736</v>
      </c>
      <c r="N524" s="23">
        <v>18691000</v>
      </c>
      <c r="O524" s="25" t="s">
        <v>52</v>
      </c>
      <c r="P524" s="25" t="s">
        <v>53</v>
      </c>
      <c r="Q524" s="20" t="s">
        <v>2634</v>
      </c>
      <c r="R524" s="20">
        <v>9662753</v>
      </c>
      <c r="S524" s="25" t="s">
        <v>55</v>
      </c>
      <c r="T524" s="67" t="s">
        <v>56</v>
      </c>
      <c r="U524" s="23">
        <v>867353050266027</v>
      </c>
      <c r="V524" s="45" t="s">
        <v>110</v>
      </c>
      <c r="W524" s="20" t="s">
        <v>149</v>
      </c>
      <c r="X524" s="20" t="s">
        <v>150</v>
      </c>
      <c r="Y524" s="20" t="s">
        <v>150</v>
      </c>
      <c r="Z524" s="20" t="s">
        <v>60</v>
      </c>
      <c r="AA524" s="20" t="s">
        <v>61</v>
      </c>
      <c r="AB524" s="20" t="s">
        <v>96</v>
      </c>
      <c r="AC524" s="28">
        <v>369.83</v>
      </c>
      <c r="AD524" s="28">
        <f>SUM(BASE[[#This Row],[MONTO DE RENTA ]]*1.16)</f>
        <v>429.00279999999998</v>
      </c>
      <c r="AE524" s="28" t="s">
        <v>97</v>
      </c>
      <c r="AF524" s="28">
        <v>473.27586206896552</v>
      </c>
      <c r="AG524" s="28">
        <v>549</v>
      </c>
      <c r="AI524" s="68">
        <v>44943</v>
      </c>
      <c r="AJ524" s="68">
        <v>46024</v>
      </c>
      <c r="AK524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524" s="30"/>
      <c r="AN524" s="20" t="s">
        <v>99</v>
      </c>
      <c r="AP524" s="20" t="s">
        <v>66</v>
      </c>
      <c r="AQ524" s="20" t="s">
        <v>100</v>
      </c>
    </row>
    <row r="525" spans="1:43" ht="16">
      <c r="A525" s="20">
        <v>5543898677</v>
      </c>
      <c r="B525" s="49">
        <v>1051448</v>
      </c>
      <c r="C525" s="20" t="s">
        <v>2074</v>
      </c>
      <c r="D525" s="20" t="s">
        <v>2635</v>
      </c>
      <c r="E525" s="20" t="s">
        <v>2636</v>
      </c>
      <c r="F525" s="20" t="s">
        <v>384</v>
      </c>
      <c r="G525" s="20" t="s">
        <v>104</v>
      </c>
      <c r="H525" s="20" t="s">
        <v>48</v>
      </c>
      <c r="I525" s="20" t="s">
        <v>384</v>
      </c>
      <c r="J525" s="141" t="s">
        <v>2637</v>
      </c>
      <c r="K525" s="141" t="s">
        <v>2637</v>
      </c>
      <c r="L525" s="23" t="s">
        <v>2623</v>
      </c>
      <c r="M525" s="24" t="s">
        <v>7736</v>
      </c>
      <c r="N525" s="23">
        <v>18691000</v>
      </c>
      <c r="O525" s="25" t="s">
        <v>52</v>
      </c>
      <c r="P525" s="25" t="s">
        <v>53</v>
      </c>
      <c r="Q525" s="20" t="s">
        <v>2638</v>
      </c>
      <c r="R525" s="20">
        <v>9662755</v>
      </c>
      <c r="S525" s="25" t="s">
        <v>2639</v>
      </c>
      <c r="T525" s="67" t="s">
        <v>57</v>
      </c>
      <c r="U525" s="23">
        <v>867353050266712</v>
      </c>
      <c r="V525" s="45" t="s">
        <v>110</v>
      </c>
      <c r="W525" s="20" t="s">
        <v>149</v>
      </c>
      <c r="X525" s="20" t="s">
        <v>150</v>
      </c>
      <c r="Y525" s="20" t="s">
        <v>150</v>
      </c>
      <c r="Z525" s="20" t="s">
        <v>261</v>
      </c>
      <c r="AA525" s="20" t="s">
        <v>473</v>
      </c>
      <c r="AB525" s="20" t="s">
        <v>262</v>
      </c>
      <c r="AC525" s="28">
        <v>369.83</v>
      </c>
      <c r="AD525" s="28">
        <f>SUM(BASE[[#This Row],[MONTO DE RENTA ]]*1.16)</f>
        <v>429.00279999999998</v>
      </c>
      <c r="AE525" s="28" t="s">
        <v>97</v>
      </c>
      <c r="AF525" s="28">
        <v>473.27586206896552</v>
      </c>
      <c r="AG525" s="28">
        <v>549</v>
      </c>
      <c r="AI525" s="68">
        <v>44943</v>
      </c>
      <c r="AJ525" s="68">
        <v>46024</v>
      </c>
      <c r="AK525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525" s="30"/>
      <c r="AN525" s="20" t="s">
        <v>99</v>
      </c>
      <c r="AP525" s="20" t="s">
        <v>66</v>
      </c>
      <c r="AQ525" s="20" t="s">
        <v>100</v>
      </c>
    </row>
    <row r="526" spans="1:43" ht="16">
      <c r="A526" s="99">
        <v>5543810416</v>
      </c>
      <c r="B526" s="49">
        <v>480220</v>
      </c>
      <c r="C526" s="20" t="s">
        <v>2640</v>
      </c>
      <c r="D526" s="20" t="s">
        <v>2641</v>
      </c>
      <c r="E526" s="20" t="s">
        <v>469</v>
      </c>
      <c r="F526" s="20" t="s">
        <v>70</v>
      </c>
      <c r="G526" s="20" t="s">
        <v>70</v>
      </c>
      <c r="H526" s="20" t="s">
        <v>48</v>
      </c>
      <c r="I526" s="20" t="s">
        <v>70</v>
      </c>
      <c r="J526" s="32" t="s">
        <v>2642</v>
      </c>
      <c r="K526" s="22" t="s">
        <v>2642</v>
      </c>
      <c r="L526" s="23" t="s">
        <v>2623</v>
      </c>
      <c r="M526" s="24" t="s">
        <v>7736</v>
      </c>
      <c r="N526" s="23">
        <v>18691000</v>
      </c>
      <c r="O526" s="25" t="s">
        <v>52</v>
      </c>
      <c r="P526" s="25" t="s">
        <v>53</v>
      </c>
      <c r="Q526" s="20" t="s">
        <v>2643</v>
      </c>
      <c r="R526" s="20">
        <v>9662743</v>
      </c>
      <c r="S526" s="25" t="s">
        <v>2644</v>
      </c>
      <c r="T526" s="26" t="s">
        <v>77</v>
      </c>
      <c r="U526" s="23">
        <v>357654178726207</v>
      </c>
      <c r="V526" s="27" t="s">
        <v>78</v>
      </c>
      <c r="W526" s="20" t="s">
        <v>95</v>
      </c>
      <c r="X526" s="20" t="s">
        <v>95</v>
      </c>
      <c r="Y526" s="20" t="s">
        <v>95</v>
      </c>
      <c r="Z526" s="20" t="s">
        <v>261</v>
      </c>
      <c r="AA526" s="20" t="s">
        <v>473</v>
      </c>
      <c r="AB526" s="20" t="s">
        <v>474</v>
      </c>
      <c r="AC526" s="28">
        <v>559.48</v>
      </c>
      <c r="AD526" s="28">
        <f>SUM(BASE[[#This Row],[MONTO DE RENTA ]]*1.16)</f>
        <v>648.99680000000001</v>
      </c>
      <c r="AE526" s="28" t="s">
        <v>83</v>
      </c>
      <c r="AF526" s="28">
        <v>559.48275862068965</v>
      </c>
      <c r="AG526" s="28">
        <v>649</v>
      </c>
      <c r="AI526" s="63">
        <v>44937</v>
      </c>
      <c r="AJ526" s="73">
        <v>46043</v>
      </c>
      <c r="AK52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6" s="30"/>
      <c r="AN526" s="20" t="s">
        <v>99</v>
      </c>
      <c r="AP526" s="20" t="s">
        <v>84</v>
      </c>
      <c r="AQ526" s="20" t="s">
        <v>100</v>
      </c>
    </row>
    <row r="527" spans="1:43" ht="16">
      <c r="A527" s="20">
        <v>5579697195</v>
      </c>
      <c r="B527" s="49">
        <v>630464</v>
      </c>
      <c r="C527" s="20" t="s">
        <v>2645</v>
      </c>
      <c r="D527" s="20" t="s">
        <v>657</v>
      </c>
      <c r="E527" s="20" t="s">
        <v>187</v>
      </c>
      <c r="F527" s="20" t="s">
        <v>47</v>
      </c>
      <c r="G527" s="20" t="s">
        <v>47</v>
      </c>
      <c r="H527" s="20" t="s">
        <v>48</v>
      </c>
      <c r="I527" s="20" t="s">
        <v>47</v>
      </c>
      <c r="J527" s="22" t="s">
        <v>2646</v>
      </c>
      <c r="K527" s="22" t="s">
        <v>2646</v>
      </c>
      <c r="L527" s="23" t="s">
        <v>2647</v>
      </c>
      <c r="M527" s="24" t="s">
        <v>7736</v>
      </c>
      <c r="N527" s="23">
        <v>18692000</v>
      </c>
      <c r="O527" s="25" t="s">
        <v>52</v>
      </c>
      <c r="P527" s="25" t="s">
        <v>53</v>
      </c>
      <c r="Q527" s="20" t="s">
        <v>2648</v>
      </c>
      <c r="R527" s="20">
        <v>95375215</v>
      </c>
      <c r="S527" s="25" t="s">
        <v>2649</v>
      </c>
      <c r="T527" s="26" t="s">
        <v>57</v>
      </c>
      <c r="U527" s="23">
        <v>865356065728636</v>
      </c>
      <c r="V527" s="27" t="s">
        <v>183</v>
      </c>
      <c r="W527" s="20" t="s">
        <v>129</v>
      </c>
      <c r="X527" s="20" t="s">
        <v>130</v>
      </c>
      <c r="Y527" s="20" t="s">
        <v>130</v>
      </c>
      <c r="Z527" s="20" t="s">
        <v>261</v>
      </c>
      <c r="AA527" s="20" t="s">
        <v>473</v>
      </c>
      <c r="AB527" s="20" t="s">
        <v>262</v>
      </c>
      <c r="AC527" s="28">
        <v>369.83</v>
      </c>
      <c r="AD527" s="28">
        <f>SUM(BASE[[#This Row],[MONTO DE RENTA ]]*1.16)</f>
        <v>429.00279999999998</v>
      </c>
      <c r="AE527" s="28" t="s">
        <v>63</v>
      </c>
      <c r="AF527" s="28">
        <v>369.82758620689657</v>
      </c>
      <c r="AG527" s="28">
        <v>429</v>
      </c>
      <c r="AI527" s="63">
        <v>44937</v>
      </c>
      <c r="AJ527" s="73">
        <v>46043</v>
      </c>
      <c r="AK52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7" s="30"/>
      <c r="AN527" s="20" t="s">
        <v>99</v>
      </c>
      <c r="AP527" s="20" t="s">
        <v>84</v>
      </c>
      <c r="AQ527" s="20" t="s">
        <v>100</v>
      </c>
    </row>
    <row r="528" spans="1:43" ht="16">
      <c r="A528" s="20">
        <v>5531496747</v>
      </c>
      <c r="B528" s="49">
        <v>1007660</v>
      </c>
      <c r="C528" s="20" t="s">
        <v>2650</v>
      </c>
      <c r="D528" s="20" t="s">
        <v>546</v>
      </c>
      <c r="E528" s="20" t="s">
        <v>598</v>
      </c>
      <c r="F528" s="20" t="s">
        <v>248</v>
      </c>
      <c r="G528" s="20" t="s">
        <v>248</v>
      </c>
      <c r="H528" s="20" t="s">
        <v>48</v>
      </c>
      <c r="I528" s="20" t="s">
        <v>248</v>
      </c>
      <c r="J528" s="22" t="s">
        <v>2651</v>
      </c>
      <c r="K528" s="22" t="s">
        <v>2651</v>
      </c>
      <c r="L528" s="23" t="s">
        <v>2647</v>
      </c>
      <c r="M528" s="24" t="s">
        <v>7736</v>
      </c>
      <c r="N528" s="23">
        <v>18692000</v>
      </c>
      <c r="O528" s="25" t="s">
        <v>52</v>
      </c>
      <c r="P528" s="25" t="s">
        <v>53</v>
      </c>
      <c r="Q528" s="20" t="s">
        <v>2652</v>
      </c>
      <c r="R528" s="20">
        <v>90980843</v>
      </c>
      <c r="S528" s="25" t="s">
        <v>2653</v>
      </c>
      <c r="T528" s="26" t="s">
        <v>57</v>
      </c>
      <c r="U528" s="23">
        <v>865356065668295</v>
      </c>
      <c r="V528" s="27" t="s">
        <v>183</v>
      </c>
      <c r="W528" s="20" t="s">
        <v>129</v>
      </c>
      <c r="X528" s="20" t="s">
        <v>130</v>
      </c>
      <c r="Y528" s="20" t="s">
        <v>130</v>
      </c>
      <c r="Z528" s="20" t="s">
        <v>261</v>
      </c>
      <c r="AA528" s="20" t="s">
        <v>473</v>
      </c>
      <c r="AB528" s="20" t="s">
        <v>262</v>
      </c>
      <c r="AC528" s="28">
        <v>369.83</v>
      </c>
      <c r="AD528" s="28">
        <f>SUM(BASE[[#This Row],[MONTO DE RENTA ]]*1.16)</f>
        <v>429.00279999999998</v>
      </c>
      <c r="AE528" s="28" t="s">
        <v>63</v>
      </c>
      <c r="AF528" s="28">
        <v>369.82758620689657</v>
      </c>
      <c r="AG528" s="28">
        <v>429</v>
      </c>
      <c r="AI528" s="63">
        <v>44937</v>
      </c>
      <c r="AJ528" s="73">
        <v>46043</v>
      </c>
      <c r="AK5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28" s="30"/>
      <c r="AN528" s="20" t="s">
        <v>99</v>
      </c>
      <c r="AP528" s="20" t="s">
        <v>84</v>
      </c>
      <c r="AQ528" s="20" t="s">
        <v>100</v>
      </c>
    </row>
    <row r="529" spans="1:43" ht="16">
      <c r="A529" s="20">
        <v>5528993966</v>
      </c>
      <c r="B529" s="49">
        <v>1008349</v>
      </c>
      <c r="C529" s="20" t="s">
        <v>1810</v>
      </c>
      <c r="D529" s="20" t="s">
        <v>2654</v>
      </c>
      <c r="E529" s="20" t="s">
        <v>357</v>
      </c>
      <c r="F529" s="20" t="s">
        <v>257</v>
      </c>
      <c r="G529" s="20" t="s">
        <v>257</v>
      </c>
      <c r="H529" s="20" t="s">
        <v>48</v>
      </c>
      <c r="I529" s="20" t="s">
        <v>257</v>
      </c>
      <c r="J529" s="22" t="s">
        <v>2655</v>
      </c>
      <c r="K529" s="22" t="s">
        <v>2655</v>
      </c>
      <c r="L529" s="23" t="s">
        <v>2647</v>
      </c>
      <c r="M529" s="24" t="s">
        <v>7736</v>
      </c>
      <c r="N529" s="23">
        <v>18747003</v>
      </c>
      <c r="O529" s="25" t="s">
        <v>52</v>
      </c>
      <c r="P529" s="25" t="s">
        <v>53</v>
      </c>
      <c r="Q529" s="20" t="s">
        <v>2656</v>
      </c>
      <c r="R529" s="20">
        <v>90980791</v>
      </c>
      <c r="S529" s="25" t="s">
        <v>2657</v>
      </c>
      <c r="T529" s="67" t="s">
        <v>57</v>
      </c>
      <c r="U529" s="23">
        <v>867353050246912</v>
      </c>
      <c r="V529" s="45" t="s">
        <v>110</v>
      </c>
      <c r="W529" s="20" t="s">
        <v>149</v>
      </c>
      <c r="X529" s="20" t="s">
        <v>150</v>
      </c>
      <c r="Y529" s="20" t="s">
        <v>150</v>
      </c>
      <c r="Z529" s="20" t="s">
        <v>261</v>
      </c>
      <c r="AA529" s="20" t="s">
        <v>473</v>
      </c>
      <c r="AB529" s="20" t="s">
        <v>262</v>
      </c>
      <c r="AC529" s="28">
        <v>369.83</v>
      </c>
      <c r="AD529" s="28">
        <f>SUM(BASE[[#This Row],[MONTO DE RENTA ]]*1.16)</f>
        <v>429.00279999999998</v>
      </c>
      <c r="AE529" s="28" t="s">
        <v>97</v>
      </c>
      <c r="AF529" s="28">
        <v>473.27586206896552</v>
      </c>
      <c r="AG529" s="28">
        <v>549</v>
      </c>
      <c r="AI529" s="68">
        <v>44943</v>
      </c>
      <c r="AJ529" s="68">
        <v>46024</v>
      </c>
      <c r="AK529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529" s="30"/>
      <c r="AN529" s="20" t="s">
        <v>99</v>
      </c>
      <c r="AP529" s="20" t="s">
        <v>66</v>
      </c>
      <c r="AQ529" s="20" t="s">
        <v>100</v>
      </c>
    </row>
    <row r="530" spans="1:43" ht="16">
      <c r="A530" s="88">
        <v>5525323493</v>
      </c>
      <c r="B530" s="89">
        <v>630542</v>
      </c>
      <c r="C530" s="20" t="s">
        <v>2658</v>
      </c>
      <c r="D530" s="20" t="s">
        <v>2659</v>
      </c>
      <c r="E530" s="20" t="s">
        <v>187</v>
      </c>
      <c r="F530" s="20" t="s">
        <v>104</v>
      </c>
      <c r="G530" s="20" t="s">
        <v>104</v>
      </c>
      <c r="H530" s="20" t="s">
        <v>48</v>
      </c>
      <c r="I530" s="20" t="s">
        <v>104</v>
      </c>
      <c r="J530" s="90" t="s">
        <v>2660</v>
      </c>
      <c r="K530" s="90" t="s">
        <v>2660</v>
      </c>
      <c r="L530" s="23" t="s">
        <v>2647</v>
      </c>
      <c r="M530" s="24" t="s">
        <v>7736</v>
      </c>
      <c r="N530" s="23">
        <v>18692000</v>
      </c>
      <c r="O530" s="25" t="s">
        <v>52</v>
      </c>
      <c r="P530" s="25" t="s">
        <v>53</v>
      </c>
      <c r="Q530" s="20" t="s">
        <v>2661</v>
      </c>
      <c r="R530" s="20">
        <v>90980793</v>
      </c>
      <c r="S530" s="25" t="s">
        <v>2662</v>
      </c>
      <c r="T530" s="67" t="s">
        <v>57</v>
      </c>
      <c r="U530" s="23">
        <v>861383071457160</v>
      </c>
      <c r="V530" s="45" t="s">
        <v>110</v>
      </c>
      <c r="W530" s="20" t="s">
        <v>111</v>
      </c>
      <c r="X530" s="20" t="s">
        <v>112</v>
      </c>
      <c r="Y530" s="20" t="s">
        <v>112</v>
      </c>
      <c r="Z530" s="20" t="s">
        <v>261</v>
      </c>
      <c r="AA530" s="20" t="s">
        <v>473</v>
      </c>
      <c r="AB530" s="20" t="s">
        <v>262</v>
      </c>
      <c r="AC530" s="28">
        <v>369.83</v>
      </c>
      <c r="AD530" s="28">
        <f>SUM(BASE[[#This Row],[MONTO DE RENTA ]]*1.16)</f>
        <v>429.00279999999998</v>
      </c>
      <c r="AE530" s="28" t="s">
        <v>97</v>
      </c>
      <c r="AF530" s="28">
        <v>473.27586206896552</v>
      </c>
      <c r="AG530" s="28">
        <v>549</v>
      </c>
      <c r="AH530" s="92"/>
      <c r="AI530" s="63">
        <v>44937</v>
      </c>
      <c r="AJ530" s="84">
        <v>45951</v>
      </c>
      <c r="AK530" s="30">
        <f ca="1">IFERROR(IF(BASE[[#This Row],[FECHA DE RENOVACION ]]&gt;TODAY(), DATEDIF(TODAY(),BASE[[#This Row],[FECHA DE RENOVACION ]],"M"), -DATEDIF(BASE[[#This Row],[FECHA DE RENOVACION ]],TODAY(),"M")), "Sin fecha")</f>
        <v>-4</v>
      </c>
      <c r="AL530" s="88"/>
      <c r="AM530" s="93"/>
      <c r="AN530" s="20" t="s">
        <v>99</v>
      </c>
      <c r="AP530" s="20" t="s">
        <v>66</v>
      </c>
      <c r="AQ530" s="20" t="s">
        <v>100</v>
      </c>
    </row>
    <row r="531" spans="1:43" ht="16">
      <c r="A531" s="20">
        <v>5540017035</v>
      </c>
      <c r="B531" s="49">
        <v>20037</v>
      </c>
      <c r="C531" s="20" t="s">
        <v>2663</v>
      </c>
      <c r="D531" s="20" t="s">
        <v>2664</v>
      </c>
      <c r="E531" s="20" t="s">
        <v>1104</v>
      </c>
      <c r="F531" s="20" t="s">
        <v>70</v>
      </c>
      <c r="G531" s="20" t="s">
        <v>70</v>
      </c>
      <c r="H531" s="20" t="s">
        <v>48</v>
      </c>
      <c r="I531" s="20" t="s">
        <v>70</v>
      </c>
      <c r="J531" s="22" t="s">
        <v>2665</v>
      </c>
      <c r="K531" s="22" t="s">
        <v>2665</v>
      </c>
      <c r="L531" s="23" t="s">
        <v>2647</v>
      </c>
      <c r="M531" s="24" t="s">
        <v>7736</v>
      </c>
      <c r="N531" s="23">
        <v>18692000</v>
      </c>
      <c r="O531" s="25" t="s">
        <v>52</v>
      </c>
      <c r="P531" s="25" t="s">
        <v>53</v>
      </c>
      <c r="Q531" s="20" t="s">
        <v>2666</v>
      </c>
      <c r="R531" s="20">
        <v>90980951</v>
      </c>
      <c r="S531" s="25" t="s">
        <v>2667</v>
      </c>
      <c r="T531" s="26" t="s">
        <v>77</v>
      </c>
      <c r="U531" s="23" t="s">
        <v>193</v>
      </c>
      <c r="V531" s="27" t="s">
        <v>78</v>
      </c>
      <c r="W531" s="20" t="s">
        <v>194</v>
      </c>
      <c r="X531" s="20" t="s">
        <v>194</v>
      </c>
      <c r="Y531" s="20" t="s">
        <v>194</v>
      </c>
      <c r="Z531" s="20" t="s">
        <v>261</v>
      </c>
      <c r="AA531" s="20" t="s">
        <v>473</v>
      </c>
      <c r="AB531" s="20" t="s">
        <v>474</v>
      </c>
      <c r="AC531" s="28">
        <v>559.48</v>
      </c>
      <c r="AD531" s="28">
        <f>SUM(BASE[[#This Row],[MONTO DE RENTA ]]*1.16)</f>
        <v>648.99680000000001</v>
      </c>
      <c r="AE531" s="28" t="s">
        <v>83</v>
      </c>
      <c r="AF531" s="28">
        <v>559.48275862068965</v>
      </c>
      <c r="AG531" s="28">
        <v>649</v>
      </c>
      <c r="AI531" s="63">
        <v>44937</v>
      </c>
      <c r="AJ531" s="73">
        <v>46043</v>
      </c>
      <c r="AK53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1" s="30"/>
      <c r="AN531" s="20" t="s">
        <v>99</v>
      </c>
      <c r="AP531" s="20" t="s">
        <v>84</v>
      </c>
      <c r="AQ531" s="20" t="s">
        <v>100</v>
      </c>
    </row>
    <row r="532" spans="1:43" ht="16">
      <c r="A532" s="20">
        <v>9381247634</v>
      </c>
      <c r="B532" s="49">
        <v>1002897</v>
      </c>
      <c r="C532" s="20" t="s">
        <v>426</v>
      </c>
      <c r="D532" s="20" t="s">
        <v>143</v>
      </c>
      <c r="E532" s="20" t="s">
        <v>2668</v>
      </c>
      <c r="F532" s="20" t="s">
        <v>46</v>
      </c>
      <c r="G532" s="20" t="s">
        <v>47</v>
      </c>
      <c r="H532" s="20" t="s">
        <v>48</v>
      </c>
      <c r="I532" s="20" t="s">
        <v>46</v>
      </c>
      <c r="J532" s="22" t="s">
        <v>2669</v>
      </c>
      <c r="K532" s="22" t="s">
        <v>2669</v>
      </c>
      <c r="L532" s="23" t="s">
        <v>2670</v>
      </c>
      <c r="M532" s="24" t="s">
        <v>7751</v>
      </c>
      <c r="N532" s="23">
        <v>18693000</v>
      </c>
      <c r="O532" s="25" t="s">
        <v>1035</v>
      </c>
      <c r="P532" s="25" t="s">
        <v>53</v>
      </c>
      <c r="Q532" s="20" t="s">
        <v>2671</v>
      </c>
      <c r="R532" s="20">
        <v>82142425</v>
      </c>
      <c r="S532" s="25" t="s">
        <v>55</v>
      </c>
      <c r="T532" s="26" t="s">
        <v>56</v>
      </c>
      <c r="U532" s="23">
        <v>860982060869342</v>
      </c>
      <c r="V532" s="27" t="s">
        <v>183</v>
      </c>
      <c r="W532" s="20" t="s">
        <v>129</v>
      </c>
      <c r="X532" s="20" t="s">
        <v>130</v>
      </c>
      <c r="Y532" s="20" t="s">
        <v>130</v>
      </c>
      <c r="Z532" s="20" t="s">
        <v>60</v>
      </c>
      <c r="AA532" s="20" t="s">
        <v>61</v>
      </c>
      <c r="AB532" s="20" t="s">
        <v>96</v>
      </c>
      <c r="AC532" s="28">
        <v>369.83</v>
      </c>
      <c r="AD532" s="28">
        <f>SUM(BASE[[#This Row],[MONTO DE RENTA ]]*1.16)</f>
        <v>429.00279999999998</v>
      </c>
      <c r="AE532" s="28" t="s">
        <v>63</v>
      </c>
      <c r="AF532" s="28">
        <v>369.82758620689657</v>
      </c>
      <c r="AG532" s="28">
        <v>429</v>
      </c>
      <c r="AI532" s="63">
        <v>44937</v>
      </c>
      <c r="AJ532" s="73">
        <v>46043</v>
      </c>
      <c r="AK53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2" s="30"/>
      <c r="AN532" s="20" t="s">
        <v>99</v>
      </c>
      <c r="AP532" s="20" t="s">
        <v>84</v>
      </c>
      <c r="AQ532" s="20" t="s">
        <v>100</v>
      </c>
    </row>
    <row r="533" spans="1:43" ht="16">
      <c r="A533" s="20">
        <v>9381526960</v>
      </c>
      <c r="B533" s="49">
        <v>1004705</v>
      </c>
      <c r="C533" s="20" t="s">
        <v>2672</v>
      </c>
      <c r="D533" s="20" t="s">
        <v>187</v>
      </c>
      <c r="E533" s="20" t="s">
        <v>2673</v>
      </c>
      <c r="F533" s="20" t="s">
        <v>557</v>
      </c>
      <c r="G533" s="20" t="s">
        <v>248</v>
      </c>
      <c r="H533" s="20" t="s">
        <v>48</v>
      </c>
      <c r="I533" s="20" t="s">
        <v>557</v>
      </c>
      <c r="J533" s="22" t="s">
        <v>2674</v>
      </c>
      <c r="K533" s="22" t="s">
        <v>2674</v>
      </c>
      <c r="L533" s="23" t="s">
        <v>2670</v>
      </c>
      <c r="M533" s="24" t="s">
        <v>7751</v>
      </c>
      <c r="N533" s="23">
        <v>18693000</v>
      </c>
      <c r="O533" s="25" t="s">
        <v>1035</v>
      </c>
      <c r="P533" s="25" t="s">
        <v>53</v>
      </c>
      <c r="Q533" s="20" t="s">
        <v>2675</v>
      </c>
      <c r="R533" s="20">
        <v>82142429</v>
      </c>
      <c r="S533" s="25" t="s">
        <v>55</v>
      </c>
      <c r="T533" s="26" t="s">
        <v>56</v>
      </c>
      <c r="U533" s="23">
        <v>860982060869367</v>
      </c>
      <c r="V533" s="27" t="s">
        <v>183</v>
      </c>
      <c r="W533" s="20" t="s">
        <v>129</v>
      </c>
      <c r="X533" s="20" t="s">
        <v>130</v>
      </c>
      <c r="Y533" s="20" t="s">
        <v>130</v>
      </c>
      <c r="Z533" s="20" t="s">
        <v>60</v>
      </c>
      <c r="AA533" s="20" t="s">
        <v>61</v>
      </c>
      <c r="AB533" s="20" t="s">
        <v>82</v>
      </c>
      <c r="AC533" s="28">
        <v>559.48</v>
      </c>
      <c r="AD533" s="28">
        <f>SUM(BASE[[#This Row],[MONTO DE RENTA ]]*1.16)</f>
        <v>648.99680000000001</v>
      </c>
      <c r="AE533" s="28" t="s">
        <v>63</v>
      </c>
      <c r="AF533" s="28">
        <v>369.82758620689657</v>
      </c>
      <c r="AG533" s="28">
        <v>429</v>
      </c>
      <c r="AI533" s="63">
        <v>44937</v>
      </c>
      <c r="AJ533" s="73">
        <v>46043</v>
      </c>
      <c r="AK53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3" s="30"/>
      <c r="AN533" s="20" t="s">
        <v>99</v>
      </c>
      <c r="AP533" s="20" t="s">
        <v>118</v>
      </c>
      <c r="AQ533" s="20" t="s">
        <v>100</v>
      </c>
    </row>
    <row r="534" spans="1:43" ht="16">
      <c r="A534" s="20">
        <v>9381247636</v>
      </c>
      <c r="B534" s="21">
        <v>1071345</v>
      </c>
      <c r="C534" s="20" t="s">
        <v>2676</v>
      </c>
      <c r="D534" s="20" t="s">
        <v>2677</v>
      </c>
      <c r="E534" s="20" t="s">
        <v>2678</v>
      </c>
      <c r="F534" s="20" t="s">
        <v>257</v>
      </c>
      <c r="G534" s="20" t="s">
        <v>257</v>
      </c>
      <c r="H534" s="20" t="s">
        <v>48</v>
      </c>
      <c r="I534" s="20" t="s">
        <v>257</v>
      </c>
      <c r="J534" s="22" t="s">
        <v>2679</v>
      </c>
      <c r="K534" s="22" t="s">
        <v>2679</v>
      </c>
      <c r="L534" s="23" t="s">
        <v>2670</v>
      </c>
      <c r="M534" s="24" t="s">
        <v>7751</v>
      </c>
      <c r="N534" s="23">
        <v>18693000</v>
      </c>
      <c r="O534" s="25" t="s">
        <v>1035</v>
      </c>
      <c r="P534" s="25" t="s">
        <v>53</v>
      </c>
      <c r="Q534" s="20" t="s">
        <v>2680</v>
      </c>
      <c r="R534" s="20">
        <v>82142423</v>
      </c>
      <c r="S534" s="25" t="s">
        <v>55</v>
      </c>
      <c r="T534" s="26" t="s">
        <v>56</v>
      </c>
      <c r="U534" s="23">
        <v>867353050196968</v>
      </c>
      <c r="V534" s="45" t="s">
        <v>110</v>
      </c>
      <c r="W534" s="20" t="s">
        <v>149</v>
      </c>
      <c r="X534" s="20" t="s">
        <v>150</v>
      </c>
      <c r="Y534" s="20" t="s">
        <v>150</v>
      </c>
      <c r="Z534" s="20" t="s">
        <v>60</v>
      </c>
      <c r="AA534" s="20" t="s">
        <v>61</v>
      </c>
      <c r="AB534" s="20" t="s">
        <v>96</v>
      </c>
      <c r="AC534" s="28">
        <v>369.83</v>
      </c>
      <c r="AD534" s="28">
        <f>SUM(BASE[[#This Row],[MONTO DE RENTA ]]*1.16)</f>
        <v>429.00279999999998</v>
      </c>
      <c r="AE534" s="28" t="s">
        <v>97</v>
      </c>
      <c r="AF534" s="28">
        <v>473.27586206896552</v>
      </c>
      <c r="AG534" s="28">
        <v>549</v>
      </c>
      <c r="AI534" s="63">
        <v>44937</v>
      </c>
      <c r="AJ534" s="73">
        <v>46043</v>
      </c>
      <c r="AK5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4" s="30"/>
      <c r="AN534" s="20" t="s">
        <v>99</v>
      </c>
      <c r="AP534" s="20" t="s">
        <v>66</v>
      </c>
      <c r="AQ534" s="20" t="s">
        <v>100</v>
      </c>
    </row>
    <row r="535" spans="1:43" ht="16">
      <c r="A535" s="20">
        <v>9381247637</v>
      </c>
      <c r="B535" s="49">
        <v>1015111</v>
      </c>
      <c r="C535" s="20" t="s">
        <v>2681</v>
      </c>
      <c r="D535" s="20" t="s">
        <v>797</v>
      </c>
      <c r="E535" s="20" t="s">
        <v>1524</v>
      </c>
      <c r="F535" s="20" t="s">
        <v>104</v>
      </c>
      <c r="G535" s="20" t="s">
        <v>104</v>
      </c>
      <c r="H535" s="20" t="s">
        <v>48</v>
      </c>
      <c r="I535" s="20" t="s">
        <v>104</v>
      </c>
      <c r="J535" s="32" t="s">
        <v>2682</v>
      </c>
      <c r="K535" s="32" t="s">
        <v>2682</v>
      </c>
      <c r="L535" s="23" t="s">
        <v>2670</v>
      </c>
      <c r="M535" s="24" t="s">
        <v>7751</v>
      </c>
      <c r="N535" s="23">
        <v>18693000</v>
      </c>
      <c r="O535" s="25" t="s">
        <v>1035</v>
      </c>
      <c r="P535" s="25" t="s">
        <v>53</v>
      </c>
      <c r="Q535" s="20" t="s">
        <v>2683</v>
      </c>
      <c r="R535" s="20">
        <v>82142424</v>
      </c>
      <c r="S535" s="25" t="s">
        <v>55</v>
      </c>
      <c r="T535" s="26" t="s">
        <v>56</v>
      </c>
      <c r="U535" s="23">
        <v>867353050205652</v>
      </c>
      <c r="V535" s="45" t="s">
        <v>110</v>
      </c>
      <c r="W535" s="20" t="s">
        <v>149</v>
      </c>
      <c r="X535" s="20" t="s">
        <v>150</v>
      </c>
      <c r="Y535" s="20" t="s">
        <v>150</v>
      </c>
      <c r="Z535" s="20" t="s">
        <v>60</v>
      </c>
      <c r="AA535" s="20" t="s">
        <v>61</v>
      </c>
      <c r="AB535" s="20" t="s">
        <v>96</v>
      </c>
      <c r="AC535" s="28">
        <v>369.83</v>
      </c>
      <c r="AD535" s="28">
        <f>SUM(BASE[[#This Row],[MONTO DE RENTA ]]*1.16)</f>
        <v>429.00279999999998</v>
      </c>
      <c r="AE535" s="28" t="s">
        <v>97</v>
      </c>
      <c r="AF535" s="28">
        <v>473.27586206896552</v>
      </c>
      <c r="AG535" s="28">
        <v>549</v>
      </c>
      <c r="AI535" s="63">
        <v>44937</v>
      </c>
      <c r="AJ535" s="73">
        <v>46043</v>
      </c>
      <c r="AK53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5" s="30"/>
      <c r="AN535" s="20" t="s">
        <v>99</v>
      </c>
      <c r="AP535" s="20" t="s">
        <v>66</v>
      </c>
      <c r="AQ535" s="20" t="s">
        <v>100</v>
      </c>
    </row>
    <row r="536" spans="1:43" ht="16">
      <c r="A536" s="20">
        <v>9383862978</v>
      </c>
      <c r="B536" s="49">
        <v>1015417</v>
      </c>
      <c r="C536" s="20" t="s">
        <v>2684</v>
      </c>
      <c r="D536" s="20" t="s">
        <v>405</v>
      </c>
      <c r="E536" s="20" t="s">
        <v>172</v>
      </c>
      <c r="F536" s="20" t="s">
        <v>122</v>
      </c>
      <c r="G536" s="20" t="s">
        <v>122</v>
      </c>
      <c r="H536" s="20" t="s">
        <v>48</v>
      </c>
      <c r="I536" s="20" t="s">
        <v>122</v>
      </c>
      <c r="J536" s="22" t="s">
        <v>2685</v>
      </c>
      <c r="K536" s="32" t="s">
        <v>2686</v>
      </c>
      <c r="L536" s="23" t="s">
        <v>2670</v>
      </c>
      <c r="M536" s="24" t="s">
        <v>7751</v>
      </c>
      <c r="N536" s="23">
        <v>18693000</v>
      </c>
      <c r="O536" s="25" t="s">
        <v>1035</v>
      </c>
      <c r="P536" s="25" t="s">
        <v>53</v>
      </c>
      <c r="Q536" s="20" t="s">
        <v>2687</v>
      </c>
      <c r="R536" s="20">
        <v>83485869</v>
      </c>
      <c r="S536" s="25" t="s">
        <v>55</v>
      </c>
      <c r="T536" s="26" t="s">
        <v>56</v>
      </c>
      <c r="U536" s="23">
        <v>860982060870332</v>
      </c>
      <c r="V536" s="27" t="s">
        <v>183</v>
      </c>
      <c r="W536" s="20" t="s">
        <v>129</v>
      </c>
      <c r="X536" s="20" t="s">
        <v>130</v>
      </c>
      <c r="Y536" s="20" t="s">
        <v>130</v>
      </c>
      <c r="Z536" s="20" t="s">
        <v>60</v>
      </c>
      <c r="AA536" s="20" t="s">
        <v>61</v>
      </c>
      <c r="AB536" s="20" t="s">
        <v>96</v>
      </c>
      <c r="AC536" s="28">
        <v>369.83</v>
      </c>
      <c r="AD536" s="28">
        <f>SUM(BASE[[#This Row],[MONTO DE RENTA ]]*1.16)</f>
        <v>429.00279999999998</v>
      </c>
      <c r="AE536" s="28" t="s">
        <v>63</v>
      </c>
      <c r="AF536" s="28">
        <v>369.82758620689657</v>
      </c>
      <c r="AG536" s="28">
        <v>429</v>
      </c>
      <c r="AI536" s="63">
        <v>44937</v>
      </c>
      <c r="AJ536" s="73">
        <v>46043</v>
      </c>
      <c r="AK5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6" s="30"/>
      <c r="AN536" s="20" t="s">
        <v>99</v>
      </c>
      <c r="AP536" s="20" t="s">
        <v>84</v>
      </c>
      <c r="AQ536" s="20" t="s">
        <v>100</v>
      </c>
    </row>
    <row r="537" spans="1:43" ht="16">
      <c r="A537" s="20">
        <v>9381608736</v>
      </c>
      <c r="B537" s="49">
        <v>570303</v>
      </c>
      <c r="C537" s="20" t="s">
        <v>2688</v>
      </c>
      <c r="D537" s="20" t="s">
        <v>2689</v>
      </c>
      <c r="E537" s="20" t="s">
        <v>983</v>
      </c>
      <c r="F537" s="20" t="s">
        <v>70</v>
      </c>
      <c r="G537" s="20" t="s">
        <v>70</v>
      </c>
      <c r="H537" s="20" t="s">
        <v>48</v>
      </c>
      <c r="I537" s="20" t="s">
        <v>70</v>
      </c>
      <c r="J537" s="32" t="s">
        <v>2690</v>
      </c>
      <c r="K537" s="32" t="s">
        <v>2690</v>
      </c>
      <c r="L537" s="23" t="s">
        <v>2670</v>
      </c>
      <c r="M537" s="24" t="s">
        <v>7751</v>
      </c>
      <c r="N537" s="23">
        <v>18693000</v>
      </c>
      <c r="O537" s="25" t="s">
        <v>1035</v>
      </c>
      <c r="P537" s="25" t="s">
        <v>53</v>
      </c>
      <c r="Q537" s="20" t="s">
        <v>2691</v>
      </c>
      <c r="R537" s="20">
        <v>82142460</v>
      </c>
      <c r="S537" s="25" t="s">
        <v>55</v>
      </c>
      <c r="T537" s="26" t="s">
        <v>56</v>
      </c>
      <c r="U537" s="23">
        <v>357654178659515</v>
      </c>
      <c r="V537" s="27" t="s">
        <v>78</v>
      </c>
      <c r="W537" s="20" t="s">
        <v>95</v>
      </c>
      <c r="X537" s="20" t="s">
        <v>95</v>
      </c>
      <c r="Y537" s="20" t="s">
        <v>95</v>
      </c>
      <c r="Z537" s="20" t="s">
        <v>60</v>
      </c>
      <c r="AA537" s="20" t="s">
        <v>61</v>
      </c>
      <c r="AB537" s="20" t="s">
        <v>82</v>
      </c>
      <c r="AC537" s="28">
        <v>559.48</v>
      </c>
      <c r="AD537" s="28">
        <f>SUM(BASE[[#This Row],[MONTO DE RENTA ]]*1.16)</f>
        <v>648.99680000000001</v>
      </c>
      <c r="AE537" s="28" t="s">
        <v>83</v>
      </c>
      <c r="AF537" s="28">
        <v>559.48275862068965</v>
      </c>
      <c r="AG537" s="28">
        <v>649</v>
      </c>
      <c r="AI537" s="63">
        <v>44937</v>
      </c>
      <c r="AJ537" s="73">
        <v>46043</v>
      </c>
      <c r="AK5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7" s="30"/>
      <c r="AN537" s="20" t="s">
        <v>99</v>
      </c>
      <c r="AP537" s="20" t="s">
        <v>84</v>
      </c>
      <c r="AQ537" s="20" t="s">
        <v>100</v>
      </c>
    </row>
    <row r="538" spans="1:43" ht="16">
      <c r="A538" s="20">
        <v>4646549606</v>
      </c>
      <c r="B538" s="21">
        <v>1016475</v>
      </c>
      <c r="C538" s="20" t="s">
        <v>2692</v>
      </c>
      <c r="D538" s="20" t="s">
        <v>786</v>
      </c>
      <c r="E538" s="20" t="s">
        <v>172</v>
      </c>
      <c r="F538" s="20" t="s">
        <v>104</v>
      </c>
      <c r="G538" s="20" t="s">
        <v>257</v>
      </c>
      <c r="H538" s="20" t="s">
        <v>48</v>
      </c>
      <c r="I538" s="20" t="s">
        <v>104</v>
      </c>
      <c r="J538" s="22" t="s">
        <v>2693</v>
      </c>
      <c r="K538" s="22" t="s">
        <v>2693</v>
      </c>
      <c r="L538" s="23" t="s">
        <v>2616</v>
      </c>
      <c r="M538" s="24" t="s">
        <v>7743</v>
      </c>
      <c r="N538" s="23">
        <v>18694000</v>
      </c>
      <c r="O538" s="25" t="s">
        <v>93</v>
      </c>
      <c r="P538" s="25" t="s">
        <v>53</v>
      </c>
      <c r="Q538" s="20" t="s">
        <v>2694</v>
      </c>
      <c r="R538" s="20">
        <v>61939447</v>
      </c>
      <c r="S538" s="25" t="s">
        <v>2695</v>
      </c>
      <c r="T538" s="67" t="s">
        <v>57</v>
      </c>
      <c r="U538" s="23">
        <v>867353050207344</v>
      </c>
      <c r="V538" s="45" t="s">
        <v>110</v>
      </c>
      <c r="W538" s="20" t="s">
        <v>149</v>
      </c>
      <c r="X538" s="20" t="s">
        <v>150</v>
      </c>
      <c r="Y538" s="20" t="s">
        <v>150</v>
      </c>
      <c r="Z538" s="20" t="s">
        <v>60</v>
      </c>
      <c r="AA538" s="20" t="s">
        <v>61</v>
      </c>
      <c r="AB538" s="20" t="s">
        <v>96</v>
      </c>
      <c r="AC538" s="28">
        <v>369.83</v>
      </c>
      <c r="AD538" s="28">
        <f>SUM(BASE[[#This Row],[MONTO DE RENTA ]]*1.16)</f>
        <v>429.00279999999998</v>
      </c>
      <c r="AE538" s="28" t="s">
        <v>97</v>
      </c>
      <c r="AF538" s="28">
        <v>473.27586206896552</v>
      </c>
      <c r="AG538" s="28">
        <v>549</v>
      </c>
      <c r="AI538" s="75">
        <v>45308</v>
      </c>
      <c r="AJ538" s="75">
        <v>46024</v>
      </c>
      <c r="AK538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538" s="194">
        <v>46039.541435185187</v>
      </c>
      <c r="AM538" s="30"/>
      <c r="AN538" s="20" t="s">
        <v>99</v>
      </c>
      <c r="AP538" s="20" t="s">
        <v>66</v>
      </c>
      <c r="AQ538" s="20" t="s">
        <v>100</v>
      </c>
    </row>
    <row r="539" spans="1:43" ht="16">
      <c r="A539" s="20">
        <v>4641205741</v>
      </c>
      <c r="B539" s="49">
        <v>1000878</v>
      </c>
      <c r="C539" s="20" t="s">
        <v>2696</v>
      </c>
      <c r="D539" s="20" t="s">
        <v>2697</v>
      </c>
      <c r="E539" s="20" t="s">
        <v>2698</v>
      </c>
      <c r="F539" s="20" t="s">
        <v>248</v>
      </c>
      <c r="G539" s="20" t="s">
        <v>248</v>
      </c>
      <c r="H539" s="20" t="s">
        <v>48</v>
      </c>
      <c r="I539" s="20" t="s">
        <v>248</v>
      </c>
      <c r="J539" s="22" t="s">
        <v>2699</v>
      </c>
      <c r="K539" s="22" t="s">
        <v>2699</v>
      </c>
      <c r="L539" s="23" t="s">
        <v>2616</v>
      </c>
      <c r="M539" s="24" t="s">
        <v>7743</v>
      </c>
      <c r="N539" s="23">
        <v>18694000</v>
      </c>
      <c r="O539" s="25" t="s">
        <v>93</v>
      </c>
      <c r="P539" s="25" t="s">
        <v>53</v>
      </c>
      <c r="Q539" s="20" t="s">
        <v>2700</v>
      </c>
      <c r="R539" s="20">
        <v>61939460</v>
      </c>
      <c r="S539" s="25" t="s">
        <v>55</v>
      </c>
      <c r="T539" s="26" t="s">
        <v>56</v>
      </c>
      <c r="U539" s="23">
        <v>865356065670648</v>
      </c>
      <c r="V539" s="27" t="s">
        <v>183</v>
      </c>
      <c r="W539" s="20" t="s">
        <v>129</v>
      </c>
      <c r="X539" s="20" t="s">
        <v>130</v>
      </c>
      <c r="Y539" s="20" t="s">
        <v>130</v>
      </c>
      <c r="Z539" s="20" t="s">
        <v>60</v>
      </c>
      <c r="AA539" s="20" t="s">
        <v>61</v>
      </c>
      <c r="AB539" s="20" t="s">
        <v>96</v>
      </c>
      <c r="AC539" s="28">
        <v>369.83</v>
      </c>
      <c r="AD539" s="28">
        <f>SUM(BASE[[#This Row],[MONTO DE RENTA ]]*1.16)</f>
        <v>429.00279999999998</v>
      </c>
      <c r="AE539" s="28" t="s">
        <v>63</v>
      </c>
      <c r="AF539" s="28">
        <v>369.82758620689657</v>
      </c>
      <c r="AG539" s="28">
        <v>429</v>
      </c>
      <c r="AI539" s="63">
        <v>44937</v>
      </c>
      <c r="AJ539" s="73">
        <v>46043</v>
      </c>
      <c r="AK53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39" s="30"/>
      <c r="AN539" s="20" t="s">
        <v>99</v>
      </c>
      <c r="AP539" s="20" t="s">
        <v>84</v>
      </c>
      <c r="AQ539" s="20" t="s">
        <v>100</v>
      </c>
    </row>
    <row r="540" spans="1:43" ht="16">
      <c r="A540" s="20">
        <v>4641202662</v>
      </c>
      <c r="B540" s="49">
        <v>1016475</v>
      </c>
      <c r="C540" s="20" t="s">
        <v>2692</v>
      </c>
      <c r="D540" s="20" t="s">
        <v>786</v>
      </c>
      <c r="E540" s="20" t="s">
        <v>172</v>
      </c>
      <c r="F540" s="20" t="s">
        <v>104</v>
      </c>
      <c r="G540" s="20" t="s">
        <v>104</v>
      </c>
      <c r="H540" s="20" t="s">
        <v>48</v>
      </c>
      <c r="I540" s="20" t="s">
        <v>104</v>
      </c>
      <c r="J540" s="54" t="s">
        <v>2701</v>
      </c>
      <c r="K540" s="22" t="s">
        <v>2701</v>
      </c>
      <c r="L540" s="23" t="s">
        <v>2616</v>
      </c>
      <c r="M540" s="24" t="s">
        <v>7743</v>
      </c>
      <c r="N540" s="23">
        <v>18694000</v>
      </c>
      <c r="O540" s="25" t="s">
        <v>93</v>
      </c>
      <c r="P540" s="25" t="s">
        <v>53</v>
      </c>
      <c r="Q540" s="20" t="s">
        <v>2702</v>
      </c>
      <c r="R540" s="20">
        <v>61939455</v>
      </c>
      <c r="S540" s="25" t="s">
        <v>55</v>
      </c>
      <c r="T540" s="67" t="s">
        <v>56</v>
      </c>
      <c r="U540" s="23">
        <v>867353050199665</v>
      </c>
      <c r="V540" s="45" t="s">
        <v>110</v>
      </c>
      <c r="W540" s="20" t="s">
        <v>149</v>
      </c>
      <c r="X540" s="20" t="s">
        <v>150</v>
      </c>
      <c r="Y540" s="20" t="s">
        <v>150</v>
      </c>
      <c r="Z540" s="20" t="s">
        <v>60</v>
      </c>
      <c r="AA540" s="20" t="s">
        <v>61</v>
      </c>
      <c r="AB540" s="20" t="s">
        <v>96</v>
      </c>
      <c r="AC540" s="28">
        <v>369.83</v>
      </c>
      <c r="AD540" s="28">
        <f>SUM(BASE[[#This Row],[MONTO DE RENTA ]]*1.16)</f>
        <v>429.00279999999998</v>
      </c>
      <c r="AE540" s="28" t="s">
        <v>97</v>
      </c>
      <c r="AF540" s="28">
        <v>473.27586206896552</v>
      </c>
      <c r="AG540" s="28">
        <v>549</v>
      </c>
      <c r="AI540" s="68">
        <v>45273</v>
      </c>
      <c r="AJ540" s="68">
        <v>46024</v>
      </c>
      <c r="AK540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540" s="30"/>
      <c r="AN540" s="20" t="s">
        <v>99</v>
      </c>
      <c r="AP540" s="20" t="s">
        <v>66</v>
      </c>
      <c r="AQ540" s="20" t="s">
        <v>100</v>
      </c>
    </row>
    <row r="541" spans="1:43" ht="16">
      <c r="A541" s="20">
        <v>9993226952</v>
      </c>
      <c r="B541" s="49">
        <v>1000803</v>
      </c>
      <c r="C541" s="20" t="s">
        <v>2703</v>
      </c>
      <c r="D541" s="20" t="s">
        <v>2704</v>
      </c>
      <c r="E541" s="20" t="s">
        <v>2705</v>
      </c>
      <c r="F541" s="20" t="s">
        <v>257</v>
      </c>
      <c r="G541" s="20" t="s">
        <v>257</v>
      </c>
      <c r="H541" s="20" t="s">
        <v>48</v>
      </c>
      <c r="I541" s="20" t="s">
        <v>257</v>
      </c>
      <c r="J541" s="32" t="s">
        <v>2706</v>
      </c>
      <c r="K541" s="32" t="s">
        <v>2706</v>
      </c>
      <c r="L541" s="23" t="s">
        <v>2707</v>
      </c>
      <c r="M541" s="24" t="s">
        <v>7751</v>
      </c>
      <c r="N541" s="23">
        <v>18696000</v>
      </c>
      <c r="O541" s="25" t="s">
        <v>1035</v>
      </c>
      <c r="P541" s="25" t="s">
        <v>53</v>
      </c>
      <c r="Q541" s="20" t="s">
        <v>2708</v>
      </c>
      <c r="R541" s="20">
        <v>82117223</v>
      </c>
      <c r="S541" s="25" t="s">
        <v>55</v>
      </c>
      <c r="T541" s="26" t="s">
        <v>56</v>
      </c>
      <c r="U541" s="23">
        <v>865356065672834</v>
      </c>
      <c r="V541" s="45" t="s">
        <v>110</v>
      </c>
      <c r="W541" s="20" t="s">
        <v>129</v>
      </c>
      <c r="X541" s="20" t="s">
        <v>130</v>
      </c>
      <c r="Y541" s="20" t="s">
        <v>130</v>
      </c>
      <c r="Z541" s="20" t="s">
        <v>60</v>
      </c>
      <c r="AA541" s="20" t="s">
        <v>61</v>
      </c>
      <c r="AB541" s="20" t="s">
        <v>96</v>
      </c>
      <c r="AC541" s="28">
        <v>369.83</v>
      </c>
      <c r="AD541" s="28">
        <f>SUM(BASE[[#This Row],[MONTO DE RENTA ]]*1.16)</f>
        <v>429.00279999999998</v>
      </c>
      <c r="AE541" s="28" t="s">
        <v>97</v>
      </c>
      <c r="AF541" s="28">
        <v>473.27586206896552</v>
      </c>
      <c r="AG541" s="28">
        <v>549</v>
      </c>
      <c r="AI541" s="63">
        <v>44937</v>
      </c>
      <c r="AJ541" s="73">
        <v>46043</v>
      </c>
      <c r="AK5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1" s="30"/>
      <c r="AN541" s="20" t="s">
        <v>99</v>
      </c>
      <c r="AP541" s="20" t="s">
        <v>66</v>
      </c>
      <c r="AQ541" s="20" t="s">
        <v>100</v>
      </c>
    </row>
    <row r="542" spans="1:43" ht="16">
      <c r="A542" s="20">
        <v>4641095098</v>
      </c>
      <c r="B542" s="49">
        <v>770001</v>
      </c>
      <c r="C542" s="20" t="s">
        <v>2709</v>
      </c>
      <c r="D542" s="20" t="s">
        <v>69</v>
      </c>
      <c r="E542" s="20" t="s">
        <v>316</v>
      </c>
      <c r="F542" s="20" t="s">
        <v>70</v>
      </c>
      <c r="G542" s="20" t="s">
        <v>70</v>
      </c>
      <c r="H542" s="20" t="s">
        <v>48</v>
      </c>
      <c r="I542" s="20" t="s">
        <v>70</v>
      </c>
      <c r="J542" s="22" t="s">
        <v>2710</v>
      </c>
      <c r="K542" s="22" t="s">
        <v>2710</v>
      </c>
      <c r="L542" s="23" t="s">
        <v>2616</v>
      </c>
      <c r="M542" s="24" t="s">
        <v>7743</v>
      </c>
      <c r="N542" s="23">
        <v>18677000</v>
      </c>
      <c r="O542" s="25" t="s">
        <v>93</v>
      </c>
      <c r="P542" s="25" t="s">
        <v>53</v>
      </c>
      <c r="Q542" s="20" t="s">
        <v>2711</v>
      </c>
      <c r="R542" s="20">
        <v>61914532</v>
      </c>
      <c r="S542" s="25" t="s">
        <v>55</v>
      </c>
      <c r="T542" s="26" t="s">
        <v>56</v>
      </c>
      <c r="U542" s="23">
        <v>357894928585244</v>
      </c>
      <c r="V542" s="27" t="s">
        <v>78</v>
      </c>
      <c r="W542" s="20" t="s">
        <v>95</v>
      </c>
      <c r="X542" s="20" t="s">
        <v>95</v>
      </c>
      <c r="Y542" s="20" t="s">
        <v>95</v>
      </c>
      <c r="Z542" s="20" t="s">
        <v>60</v>
      </c>
      <c r="AA542" s="20" t="s">
        <v>61</v>
      </c>
      <c r="AB542" s="20" t="s">
        <v>82</v>
      </c>
      <c r="AC542" s="28">
        <v>559.48</v>
      </c>
      <c r="AD542" s="28">
        <f>SUM(BASE[[#This Row],[MONTO DE RENTA ]]*1.16)</f>
        <v>648.99680000000001</v>
      </c>
      <c r="AE542" s="28" t="s">
        <v>83</v>
      </c>
      <c r="AF542" s="28">
        <v>559.48275862068965</v>
      </c>
      <c r="AG542" s="28">
        <v>649</v>
      </c>
      <c r="AI542" s="63">
        <v>44937</v>
      </c>
      <c r="AJ542" s="73">
        <v>46043</v>
      </c>
      <c r="AK5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2" s="30"/>
      <c r="AN542" s="20" t="s">
        <v>99</v>
      </c>
      <c r="AP542" s="20" t="s">
        <v>84</v>
      </c>
      <c r="AQ542" s="20" t="s">
        <v>100</v>
      </c>
    </row>
    <row r="543" spans="1:43" ht="16">
      <c r="A543" s="20">
        <v>9999700715</v>
      </c>
      <c r="B543" s="49">
        <v>1000070</v>
      </c>
      <c r="C543" s="20" t="s">
        <v>2712</v>
      </c>
      <c r="D543" s="20" t="s">
        <v>2713</v>
      </c>
      <c r="E543" s="20" t="s">
        <v>432</v>
      </c>
      <c r="F543" s="20" t="s">
        <v>418</v>
      </c>
      <c r="G543" s="20" t="s">
        <v>47</v>
      </c>
      <c r="H543" s="20" t="s">
        <v>48</v>
      </c>
      <c r="I543" s="20" t="s">
        <v>418</v>
      </c>
      <c r="J543" s="22" t="s">
        <v>2714</v>
      </c>
      <c r="K543" s="22" t="s">
        <v>2714</v>
      </c>
      <c r="L543" s="23" t="s">
        <v>2707</v>
      </c>
      <c r="M543" s="24" t="s">
        <v>7751</v>
      </c>
      <c r="N543" s="23">
        <v>18696000</v>
      </c>
      <c r="O543" s="25" t="s">
        <v>1035</v>
      </c>
      <c r="P543" s="25" t="s">
        <v>53</v>
      </c>
      <c r="Q543" s="20" t="s">
        <v>2715</v>
      </c>
      <c r="R543" s="20">
        <v>82117246</v>
      </c>
      <c r="S543" s="25" t="s">
        <v>55</v>
      </c>
      <c r="T543" s="26" t="s">
        <v>56</v>
      </c>
      <c r="U543" s="23">
        <v>860900062322532</v>
      </c>
      <c r="V543" s="27" t="s">
        <v>183</v>
      </c>
      <c r="W543" s="20" t="s">
        <v>58</v>
      </c>
      <c r="X543" s="20" t="s">
        <v>59</v>
      </c>
      <c r="Y543" s="20" t="s">
        <v>59</v>
      </c>
      <c r="Z543" s="20" t="s">
        <v>60</v>
      </c>
      <c r="AA543" s="20" t="s">
        <v>61</v>
      </c>
      <c r="AB543" s="20" t="s">
        <v>96</v>
      </c>
      <c r="AC543" s="28">
        <v>369.83</v>
      </c>
      <c r="AD543" s="28">
        <f>SUM(BASE[[#This Row],[MONTO DE RENTA ]]*1.16)</f>
        <v>429.00279999999998</v>
      </c>
      <c r="AE543" s="28" t="s">
        <v>63</v>
      </c>
      <c r="AF543" s="28">
        <v>369.82758620689657</v>
      </c>
      <c r="AG543" s="28">
        <v>429</v>
      </c>
      <c r="AI543" s="63">
        <v>44937</v>
      </c>
      <c r="AJ543" s="63">
        <v>46064</v>
      </c>
      <c r="AK543" s="30">
        <f ca="1">IFERROR(IF(BASE[[#This Row],[FECHA DE RENOVACION ]]&gt;TODAY(), DATEDIF(TODAY(),BASE[[#This Row],[FECHA DE RENOVACION ]],"M"), -DATEDIF(BASE[[#This Row],[FECHA DE RENOVACION ]],TODAY(),"M")), "Sin fecha")</f>
        <v>0</v>
      </c>
      <c r="AM543" s="30"/>
      <c r="AN543" s="20" t="s">
        <v>99</v>
      </c>
      <c r="AP543" s="20" t="s">
        <v>84</v>
      </c>
      <c r="AQ543" s="20" t="s">
        <v>100</v>
      </c>
    </row>
    <row r="544" spans="1:43" ht="16">
      <c r="A544" s="20">
        <v>9991346752</v>
      </c>
      <c r="B544" s="49">
        <v>1002085</v>
      </c>
      <c r="C544" s="20" t="s">
        <v>2716</v>
      </c>
      <c r="D544" s="20" t="s">
        <v>2158</v>
      </c>
      <c r="E544" s="20" t="s">
        <v>2717</v>
      </c>
      <c r="F544" s="20" t="s">
        <v>1568</v>
      </c>
      <c r="G544" s="20" t="s">
        <v>1568</v>
      </c>
      <c r="H544" s="20" t="s">
        <v>48</v>
      </c>
      <c r="I544" s="20" t="s">
        <v>1568</v>
      </c>
      <c r="J544" s="22" t="s">
        <v>2718</v>
      </c>
      <c r="K544" s="32" t="s">
        <v>2719</v>
      </c>
      <c r="L544" s="23" t="s">
        <v>2707</v>
      </c>
      <c r="M544" s="24" t="s">
        <v>7751</v>
      </c>
      <c r="N544" s="23">
        <v>18696000</v>
      </c>
      <c r="O544" s="25" t="s">
        <v>1035</v>
      </c>
      <c r="P544" s="25" t="s">
        <v>53</v>
      </c>
      <c r="Q544" s="20" t="s">
        <v>2720</v>
      </c>
      <c r="R544" s="20">
        <v>83215321</v>
      </c>
      <c r="S544" s="25" t="s">
        <v>55</v>
      </c>
      <c r="T544" s="26" t="s">
        <v>56</v>
      </c>
      <c r="U544" s="23">
        <v>860982060870043</v>
      </c>
      <c r="V544" s="27" t="s">
        <v>183</v>
      </c>
      <c r="W544" s="20" t="s">
        <v>129</v>
      </c>
      <c r="X544" s="20" t="s">
        <v>130</v>
      </c>
      <c r="Y544" s="20" t="s">
        <v>130</v>
      </c>
      <c r="Z544" s="20" t="s">
        <v>60</v>
      </c>
      <c r="AA544" s="20" t="s">
        <v>61</v>
      </c>
      <c r="AB544" s="20" t="s">
        <v>96</v>
      </c>
      <c r="AC544" s="28">
        <v>369.83</v>
      </c>
      <c r="AD544" s="28">
        <f>SUM(BASE[[#This Row],[MONTO DE RENTA ]]*1.16)</f>
        <v>429.00279999999998</v>
      </c>
      <c r="AE544" s="28" t="s">
        <v>63</v>
      </c>
      <c r="AF544" s="28">
        <v>369.82758620689657</v>
      </c>
      <c r="AG544" s="28">
        <v>429</v>
      </c>
      <c r="AI544" s="63">
        <v>44937</v>
      </c>
      <c r="AJ544" s="73">
        <v>46043</v>
      </c>
      <c r="AK5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4" s="30"/>
      <c r="AN544" s="20" t="s">
        <v>99</v>
      </c>
      <c r="AP544" s="20" t="s">
        <v>84</v>
      </c>
      <c r="AQ544" s="20" t="s">
        <v>100</v>
      </c>
    </row>
    <row r="545" spans="1:43" ht="16">
      <c r="A545" s="20">
        <v>9999476134</v>
      </c>
      <c r="B545" s="49">
        <v>855131</v>
      </c>
      <c r="C545" s="20" t="s">
        <v>2721</v>
      </c>
      <c r="D545" s="20" t="s">
        <v>2722</v>
      </c>
      <c r="E545" s="20" t="s">
        <v>44</v>
      </c>
      <c r="F545" s="20" t="s">
        <v>451</v>
      </c>
      <c r="G545" s="20" t="s">
        <v>248</v>
      </c>
      <c r="H545" s="20" t="s">
        <v>48</v>
      </c>
      <c r="I545" s="20" t="s">
        <v>451</v>
      </c>
      <c r="J545" s="22" t="s">
        <v>2723</v>
      </c>
      <c r="K545" s="22" t="s">
        <v>2723</v>
      </c>
      <c r="L545" s="23" t="s">
        <v>2707</v>
      </c>
      <c r="M545" s="24" t="s">
        <v>7751</v>
      </c>
      <c r="N545" s="23">
        <v>18085000</v>
      </c>
      <c r="O545" s="25" t="s">
        <v>1035</v>
      </c>
      <c r="P545" s="25" t="s">
        <v>53</v>
      </c>
      <c r="Q545" s="20" t="s">
        <v>2724</v>
      </c>
      <c r="R545" s="20">
        <v>82117242</v>
      </c>
      <c r="S545" s="25" t="s">
        <v>55</v>
      </c>
      <c r="T545" s="26" t="s">
        <v>56</v>
      </c>
      <c r="U545" s="23">
        <v>865356065673154</v>
      </c>
      <c r="V545" s="27" t="s">
        <v>183</v>
      </c>
      <c r="W545" s="20" t="s">
        <v>129</v>
      </c>
      <c r="X545" s="20" t="s">
        <v>130</v>
      </c>
      <c r="Y545" s="20" t="s">
        <v>130</v>
      </c>
      <c r="Z545" s="20" t="s">
        <v>60</v>
      </c>
      <c r="AA545" s="20" t="s">
        <v>61</v>
      </c>
      <c r="AB545" s="20" t="s">
        <v>96</v>
      </c>
      <c r="AC545" s="28">
        <v>369.83</v>
      </c>
      <c r="AD545" s="28">
        <f>SUM(BASE[[#This Row],[MONTO DE RENTA ]]*1.16)</f>
        <v>429.00279999999998</v>
      </c>
      <c r="AE545" s="28" t="s">
        <v>63</v>
      </c>
      <c r="AF545" s="28">
        <v>369.82758620689657</v>
      </c>
      <c r="AG545" s="28">
        <v>429</v>
      </c>
      <c r="AI545" s="63">
        <v>44937</v>
      </c>
      <c r="AJ545" s="73">
        <v>46043</v>
      </c>
      <c r="AK54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5" s="30"/>
      <c r="AN545" s="20" t="s">
        <v>99</v>
      </c>
      <c r="AP545" s="20" t="s">
        <v>84</v>
      </c>
      <c r="AQ545" s="20" t="s">
        <v>100</v>
      </c>
    </row>
    <row r="546" spans="1:43" ht="16">
      <c r="A546" s="20">
        <v>9999473497</v>
      </c>
      <c r="B546" s="49">
        <v>635004</v>
      </c>
      <c r="C546" s="20" t="s">
        <v>2725</v>
      </c>
      <c r="D546" s="20" t="s">
        <v>546</v>
      </c>
      <c r="E546" s="20" t="s">
        <v>2726</v>
      </c>
      <c r="F546" s="20" t="s">
        <v>122</v>
      </c>
      <c r="G546" s="20" t="s">
        <v>122</v>
      </c>
      <c r="H546" s="20" t="s">
        <v>48</v>
      </c>
      <c r="I546" s="20" t="s">
        <v>122</v>
      </c>
      <c r="J546" s="22" t="s">
        <v>2727</v>
      </c>
      <c r="K546" s="22" t="s">
        <v>2727</v>
      </c>
      <c r="L546" s="23" t="s">
        <v>2707</v>
      </c>
      <c r="M546" s="24" t="s">
        <v>7751</v>
      </c>
      <c r="N546" s="23">
        <v>18696000</v>
      </c>
      <c r="O546" s="25" t="s">
        <v>1035</v>
      </c>
      <c r="P546" s="25" t="s">
        <v>53</v>
      </c>
      <c r="Q546" s="20" t="s">
        <v>2728</v>
      </c>
      <c r="R546" s="20">
        <v>82117227</v>
      </c>
      <c r="S546" s="25" t="s">
        <v>55</v>
      </c>
      <c r="T546" s="26" t="s">
        <v>56</v>
      </c>
      <c r="U546" s="23">
        <v>865356065673030</v>
      </c>
      <c r="V546" s="27" t="s">
        <v>183</v>
      </c>
      <c r="W546" s="20" t="s">
        <v>129</v>
      </c>
      <c r="X546" s="20" t="s">
        <v>130</v>
      </c>
      <c r="Y546" s="20" t="s">
        <v>130</v>
      </c>
      <c r="Z546" s="20" t="s">
        <v>60</v>
      </c>
      <c r="AA546" s="20" t="s">
        <v>61</v>
      </c>
      <c r="AB546" s="20" t="s">
        <v>96</v>
      </c>
      <c r="AC546" s="28">
        <v>369.83</v>
      </c>
      <c r="AD546" s="28">
        <f>SUM(BASE[[#This Row],[MONTO DE RENTA ]]*1.16)</f>
        <v>429.00279999999998</v>
      </c>
      <c r="AE546" s="28" t="s">
        <v>63</v>
      </c>
      <c r="AF546" s="28">
        <v>369.82758620689657</v>
      </c>
      <c r="AG546" s="28">
        <v>429</v>
      </c>
      <c r="AI546" s="63">
        <v>44937</v>
      </c>
      <c r="AJ546" s="73">
        <v>46043</v>
      </c>
      <c r="AK54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6" s="30"/>
      <c r="AN546" s="20" t="s">
        <v>99</v>
      </c>
      <c r="AP546" s="20" t="s">
        <v>84</v>
      </c>
      <c r="AQ546" s="20" t="s">
        <v>100</v>
      </c>
    </row>
    <row r="547" spans="1:43" ht="16">
      <c r="A547" s="20">
        <v>9991299457</v>
      </c>
      <c r="B547" s="86">
        <v>1067370</v>
      </c>
      <c r="C547" s="20" t="s">
        <v>2729</v>
      </c>
      <c r="D547" s="20" t="s">
        <v>1303</v>
      </c>
      <c r="E547" s="20" t="s">
        <v>2730</v>
      </c>
      <c r="F547" s="20" t="s">
        <v>104</v>
      </c>
      <c r="G547" s="20" t="s">
        <v>104</v>
      </c>
      <c r="H547" s="20" t="s">
        <v>48</v>
      </c>
      <c r="I547" s="20" t="s">
        <v>104</v>
      </c>
      <c r="J547" s="32" t="s">
        <v>2731</v>
      </c>
      <c r="K547" s="32" t="s">
        <v>2731</v>
      </c>
      <c r="L547" s="23" t="s">
        <v>2707</v>
      </c>
      <c r="M547" s="24" t="s">
        <v>7751</v>
      </c>
      <c r="N547" s="23">
        <v>18696000</v>
      </c>
      <c r="O547" s="25" t="s">
        <v>1035</v>
      </c>
      <c r="P547" s="25" t="s">
        <v>53</v>
      </c>
      <c r="Q547" s="20" t="s">
        <v>2732</v>
      </c>
      <c r="R547" s="20">
        <v>82157657</v>
      </c>
      <c r="S547" s="25" t="s">
        <v>55</v>
      </c>
      <c r="T547" s="26" t="s">
        <v>56</v>
      </c>
      <c r="U547" s="23">
        <v>867353050206429</v>
      </c>
      <c r="V547" s="45" t="s">
        <v>110</v>
      </c>
      <c r="W547" s="20" t="s">
        <v>149</v>
      </c>
      <c r="X547" s="20" t="s">
        <v>150</v>
      </c>
      <c r="Y547" s="20" t="s">
        <v>150</v>
      </c>
      <c r="Z547" s="20" t="s">
        <v>60</v>
      </c>
      <c r="AA547" s="20" t="s">
        <v>61</v>
      </c>
      <c r="AB547" s="20" t="s">
        <v>96</v>
      </c>
      <c r="AC547" s="28">
        <v>369.83</v>
      </c>
      <c r="AD547" s="28">
        <f>SUM(BASE[[#This Row],[MONTO DE RENTA ]]*1.16)</f>
        <v>429.00279999999998</v>
      </c>
      <c r="AE547" s="28" t="s">
        <v>97</v>
      </c>
      <c r="AF547" s="28">
        <v>473.27586206896552</v>
      </c>
      <c r="AG547" s="28">
        <v>549</v>
      </c>
      <c r="AI547" s="63">
        <v>44937</v>
      </c>
      <c r="AJ547" s="73">
        <v>46043</v>
      </c>
      <c r="AK5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7" s="30"/>
      <c r="AN547" s="20" t="s">
        <v>99</v>
      </c>
      <c r="AP547" s="20" t="s">
        <v>66</v>
      </c>
      <c r="AQ547" s="20" t="s">
        <v>100</v>
      </c>
    </row>
    <row r="548" spans="1:43" ht="16">
      <c r="A548" s="20">
        <v>9999007198</v>
      </c>
      <c r="B548" s="49">
        <v>635053</v>
      </c>
      <c r="C548" s="20" t="s">
        <v>2733</v>
      </c>
      <c r="D548" s="20" t="s">
        <v>2734</v>
      </c>
      <c r="E548" s="20" t="s">
        <v>1205</v>
      </c>
      <c r="F548" s="20" t="s">
        <v>104</v>
      </c>
      <c r="G548" s="20" t="s">
        <v>104</v>
      </c>
      <c r="H548" s="20" t="s">
        <v>48</v>
      </c>
      <c r="I548" s="20" t="s">
        <v>104</v>
      </c>
      <c r="J548" s="32" t="s">
        <v>2735</v>
      </c>
      <c r="K548" s="32" t="s">
        <v>2735</v>
      </c>
      <c r="L548" s="23" t="s">
        <v>2707</v>
      </c>
      <c r="M548" s="24" t="s">
        <v>7751</v>
      </c>
      <c r="N548" s="23">
        <v>18696000</v>
      </c>
      <c r="O548" s="25" t="s">
        <v>1035</v>
      </c>
      <c r="P548" s="25" t="s">
        <v>53</v>
      </c>
      <c r="Q548" s="20" t="s">
        <v>2736</v>
      </c>
      <c r="R548" s="20">
        <v>82117224</v>
      </c>
      <c r="S548" s="25" t="s">
        <v>55</v>
      </c>
      <c r="T548" s="26" t="s">
        <v>56</v>
      </c>
      <c r="U548" s="23">
        <v>867353050198006</v>
      </c>
      <c r="V548" s="45" t="s">
        <v>110</v>
      </c>
      <c r="W548" s="20" t="s">
        <v>149</v>
      </c>
      <c r="X548" s="20" t="s">
        <v>150</v>
      </c>
      <c r="Y548" s="20" t="s">
        <v>150</v>
      </c>
      <c r="Z548" s="20" t="s">
        <v>60</v>
      </c>
      <c r="AA548" s="20" t="s">
        <v>61</v>
      </c>
      <c r="AB548" s="20" t="s">
        <v>96</v>
      </c>
      <c r="AC548" s="28">
        <v>369.83</v>
      </c>
      <c r="AD548" s="28">
        <f>SUM(BASE[[#This Row],[MONTO DE RENTA ]]*1.16)</f>
        <v>429.00279999999998</v>
      </c>
      <c r="AE548" s="28" t="s">
        <v>97</v>
      </c>
      <c r="AF548" s="28">
        <v>473.27586206896552</v>
      </c>
      <c r="AG548" s="28">
        <v>549</v>
      </c>
      <c r="AI548" s="63">
        <v>44937</v>
      </c>
      <c r="AJ548" s="73">
        <v>46043</v>
      </c>
      <c r="AK5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8" s="30"/>
      <c r="AN548" s="20" t="s">
        <v>99</v>
      </c>
      <c r="AP548" s="20" t="s">
        <v>66</v>
      </c>
      <c r="AQ548" s="20" t="s">
        <v>100</v>
      </c>
    </row>
    <row r="549" spans="1:43" ht="16">
      <c r="A549" s="20">
        <v>2381338709</v>
      </c>
      <c r="B549" s="49">
        <v>1001270</v>
      </c>
      <c r="C549" s="20" t="s">
        <v>1561</v>
      </c>
      <c r="D549" s="20" t="s">
        <v>1562</v>
      </c>
      <c r="E549" s="20" t="s">
        <v>292</v>
      </c>
      <c r="F549" s="20" t="s">
        <v>47</v>
      </c>
      <c r="G549" s="20" t="s">
        <v>47</v>
      </c>
      <c r="H549" s="20" t="s">
        <v>48</v>
      </c>
      <c r="I549" s="20" t="s">
        <v>47</v>
      </c>
      <c r="J549" s="22" t="s">
        <v>2737</v>
      </c>
      <c r="K549" s="22" t="s">
        <v>2737</v>
      </c>
      <c r="L549" s="23" t="s">
        <v>2738</v>
      </c>
      <c r="M549" s="24" t="s">
        <v>7753</v>
      </c>
      <c r="N549" s="23">
        <v>18698000</v>
      </c>
      <c r="O549" s="25" t="s">
        <v>828</v>
      </c>
      <c r="P549" s="25" t="s">
        <v>53</v>
      </c>
      <c r="Q549" s="20" t="s">
        <v>2739</v>
      </c>
      <c r="R549" s="20">
        <v>72814941</v>
      </c>
      <c r="S549" s="25" t="s">
        <v>2740</v>
      </c>
      <c r="T549" s="26" t="s">
        <v>57</v>
      </c>
      <c r="U549" s="23">
        <v>865356065673246</v>
      </c>
      <c r="V549" s="27" t="s">
        <v>183</v>
      </c>
      <c r="W549" s="20" t="s">
        <v>129</v>
      </c>
      <c r="X549" s="20" t="s">
        <v>130</v>
      </c>
      <c r="Y549" s="20" t="s">
        <v>130</v>
      </c>
      <c r="Z549" s="20" t="s">
        <v>60</v>
      </c>
      <c r="AA549" s="20" t="s">
        <v>61</v>
      </c>
      <c r="AB549" s="20" t="s">
        <v>96</v>
      </c>
      <c r="AC549" s="28">
        <v>369.83</v>
      </c>
      <c r="AD549" s="28">
        <f>SUM(BASE[[#This Row],[MONTO DE RENTA ]]*1.16)</f>
        <v>429.00279999999998</v>
      </c>
      <c r="AE549" s="28" t="s">
        <v>63</v>
      </c>
      <c r="AF549" s="28">
        <v>369.82758620689657</v>
      </c>
      <c r="AG549" s="28">
        <v>429</v>
      </c>
      <c r="AI549" s="63">
        <v>44937</v>
      </c>
      <c r="AJ549" s="73">
        <v>46043</v>
      </c>
      <c r="AK5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49" s="30"/>
      <c r="AN549" s="20" t="s">
        <v>99</v>
      </c>
      <c r="AP549" s="20" t="s">
        <v>84</v>
      </c>
      <c r="AQ549" s="20" t="s">
        <v>100</v>
      </c>
    </row>
    <row r="550" spans="1:43" ht="16">
      <c r="A550" s="20">
        <v>9993687014</v>
      </c>
      <c r="B550" s="49">
        <v>1047822</v>
      </c>
      <c r="C550" s="20" t="s">
        <v>460</v>
      </c>
      <c r="D550" s="20" t="s">
        <v>2741</v>
      </c>
      <c r="E550" s="20" t="s">
        <v>2742</v>
      </c>
      <c r="F550" s="20" t="s">
        <v>70</v>
      </c>
      <c r="G550" s="20" t="s">
        <v>70</v>
      </c>
      <c r="H550" s="20" t="s">
        <v>48</v>
      </c>
      <c r="I550" s="20" t="s">
        <v>70</v>
      </c>
      <c r="J550" s="22" t="s">
        <v>2743</v>
      </c>
      <c r="K550" s="22" t="s">
        <v>2743</v>
      </c>
      <c r="L550" s="23" t="s">
        <v>2707</v>
      </c>
      <c r="M550" s="24" t="s">
        <v>7751</v>
      </c>
      <c r="N550" s="23">
        <v>18696000</v>
      </c>
      <c r="O550" s="25" t="s">
        <v>1035</v>
      </c>
      <c r="P550" s="25" t="s">
        <v>53</v>
      </c>
      <c r="Q550" s="20" t="s">
        <v>2744</v>
      </c>
      <c r="R550" s="20">
        <v>82096037</v>
      </c>
      <c r="S550" s="25" t="s">
        <v>55</v>
      </c>
      <c r="T550" s="26" t="s">
        <v>56</v>
      </c>
      <c r="U550" s="23">
        <v>357654178463124</v>
      </c>
      <c r="V550" s="27" t="s">
        <v>78</v>
      </c>
      <c r="W550" s="20" t="s">
        <v>95</v>
      </c>
      <c r="X550" s="20" t="s">
        <v>95</v>
      </c>
      <c r="Y550" s="20" t="s">
        <v>95</v>
      </c>
      <c r="Z550" s="20" t="s">
        <v>60</v>
      </c>
      <c r="AA550" s="20" t="s">
        <v>61</v>
      </c>
      <c r="AB550" s="20" t="s">
        <v>82</v>
      </c>
      <c r="AC550" s="28">
        <v>559.48</v>
      </c>
      <c r="AD550" s="28">
        <f>SUM(BASE[[#This Row],[MONTO DE RENTA ]]*1.16)</f>
        <v>648.99680000000001</v>
      </c>
      <c r="AE550" s="28" t="s">
        <v>83</v>
      </c>
      <c r="AF550" s="28">
        <v>559.48275862068965</v>
      </c>
      <c r="AG550" s="28">
        <v>649</v>
      </c>
      <c r="AI550" s="63">
        <v>44937</v>
      </c>
      <c r="AJ550" s="73">
        <v>46043</v>
      </c>
      <c r="AK5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0" s="30"/>
      <c r="AN550" s="20" t="s">
        <v>99</v>
      </c>
      <c r="AP550" s="20" t="s">
        <v>84</v>
      </c>
      <c r="AQ550" s="20" t="s">
        <v>100</v>
      </c>
    </row>
    <row r="551" spans="1:43" ht="16">
      <c r="A551" s="20">
        <v>2381471349</v>
      </c>
      <c r="B551" s="21">
        <v>350447</v>
      </c>
      <c r="C551" s="20" t="s">
        <v>2745</v>
      </c>
      <c r="D551" s="20" t="s">
        <v>497</v>
      </c>
      <c r="E551" s="20" t="s">
        <v>477</v>
      </c>
      <c r="F551" s="20" t="s">
        <v>257</v>
      </c>
      <c r="G551" s="20" t="s">
        <v>257</v>
      </c>
      <c r="H551" s="20" t="s">
        <v>48</v>
      </c>
      <c r="I551" s="20" t="s">
        <v>257</v>
      </c>
      <c r="J551" s="22" t="s">
        <v>2746</v>
      </c>
      <c r="K551" s="22" t="s">
        <v>2746</v>
      </c>
      <c r="L551" s="23" t="s">
        <v>2738</v>
      </c>
      <c r="M551" s="24" t="s">
        <v>7753</v>
      </c>
      <c r="N551" s="23">
        <v>18698000</v>
      </c>
      <c r="O551" s="25" t="s">
        <v>828</v>
      </c>
      <c r="P551" s="25" t="s">
        <v>53</v>
      </c>
      <c r="Q551" s="20" t="s">
        <v>2747</v>
      </c>
      <c r="R551" s="20">
        <v>72814942</v>
      </c>
      <c r="S551" s="25" t="s">
        <v>55</v>
      </c>
      <c r="T551" s="67" t="s">
        <v>56</v>
      </c>
      <c r="U551" s="23">
        <v>860478064952572</v>
      </c>
      <c r="V551" s="45" t="s">
        <v>110</v>
      </c>
      <c r="W551" s="20" t="s">
        <v>302</v>
      </c>
      <c r="X551" s="20" t="s">
        <v>303</v>
      </c>
      <c r="Y551" s="20" t="s">
        <v>303</v>
      </c>
      <c r="Z551" s="20" t="s">
        <v>60</v>
      </c>
      <c r="AA551" s="20" t="s">
        <v>61</v>
      </c>
      <c r="AB551" s="20" t="s">
        <v>96</v>
      </c>
      <c r="AC551" s="28">
        <v>369.83</v>
      </c>
      <c r="AD551" s="28">
        <f>SUM(BASE[[#This Row],[MONTO DE RENTA ]]*1.16)</f>
        <v>429.00279999999998</v>
      </c>
      <c r="AE551" s="28" t="s">
        <v>97</v>
      </c>
      <c r="AF551" s="28">
        <v>473.27586206896552</v>
      </c>
      <c r="AG551" s="28">
        <v>549</v>
      </c>
      <c r="AI551" s="63">
        <v>44937</v>
      </c>
      <c r="AJ551" s="63">
        <v>46429</v>
      </c>
      <c r="AK5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51" s="30"/>
      <c r="AN551" s="20" t="s">
        <v>65</v>
      </c>
      <c r="AP551" s="20" t="s">
        <v>66</v>
      </c>
    </row>
    <row r="552" spans="1:43" ht="16">
      <c r="A552" s="20">
        <v>2381208970</v>
      </c>
      <c r="B552" s="49">
        <v>1001312</v>
      </c>
      <c r="C552" s="20" t="s">
        <v>304</v>
      </c>
      <c r="D552" s="20" t="s">
        <v>1694</v>
      </c>
      <c r="E552" s="20" t="s">
        <v>143</v>
      </c>
      <c r="F552" s="20" t="s">
        <v>248</v>
      </c>
      <c r="G552" s="20" t="s">
        <v>248</v>
      </c>
      <c r="H552" s="20" t="s">
        <v>48</v>
      </c>
      <c r="I552" s="20" t="s">
        <v>248</v>
      </c>
      <c r="J552" s="22" t="s">
        <v>2748</v>
      </c>
      <c r="K552" s="54" t="s">
        <v>2749</v>
      </c>
      <c r="L552" s="23" t="s">
        <v>2738</v>
      </c>
      <c r="M552" s="24" t="s">
        <v>7753</v>
      </c>
      <c r="N552" s="23">
        <v>18698000</v>
      </c>
      <c r="O552" s="25" t="s">
        <v>828</v>
      </c>
      <c r="P552" s="25" t="s">
        <v>53</v>
      </c>
      <c r="Q552" s="20" t="s">
        <v>2750</v>
      </c>
      <c r="R552" s="20">
        <v>72814939</v>
      </c>
      <c r="S552" s="25" t="s">
        <v>2751</v>
      </c>
      <c r="T552" s="44" t="s">
        <v>57</v>
      </c>
      <c r="U552" s="23" t="s">
        <v>193</v>
      </c>
      <c r="V552" s="27" t="s">
        <v>183</v>
      </c>
      <c r="W552" s="20" t="s">
        <v>194</v>
      </c>
      <c r="X552" s="20" t="s">
        <v>194</v>
      </c>
      <c r="Y552" s="20" t="s">
        <v>194</v>
      </c>
      <c r="Z552" s="20" t="s">
        <v>60</v>
      </c>
      <c r="AA552" s="20" t="s">
        <v>61</v>
      </c>
      <c r="AB552" s="20" t="s">
        <v>96</v>
      </c>
      <c r="AC552" s="28">
        <v>369.83</v>
      </c>
      <c r="AD552" s="28">
        <f>SUM(BASE[[#This Row],[MONTO DE RENTA ]]*1.16)</f>
        <v>429.00279999999998</v>
      </c>
      <c r="AE552" s="28" t="s">
        <v>63</v>
      </c>
      <c r="AF552" s="28">
        <v>369.82758620689657</v>
      </c>
      <c r="AG552" s="28">
        <v>429</v>
      </c>
      <c r="AI552" s="63">
        <v>44937</v>
      </c>
      <c r="AJ552" s="73">
        <v>46043</v>
      </c>
      <c r="AK5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2" s="30" t="s">
        <v>1344</v>
      </c>
      <c r="AN552" s="20" t="s">
        <v>99</v>
      </c>
      <c r="AP552" s="20" t="s">
        <v>84</v>
      </c>
      <c r="AQ552" s="20" t="s">
        <v>100</v>
      </c>
    </row>
    <row r="553" spans="1:43" ht="16">
      <c r="A553" s="20">
        <v>8110506991</v>
      </c>
      <c r="B553" s="21">
        <v>997959</v>
      </c>
      <c r="C553" s="20" t="s">
        <v>2065</v>
      </c>
      <c r="D553" s="20" t="s">
        <v>2752</v>
      </c>
      <c r="E553" s="20" t="s">
        <v>983</v>
      </c>
      <c r="F553" s="20" t="s">
        <v>418</v>
      </c>
      <c r="G553" s="20" t="s">
        <v>47</v>
      </c>
      <c r="H553" s="20" t="s">
        <v>48</v>
      </c>
      <c r="I553" s="20" t="s">
        <v>418</v>
      </c>
      <c r="J553" s="195" t="s">
        <v>2753</v>
      </c>
      <c r="K553" s="195" t="s">
        <v>2753</v>
      </c>
      <c r="L553" s="23" t="s">
        <v>2754</v>
      </c>
      <c r="M553" s="24" t="s">
        <v>7737</v>
      </c>
      <c r="N553" s="23">
        <v>18701000</v>
      </c>
      <c r="O553" s="25" t="s">
        <v>74</v>
      </c>
      <c r="P553" s="25" t="s">
        <v>53</v>
      </c>
      <c r="Q553" s="20" t="s">
        <v>2755</v>
      </c>
      <c r="R553" s="20">
        <v>43394884</v>
      </c>
      <c r="S553" s="25" t="s">
        <v>2756</v>
      </c>
      <c r="T553" s="26" t="s">
        <v>57</v>
      </c>
      <c r="U553" s="23">
        <v>865356065689572</v>
      </c>
      <c r="V553" s="27" t="s">
        <v>57</v>
      </c>
      <c r="W553" s="20" t="s">
        <v>129</v>
      </c>
      <c r="X553" s="20" t="s">
        <v>130</v>
      </c>
      <c r="Y553" s="20" t="s">
        <v>130</v>
      </c>
      <c r="Z553" s="20" t="s">
        <v>167</v>
      </c>
      <c r="AA553" s="20" t="s">
        <v>168</v>
      </c>
      <c r="AB553" s="20" t="s">
        <v>96</v>
      </c>
      <c r="AC553" s="28">
        <v>369.83</v>
      </c>
      <c r="AD553" s="28">
        <f>SUM(BASE[[#This Row],[MONTO DE RENTA ]]*1.16)</f>
        <v>429.00279999999998</v>
      </c>
      <c r="AE553" s="28" t="s">
        <v>63</v>
      </c>
      <c r="AF553" s="28">
        <v>369.82758620689657</v>
      </c>
      <c r="AG553" s="28">
        <v>429</v>
      </c>
      <c r="AH553" s="22" t="s">
        <v>64</v>
      </c>
      <c r="AI553" s="63">
        <v>45703</v>
      </c>
      <c r="AJ553" s="63">
        <v>46433</v>
      </c>
      <c r="AK5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53" s="30"/>
      <c r="AN553" s="20" t="s">
        <v>65</v>
      </c>
      <c r="AP553" s="20" t="s">
        <v>84</v>
      </c>
    </row>
    <row r="554" spans="1:43" ht="16">
      <c r="A554" s="20">
        <v>2381001240</v>
      </c>
      <c r="B554" s="21">
        <v>1037329</v>
      </c>
      <c r="C554" s="20" t="s">
        <v>572</v>
      </c>
      <c r="D554" s="20" t="s">
        <v>1524</v>
      </c>
      <c r="E554" s="20" t="s">
        <v>281</v>
      </c>
      <c r="F554" s="20" t="s">
        <v>104</v>
      </c>
      <c r="G554" s="20" t="s">
        <v>104</v>
      </c>
      <c r="H554" s="20" t="s">
        <v>48</v>
      </c>
      <c r="I554" s="20" t="s">
        <v>104</v>
      </c>
      <c r="J554" s="22" t="s">
        <v>2757</v>
      </c>
      <c r="K554" s="54" t="s">
        <v>2757</v>
      </c>
      <c r="L554" s="23" t="s">
        <v>2738</v>
      </c>
      <c r="M554" s="24" t="s">
        <v>7753</v>
      </c>
      <c r="N554" s="23">
        <v>18698000</v>
      </c>
      <c r="O554" s="25" t="s">
        <v>828</v>
      </c>
      <c r="P554" s="25" t="s">
        <v>53</v>
      </c>
      <c r="Q554" s="20" t="s">
        <v>2758</v>
      </c>
      <c r="R554" s="20">
        <v>72814944</v>
      </c>
      <c r="S554" s="25" t="s">
        <v>55</v>
      </c>
      <c r="T554" s="67" t="s">
        <v>56</v>
      </c>
      <c r="U554" s="23">
        <v>867471072380079</v>
      </c>
      <c r="V554" s="45" t="s">
        <v>110</v>
      </c>
      <c r="W554" s="20" t="s">
        <v>269</v>
      </c>
      <c r="X554" s="20" t="s">
        <v>270</v>
      </c>
      <c r="Y554" s="20" t="s">
        <v>270</v>
      </c>
      <c r="Z554" s="20" t="s">
        <v>60</v>
      </c>
      <c r="AA554" s="20" t="s">
        <v>61</v>
      </c>
      <c r="AB554" s="20" t="s">
        <v>96</v>
      </c>
      <c r="AC554" s="28">
        <v>369.83</v>
      </c>
      <c r="AD554" s="28">
        <f>SUM(BASE[[#This Row],[MONTO DE RENTA ]]*1.16)</f>
        <v>429.00279999999998</v>
      </c>
      <c r="AE554" s="28" t="s">
        <v>97</v>
      </c>
      <c r="AF554" s="28">
        <v>473.27586206896552</v>
      </c>
      <c r="AG554" s="28">
        <v>549</v>
      </c>
      <c r="AH554" s="22" t="s">
        <v>253</v>
      </c>
      <c r="AI554" s="68">
        <v>45951</v>
      </c>
      <c r="AJ554" s="68">
        <v>46754</v>
      </c>
      <c r="AK554" s="30">
        <f ca="1">IFERROR(IF(BASE[[#This Row],[FECHA DE RENOVACION ]]&gt;TODAY(), DATEDIF(TODAY(),BASE[[#This Row],[FECHA DE RENOVACION ]],"M"), -DATEDIF(BASE[[#This Row],[FECHA DE RENOVACION ]],TODAY(),"M")), "Sin fecha")</f>
        <v>21</v>
      </c>
      <c r="AM554" s="30" t="s">
        <v>2759</v>
      </c>
      <c r="AN554" s="20" t="s">
        <v>65</v>
      </c>
      <c r="AP554" s="20" t="s">
        <v>66</v>
      </c>
    </row>
    <row r="555" spans="1:43" ht="16">
      <c r="A555" s="20">
        <v>2223551633</v>
      </c>
      <c r="B555" s="49">
        <v>1078671</v>
      </c>
      <c r="C555" s="20" t="s">
        <v>977</v>
      </c>
      <c r="D555" s="20" t="s">
        <v>1922</v>
      </c>
      <c r="E555" s="20" t="s">
        <v>358</v>
      </c>
      <c r="F555" s="20" t="s">
        <v>122</v>
      </c>
      <c r="G555" s="20" t="s">
        <v>122</v>
      </c>
      <c r="H555" s="20" t="s">
        <v>48</v>
      </c>
      <c r="I555" s="20" t="s">
        <v>122</v>
      </c>
      <c r="J555" s="32" t="s">
        <v>2760</v>
      </c>
      <c r="K555" s="32" t="s">
        <v>2761</v>
      </c>
      <c r="L555" s="23" t="s">
        <v>2738</v>
      </c>
      <c r="M555" s="24" t="s">
        <v>7753</v>
      </c>
      <c r="N555" s="23">
        <v>18698000</v>
      </c>
      <c r="O555" s="25" t="s">
        <v>828</v>
      </c>
      <c r="P555" s="25" t="s">
        <v>53</v>
      </c>
      <c r="Q555" s="20" t="s">
        <v>2762</v>
      </c>
      <c r="R555" s="20">
        <v>73524057</v>
      </c>
      <c r="S555" s="25" t="s">
        <v>55</v>
      </c>
      <c r="T555" s="26" t="s">
        <v>56</v>
      </c>
      <c r="U555" s="23">
        <v>865356065673642</v>
      </c>
      <c r="V555" s="27" t="s">
        <v>183</v>
      </c>
      <c r="W555" s="20" t="s">
        <v>129</v>
      </c>
      <c r="X555" s="20" t="s">
        <v>130</v>
      </c>
      <c r="Y555" s="20" t="s">
        <v>130</v>
      </c>
      <c r="Z555" s="20" t="s">
        <v>60</v>
      </c>
      <c r="AA555" s="20" t="s">
        <v>61</v>
      </c>
      <c r="AB555" s="20" t="s">
        <v>96</v>
      </c>
      <c r="AC555" s="28">
        <v>369.83</v>
      </c>
      <c r="AD555" s="28">
        <f>SUM(BASE[[#This Row],[MONTO DE RENTA ]]*1.16)</f>
        <v>429.00279999999998</v>
      </c>
      <c r="AE555" s="28" t="s">
        <v>63</v>
      </c>
      <c r="AF555" s="28">
        <v>369.82758620689657</v>
      </c>
      <c r="AG555" s="28">
        <v>429</v>
      </c>
      <c r="AI555" s="63">
        <v>44937</v>
      </c>
      <c r="AJ555" s="63">
        <v>46043</v>
      </c>
      <c r="AK5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5" s="30"/>
      <c r="AN555" s="20" t="s">
        <v>99</v>
      </c>
      <c r="AP555" s="20" t="s">
        <v>84</v>
      </c>
      <c r="AQ555" s="20" t="s">
        <v>100</v>
      </c>
    </row>
    <row r="556" spans="1:43" ht="16">
      <c r="A556" s="20">
        <v>2381085009</v>
      </c>
      <c r="B556" s="49">
        <v>570079</v>
      </c>
      <c r="C556" s="20" t="s">
        <v>2763</v>
      </c>
      <c r="D556" s="20" t="s">
        <v>442</v>
      </c>
      <c r="E556" s="20" t="s">
        <v>442</v>
      </c>
      <c r="F556" s="20" t="s">
        <v>70</v>
      </c>
      <c r="G556" s="20" t="s">
        <v>70</v>
      </c>
      <c r="H556" s="20" t="s">
        <v>48</v>
      </c>
      <c r="I556" s="20" t="s">
        <v>70</v>
      </c>
      <c r="J556" s="22" t="s">
        <v>2764</v>
      </c>
      <c r="K556" s="22" t="s">
        <v>2764</v>
      </c>
      <c r="L556" s="23" t="s">
        <v>2738</v>
      </c>
      <c r="M556" s="24" t="s">
        <v>7753</v>
      </c>
      <c r="N556" s="23">
        <v>18698000</v>
      </c>
      <c r="O556" s="25" t="s">
        <v>828</v>
      </c>
      <c r="P556" s="25" t="s">
        <v>53</v>
      </c>
      <c r="Q556" s="20" t="s">
        <v>2765</v>
      </c>
      <c r="R556" s="20">
        <v>72814964</v>
      </c>
      <c r="S556" s="25" t="s">
        <v>55</v>
      </c>
      <c r="T556" s="26" t="s">
        <v>56</v>
      </c>
      <c r="U556" s="23">
        <v>357654177791830</v>
      </c>
      <c r="V556" s="27" t="s">
        <v>78</v>
      </c>
      <c r="W556" s="20" t="s">
        <v>95</v>
      </c>
      <c r="X556" s="20" t="s">
        <v>95</v>
      </c>
      <c r="Y556" s="20" t="s">
        <v>95</v>
      </c>
      <c r="Z556" s="20" t="s">
        <v>60</v>
      </c>
      <c r="AA556" s="20" t="s">
        <v>61</v>
      </c>
      <c r="AB556" s="20" t="s">
        <v>82</v>
      </c>
      <c r="AC556" s="28">
        <v>559.48</v>
      </c>
      <c r="AD556" s="28">
        <f>SUM(BASE[[#This Row],[MONTO DE RENTA ]]*1.16)</f>
        <v>648.99680000000001</v>
      </c>
      <c r="AE556" s="28" t="s">
        <v>83</v>
      </c>
      <c r="AF556" s="28">
        <v>559.48275862068965</v>
      </c>
      <c r="AG556" s="28">
        <v>649</v>
      </c>
      <c r="AI556" s="63">
        <v>44937</v>
      </c>
      <c r="AJ556" s="73">
        <v>46043</v>
      </c>
      <c r="AK5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6" s="30"/>
      <c r="AN556" s="20" t="s">
        <v>99</v>
      </c>
      <c r="AP556" s="20" t="s">
        <v>84</v>
      </c>
      <c r="AQ556" s="20" t="s">
        <v>100</v>
      </c>
    </row>
    <row r="557" spans="1:43" ht="16">
      <c r="A557" s="20">
        <v>8182590615</v>
      </c>
      <c r="B557" s="21">
        <v>997959</v>
      </c>
      <c r="C557" s="20" t="s">
        <v>2065</v>
      </c>
      <c r="D557" s="20" t="s">
        <v>2752</v>
      </c>
      <c r="E557" s="20" t="s">
        <v>983</v>
      </c>
      <c r="F557" s="20" t="s">
        <v>418</v>
      </c>
      <c r="G557" s="20" t="s">
        <v>47</v>
      </c>
      <c r="H557" s="20" t="s">
        <v>48</v>
      </c>
      <c r="I557" s="20" t="s">
        <v>418</v>
      </c>
      <c r="J557" s="22" t="s">
        <v>2753</v>
      </c>
      <c r="K557" s="22" t="s">
        <v>2753</v>
      </c>
      <c r="L557" s="23" t="s">
        <v>2754</v>
      </c>
      <c r="M557" s="24" t="s">
        <v>7737</v>
      </c>
      <c r="N557" s="23">
        <v>18701000</v>
      </c>
      <c r="O557" s="25" t="s">
        <v>74</v>
      </c>
      <c r="P557" s="25" t="s">
        <v>53</v>
      </c>
      <c r="Q557" s="20" t="s">
        <v>2766</v>
      </c>
      <c r="R557" s="20">
        <v>43163613</v>
      </c>
      <c r="S557" s="25" t="s">
        <v>55</v>
      </c>
      <c r="T557" s="26" t="s">
        <v>56</v>
      </c>
      <c r="U557" s="23">
        <v>865356065689572</v>
      </c>
      <c r="V557" s="27" t="s">
        <v>183</v>
      </c>
      <c r="W557" s="20" t="s">
        <v>129</v>
      </c>
      <c r="X557" s="20" t="s">
        <v>130</v>
      </c>
      <c r="Y557" s="20" t="s">
        <v>130</v>
      </c>
      <c r="Z557" s="20" t="s">
        <v>60</v>
      </c>
      <c r="AA557" s="20" t="s">
        <v>61</v>
      </c>
      <c r="AB557" s="20" t="s">
        <v>96</v>
      </c>
      <c r="AC557" s="28">
        <v>369.83</v>
      </c>
      <c r="AD557" s="28">
        <f>SUM(BASE[[#This Row],[MONTO DE RENTA ]]*1.16)</f>
        <v>429.00279999999998</v>
      </c>
      <c r="AE557" s="28" t="s">
        <v>63</v>
      </c>
      <c r="AF557" s="28">
        <v>369.82758620689657</v>
      </c>
      <c r="AG557" s="28">
        <v>429</v>
      </c>
      <c r="AH557" s="36" t="s">
        <v>64</v>
      </c>
      <c r="AI557" s="84">
        <v>45323</v>
      </c>
      <c r="AJ557" s="84">
        <v>46054</v>
      </c>
      <c r="AK5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7" s="30"/>
      <c r="AN557" s="20" t="s">
        <v>99</v>
      </c>
      <c r="AP557" s="20" t="s">
        <v>84</v>
      </c>
      <c r="AQ557" s="20" t="s">
        <v>100</v>
      </c>
    </row>
    <row r="558" spans="1:43" ht="16">
      <c r="A558" s="20">
        <v>8119991109</v>
      </c>
      <c r="B558" s="21">
        <v>997959</v>
      </c>
      <c r="C558" s="20" t="s">
        <v>2065</v>
      </c>
      <c r="D558" s="20" t="s">
        <v>2752</v>
      </c>
      <c r="E558" s="20" t="s">
        <v>983</v>
      </c>
      <c r="F558" s="20" t="s">
        <v>418</v>
      </c>
      <c r="G558" s="20" t="s">
        <v>47</v>
      </c>
      <c r="H558" s="20" t="s">
        <v>48</v>
      </c>
      <c r="I558" s="20" t="s">
        <v>418</v>
      </c>
      <c r="J558" s="22" t="s">
        <v>2753</v>
      </c>
      <c r="K558" s="22" t="s">
        <v>2753</v>
      </c>
      <c r="L558" s="23" t="s">
        <v>2754</v>
      </c>
      <c r="M558" s="24" t="s">
        <v>7737</v>
      </c>
      <c r="N558" s="23">
        <v>18701000</v>
      </c>
      <c r="O558" s="25" t="s">
        <v>74</v>
      </c>
      <c r="P558" s="25" t="s">
        <v>53</v>
      </c>
      <c r="Q558" s="20" t="s">
        <v>2767</v>
      </c>
      <c r="R558" s="20">
        <v>43748377</v>
      </c>
      <c r="S558" s="25" t="s">
        <v>2768</v>
      </c>
      <c r="T558" s="39" t="s">
        <v>57</v>
      </c>
      <c r="U558" s="23">
        <v>865356065689572</v>
      </c>
      <c r="V558" s="27" t="s">
        <v>57</v>
      </c>
      <c r="W558" s="20" t="s">
        <v>129</v>
      </c>
      <c r="X558" s="20" t="s">
        <v>130</v>
      </c>
      <c r="Y558" s="20" t="s">
        <v>130</v>
      </c>
      <c r="Z558" s="20" t="s">
        <v>167</v>
      </c>
      <c r="AA558" s="20" t="s">
        <v>168</v>
      </c>
      <c r="AB558" s="20" t="s">
        <v>96</v>
      </c>
      <c r="AC558" s="28">
        <v>369.83</v>
      </c>
      <c r="AD558" s="28">
        <f>SUM(BASE[[#This Row],[MONTO DE RENTA ]]*1.16)</f>
        <v>429.00279999999998</v>
      </c>
      <c r="AE558" s="28" t="s">
        <v>63</v>
      </c>
      <c r="AF558" s="28">
        <v>369.82758620689657</v>
      </c>
      <c r="AG558" s="28">
        <v>429</v>
      </c>
      <c r="AH558" s="22" t="s">
        <v>448</v>
      </c>
      <c r="AI558" s="63">
        <v>45868</v>
      </c>
      <c r="AJ558" s="63">
        <v>46598</v>
      </c>
      <c r="AK558" s="30">
        <f ca="1">IFERROR(IF(BASE[[#This Row],[FECHA DE RENOVACION ]]&gt;TODAY(), DATEDIF(TODAY(),BASE[[#This Row],[FECHA DE RENOVACION ]],"M"), -DATEDIF(BASE[[#This Row],[FECHA DE RENOVACION ]],TODAY(),"M")), "Sin fecha")</f>
        <v>16</v>
      </c>
      <c r="AM558" s="30"/>
      <c r="AN558" s="20" t="s">
        <v>65</v>
      </c>
      <c r="AP558" s="20" t="s">
        <v>84</v>
      </c>
    </row>
    <row r="559" spans="1:43" ht="15" customHeight="1">
      <c r="A559" s="20">
        <v>8180889604</v>
      </c>
      <c r="B559" s="49">
        <v>997959</v>
      </c>
      <c r="C559" s="20" t="s">
        <v>2065</v>
      </c>
      <c r="D559" s="20" t="s">
        <v>2752</v>
      </c>
      <c r="E559" s="20" t="s">
        <v>983</v>
      </c>
      <c r="F559" s="20" t="s">
        <v>418</v>
      </c>
      <c r="G559" s="20" t="s">
        <v>418</v>
      </c>
      <c r="H559" s="20" t="s">
        <v>48</v>
      </c>
      <c r="I559" s="20" t="s">
        <v>418</v>
      </c>
      <c r="J559" s="22" t="s">
        <v>2769</v>
      </c>
      <c r="K559" s="22" t="s">
        <v>2769</v>
      </c>
      <c r="L559" s="23" t="s">
        <v>2754</v>
      </c>
      <c r="M559" s="24" t="s">
        <v>7737</v>
      </c>
      <c r="N559" s="23">
        <v>18701000</v>
      </c>
      <c r="O559" s="25" t="s">
        <v>74</v>
      </c>
      <c r="P559" s="25" t="s">
        <v>53</v>
      </c>
      <c r="Q559" s="20" t="s">
        <v>2770</v>
      </c>
      <c r="R559" s="20">
        <v>43591388</v>
      </c>
      <c r="S559" s="25" t="s">
        <v>55</v>
      </c>
      <c r="T559" s="26" t="s">
        <v>56</v>
      </c>
      <c r="U559" s="23">
        <v>866223055997523</v>
      </c>
      <c r="V559" s="27" t="s">
        <v>183</v>
      </c>
      <c r="W559" s="20" t="s">
        <v>649</v>
      </c>
      <c r="X559" s="20" t="s">
        <v>650</v>
      </c>
      <c r="Y559" s="20" t="s">
        <v>650</v>
      </c>
      <c r="Z559" s="20" t="s">
        <v>60</v>
      </c>
      <c r="AA559" s="20" t="s">
        <v>61</v>
      </c>
      <c r="AB559" s="20" t="s">
        <v>96</v>
      </c>
      <c r="AC559" s="28">
        <v>369.83</v>
      </c>
      <c r="AD559" s="28">
        <f>SUM(BASE[[#This Row],[MONTO DE RENTA ]]*1.16)</f>
        <v>429.00279999999998</v>
      </c>
      <c r="AE559" s="28" t="s">
        <v>63</v>
      </c>
      <c r="AF559" s="28">
        <v>369.82758620689657</v>
      </c>
      <c r="AG559" s="28">
        <v>429</v>
      </c>
      <c r="AI559" s="63">
        <v>44937</v>
      </c>
      <c r="AJ559" s="73">
        <v>46043</v>
      </c>
      <c r="AK55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59" s="30"/>
      <c r="AN559" s="20" t="s">
        <v>99</v>
      </c>
      <c r="AP559" s="20" t="s">
        <v>84</v>
      </c>
      <c r="AQ559" s="20" t="s">
        <v>100</v>
      </c>
    </row>
    <row r="560" spans="1:43" ht="16">
      <c r="A560" s="20">
        <v>8126801175</v>
      </c>
      <c r="B560" s="21">
        <v>11641</v>
      </c>
      <c r="C560" s="20" t="s">
        <v>2771</v>
      </c>
      <c r="D560" s="20" t="s">
        <v>1807</v>
      </c>
      <c r="E560" s="20" t="s">
        <v>657</v>
      </c>
      <c r="F560" s="20" t="s">
        <v>1568</v>
      </c>
      <c r="G560" s="20" t="s">
        <v>1568</v>
      </c>
      <c r="H560" s="20" t="s">
        <v>48</v>
      </c>
      <c r="I560" s="20" t="s">
        <v>1568</v>
      </c>
      <c r="J560" s="32" t="s">
        <v>2772</v>
      </c>
      <c r="K560" s="196" t="s">
        <v>2769</v>
      </c>
      <c r="L560" s="23" t="s">
        <v>2754</v>
      </c>
      <c r="M560" s="24" t="s">
        <v>7737</v>
      </c>
      <c r="N560" s="23">
        <v>18701000</v>
      </c>
      <c r="O560" s="25" t="s">
        <v>74</v>
      </c>
      <c r="P560" s="25" t="s">
        <v>53</v>
      </c>
      <c r="Q560" s="20" t="s">
        <v>2773</v>
      </c>
      <c r="R560" s="20">
        <v>44114366</v>
      </c>
      <c r="S560" s="25" t="s">
        <v>2774</v>
      </c>
      <c r="T560" s="26" t="s">
        <v>57</v>
      </c>
      <c r="U560" s="23">
        <v>866223055997523</v>
      </c>
      <c r="V560" s="27" t="s">
        <v>57</v>
      </c>
      <c r="W560" s="20" t="s">
        <v>649</v>
      </c>
      <c r="X560" s="20" t="s">
        <v>650</v>
      </c>
      <c r="Y560" s="20" t="s">
        <v>650</v>
      </c>
      <c r="Z560" s="20" t="s">
        <v>167</v>
      </c>
      <c r="AA560" s="20" t="s">
        <v>168</v>
      </c>
      <c r="AB560" s="20" t="s">
        <v>96</v>
      </c>
      <c r="AC560" s="28">
        <v>369.83</v>
      </c>
      <c r="AD560" s="28">
        <f>SUM(BASE[[#This Row],[MONTO DE RENTA ]]*1.16)</f>
        <v>429.00279999999998</v>
      </c>
      <c r="AE560" s="28" t="s">
        <v>63</v>
      </c>
      <c r="AF560" s="28">
        <v>369.82758620689657</v>
      </c>
      <c r="AG560" s="28">
        <v>429</v>
      </c>
      <c r="AI560" s="63">
        <v>44937</v>
      </c>
      <c r="AJ560" s="84">
        <v>46681</v>
      </c>
      <c r="AK560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560" s="30"/>
      <c r="AN560" s="20" t="s">
        <v>99</v>
      </c>
      <c r="AP560" s="20" t="s">
        <v>84</v>
      </c>
      <c r="AQ560" s="20" t="s">
        <v>100</v>
      </c>
    </row>
    <row r="561" spans="1:43" ht="16">
      <c r="A561" s="20">
        <v>8126801168</v>
      </c>
      <c r="B561" s="21">
        <v>11641</v>
      </c>
      <c r="C561" s="20" t="s">
        <v>2771</v>
      </c>
      <c r="D561" s="20" t="s">
        <v>1807</v>
      </c>
      <c r="E561" s="20" t="s">
        <v>657</v>
      </c>
      <c r="F561" s="20" t="s">
        <v>1568</v>
      </c>
      <c r="G561" s="20" t="s">
        <v>1568</v>
      </c>
      <c r="H561" s="20" t="s">
        <v>48</v>
      </c>
      <c r="I561" s="20" t="s">
        <v>1568</v>
      </c>
      <c r="J561" s="32" t="s">
        <v>2775</v>
      </c>
      <c r="K561" s="96" t="s">
        <v>2775</v>
      </c>
      <c r="L561" s="23" t="s">
        <v>2754</v>
      </c>
      <c r="M561" s="24" t="s">
        <v>7737</v>
      </c>
      <c r="N561" s="23">
        <v>18701000</v>
      </c>
      <c r="O561" s="25" t="s">
        <v>74</v>
      </c>
      <c r="P561" s="25" t="s">
        <v>53</v>
      </c>
      <c r="Q561" s="20" t="s">
        <v>2776</v>
      </c>
      <c r="R561" s="20">
        <v>44114365</v>
      </c>
      <c r="S561" s="25" t="s">
        <v>2777</v>
      </c>
      <c r="T561" s="26" t="s">
        <v>57</v>
      </c>
      <c r="U561" s="23">
        <v>860900062337258</v>
      </c>
      <c r="V561" s="27" t="s">
        <v>57</v>
      </c>
      <c r="W561" s="20" t="s">
        <v>58</v>
      </c>
      <c r="X561" s="20" t="s">
        <v>59</v>
      </c>
      <c r="Y561" s="20" t="s">
        <v>59</v>
      </c>
      <c r="Z561" s="20" t="s">
        <v>167</v>
      </c>
      <c r="AA561" s="20" t="s">
        <v>168</v>
      </c>
      <c r="AB561" s="20" t="s">
        <v>96</v>
      </c>
      <c r="AC561" s="28">
        <v>369.83</v>
      </c>
      <c r="AD561" s="28">
        <f>SUM(BASE[[#This Row],[MONTO DE RENTA ]]*1.16)</f>
        <v>429.00279999999998</v>
      </c>
      <c r="AE561" s="28" t="s">
        <v>63</v>
      </c>
      <c r="AF561" s="28">
        <v>369.82758620689657</v>
      </c>
      <c r="AG561" s="28">
        <v>429</v>
      </c>
      <c r="AH561" s="22" t="s">
        <v>64</v>
      </c>
      <c r="AI561" s="63">
        <v>45703</v>
      </c>
      <c r="AJ561" s="63">
        <v>46433</v>
      </c>
      <c r="AK5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1" s="30"/>
      <c r="AN561" s="20" t="s">
        <v>65</v>
      </c>
      <c r="AP561" s="20" t="s">
        <v>84</v>
      </c>
    </row>
    <row r="562" spans="1:43" ht="16">
      <c r="A562" s="20">
        <v>8111251042</v>
      </c>
      <c r="B562" s="21">
        <v>1003067</v>
      </c>
      <c r="C562" s="20" t="s">
        <v>2778</v>
      </c>
      <c r="D562" s="20" t="s">
        <v>2659</v>
      </c>
      <c r="E562" s="20" t="s">
        <v>172</v>
      </c>
      <c r="F562" s="20" t="s">
        <v>104</v>
      </c>
      <c r="G562" s="20" t="s">
        <v>104</v>
      </c>
      <c r="H562" s="20" t="s">
        <v>48</v>
      </c>
      <c r="I562" s="20" t="s">
        <v>104</v>
      </c>
      <c r="J562" s="32" t="s">
        <v>2779</v>
      </c>
      <c r="K562" s="32" t="s">
        <v>2779</v>
      </c>
      <c r="L562" s="23" t="s">
        <v>2754</v>
      </c>
      <c r="M562" s="24" t="s">
        <v>7737</v>
      </c>
      <c r="N562" s="23">
        <v>18701000</v>
      </c>
      <c r="O562" s="25" t="s">
        <v>74</v>
      </c>
      <c r="P562" s="25" t="s">
        <v>53</v>
      </c>
      <c r="Q562" s="20" t="s">
        <v>2780</v>
      </c>
      <c r="R562" s="20">
        <v>43090304</v>
      </c>
      <c r="S562" s="25" t="s">
        <v>2781</v>
      </c>
      <c r="T562" s="26" t="s">
        <v>57</v>
      </c>
      <c r="U562" s="23">
        <v>860478060690002</v>
      </c>
      <c r="V562" s="45" t="s">
        <v>110</v>
      </c>
      <c r="W562" s="20" t="s">
        <v>302</v>
      </c>
      <c r="X562" s="20" t="s">
        <v>303</v>
      </c>
      <c r="Y562" s="20" t="s">
        <v>303</v>
      </c>
      <c r="Z562" s="20" t="s">
        <v>80</v>
      </c>
      <c r="AA562" s="20" t="s">
        <v>81</v>
      </c>
      <c r="AB562" s="20" t="s">
        <v>82</v>
      </c>
      <c r="AC562" s="28">
        <v>559.48</v>
      </c>
      <c r="AD562" s="28">
        <f>SUM(BASE[[#This Row],[MONTO DE RENTA ]]*1.16)</f>
        <v>648.99680000000001</v>
      </c>
      <c r="AE562" s="28" t="s">
        <v>83</v>
      </c>
      <c r="AF562" s="28">
        <v>559.48275862068965</v>
      </c>
      <c r="AG562" s="28">
        <v>649</v>
      </c>
      <c r="AH562" s="22" t="s">
        <v>64</v>
      </c>
      <c r="AI562" s="63">
        <v>45703</v>
      </c>
      <c r="AJ562" s="63">
        <v>46433</v>
      </c>
      <c r="AK5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2" s="30"/>
      <c r="AN562" s="20" t="s">
        <v>65</v>
      </c>
      <c r="AP562" s="20" t="s">
        <v>84</v>
      </c>
    </row>
    <row r="563" spans="1:43" ht="16">
      <c r="A563" s="20">
        <v>8113963436</v>
      </c>
      <c r="B563" s="21">
        <v>11855</v>
      </c>
      <c r="C563" s="20" t="s">
        <v>2782</v>
      </c>
      <c r="D563" s="20" t="s">
        <v>172</v>
      </c>
      <c r="E563" s="20" t="s">
        <v>862</v>
      </c>
      <c r="F563" s="20" t="s">
        <v>451</v>
      </c>
      <c r="G563" s="20" t="s">
        <v>248</v>
      </c>
      <c r="H563" s="20" t="s">
        <v>48</v>
      </c>
      <c r="I563" s="20" t="s">
        <v>451</v>
      </c>
      <c r="J563" s="22" t="s">
        <v>2783</v>
      </c>
      <c r="K563" s="22" t="s">
        <v>2783</v>
      </c>
      <c r="L563" s="23" t="s">
        <v>2754</v>
      </c>
      <c r="M563" s="24" t="s">
        <v>7737</v>
      </c>
      <c r="N563" s="23">
        <v>18701000</v>
      </c>
      <c r="O563" s="25" t="s">
        <v>74</v>
      </c>
      <c r="P563" s="25" t="s">
        <v>53</v>
      </c>
      <c r="Q563" s="20" t="s">
        <v>2784</v>
      </c>
      <c r="R563" s="20">
        <v>43121130</v>
      </c>
      <c r="S563" s="25" t="s">
        <v>2785</v>
      </c>
      <c r="T563" s="26" t="s">
        <v>57</v>
      </c>
      <c r="U563" s="23">
        <v>860900062337241</v>
      </c>
      <c r="V563" s="27" t="s">
        <v>57</v>
      </c>
      <c r="W563" s="20" t="s">
        <v>58</v>
      </c>
      <c r="X563" s="20" t="s">
        <v>59</v>
      </c>
      <c r="Y563" s="20" t="s">
        <v>59</v>
      </c>
      <c r="Z563" s="20" t="s">
        <v>167</v>
      </c>
      <c r="AA563" s="20" t="s">
        <v>168</v>
      </c>
      <c r="AB563" s="20" t="s">
        <v>96</v>
      </c>
      <c r="AC563" s="28">
        <v>369.83</v>
      </c>
      <c r="AD563" s="28">
        <f>SUM(BASE[[#This Row],[MONTO DE RENTA ]]*1.16)</f>
        <v>429.00279999999998</v>
      </c>
      <c r="AE563" s="28" t="s">
        <v>63</v>
      </c>
      <c r="AF563" s="28">
        <v>369.82758620689657</v>
      </c>
      <c r="AG563" s="28">
        <v>429</v>
      </c>
      <c r="AH563" s="22" t="s">
        <v>64</v>
      </c>
      <c r="AI563" s="63">
        <v>45703</v>
      </c>
      <c r="AJ563" s="63">
        <v>46433</v>
      </c>
      <c r="AK5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3" s="30"/>
      <c r="AN563" s="20" t="s">
        <v>65</v>
      </c>
      <c r="AP563" s="20" t="s">
        <v>84</v>
      </c>
    </row>
    <row r="564" spans="1:43" ht="16">
      <c r="A564" s="20">
        <v>8117829759</v>
      </c>
      <c r="B564" s="21">
        <v>11842</v>
      </c>
      <c r="C564" s="20" t="s">
        <v>2786</v>
      </c>
      <c r="D564" s="20" t="s">
        <v>1432</v>
      </c>
      <c r="E564" s="20" t="s">
        <v>1245</v>
      </c>
      <c r="F564" s="20" t="s">
        <v>122</v>
      </c>
      <c r="G564" s="20" t="s">
        <v>122</v>
      </c>
      <c r="H564" s="20" t="s">
        <v>48</v>
      </c>
      <c r="I564" s="20" t="s">
        <v>122</v>
      </c>
      <c r="J564" s="22" t="s">
        <v>2787</v>
      </c>
      <c r="K564" s="22" t="s">
        <v>2787</v>
      </c>
      <c r="L564" s="23" t="s">
        <v>2754</v>
      </c>
      <c r="M564" s="24" t="s">
        <v>7737</v>
      </c>
      <c r="N564" s="23">
        <v>18701000</v>
      </c>
      <c r="O564" s="25" t="s">
        <v>74</v>
      </c>
      <c r="P564" s="25" t="s">
        <v>53</v>
      </c>
      <c r="Q564" s="20" t="s">
        <v>2788</v>
      </c>
      <c r="R564" s="20">
        <v>43254987</v>
      </c>
      <c r="S564" s="25" t="s">
        <v>2789</v>
      </c>
      <c r="T564" s="26" t="s">
        <v>57</v>
      </c>
      <c r="U564" s="23">
        <v>860900062337415</v>
      </c>
      <c r="V564" s="27" t="s">
        <v>57</v>
      </c>
      <c r="W564" s="20" t="s">
        <v>58</v>
      </c>
      <c r="X564" s="20" t="s">
        <v>59</v>
      </c>
      <c r="Y564" s="20" t="s">
        <v>59</v>
      </c>
      <c r="Z564" s="20" t="s">
        <v>167</v>
      </c>
      <c r="AA564" s="20" t="s">
        <v>168</v>
      </c>
      <c r="AB564" s="20" t="s">
        <v>96</v>
      </c>
      <c r="AC564" s="28">
        <v>369.83</v>
      </c>
      <c r="AD564" s="28">
        <f>SUM(BASE[[#This Row],[MONTO DE RENTA ]]*1.16)</f>
        <v>429.00279999999998</v>
      </c>
      <c r="AE564" s="28" t="s">
        <v>63</v>
      </c>
      <c r="AF564" s="28">
        <v>369.82758620689657</v>
      </c>
      <c r="AG564" s="28">
        <v>429</v>
      </c>
      <c r="AH564" s="22" t="s">
        <v>64</v>
      </c>
      <c r="AI564" s="63">
        <v>45703</v>
      </c>
      <c r="AJ564" s="63">
        <v>46433</v>
      </c>
      <c r="AK5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4" s="30"/>
      <c r="AN564" s="20" t="s">
        <v>65</v>
      </c>
      <c r="AP564" s="20" t="s">
        <v>84</v>
      </c>
    </row>
    <row r="565" spans="1:43" ht="16">
      <c r="A565" s="20">
        <v>8112000725</v>
      </c>
      <c r="B565" s="21">
        <v>510285</v>
      </c>
      <c r="C565" s="20" t="s">
        <v>2790</v>
      </c>
      <c r="D565" s="20" t="s">
        <v>1130</v>
      </c>
      <c r="E565" s="20" t="s">
        <v>657</v>
      </c>
      <c r="F565" s="20" t="s">
        <v>257</v>
      </c>
      <c r="G565" s="20" t="s">
        <v>257</v>
      </c>
      <c r="H565" s="20" t="s">
        <v>48</v>
      </c>
      <c r="I565" s="20" t="s">
        <v>257</v>
      </c>
      <c r="J565" s="22" t="s">
        <v>2791</v>
      </c>
      <c r="K565" s="22" t="s">
        <v>2791</v>
      </c>
      <c r="L565" s="23" t="s">
        <v>2754</v>
      </c>
      <c r="M565" s="24" t="s">
        <v>7737</v>
      </c>
      <c r="N565" s="23">
        <v>18701000</v>
      </c>
      <c r="O565" s="25" t="s">
        <v>74</v>
      </c>
      <c r="P565" s="25" t="s">
        <v>53</v>
      </c>
      <c r="Q565" s="20" t="s">
        <v>2792</v>
      </c>
      <c r="R565" s="20">
        <v>43090329</v>
      </c>
      <c r="S565" s="25" t="s">
        <v>2793</v>
      </c>
      <c r="T565" s="26" t="s">
        <v>57</v>
      </c>
      <c r="U565" s="23">
        <v>860478062096794</v>
      </c>
      <c r="V565" s="45" t="s">
        <v>110</v>
      </c>
      <c r="W565" s="20" t="s">
        <v>302</v>
      </c>
      <c r="X565" s="20" t="s">
        <v>303</v>
      </c>
      <c r="Y565" s="20" t="s">
        <v>303</v>
      </c>
      <c r="Z565" s="20" t="s">
        <v>80</v>
      </c>
      <c r="AA565" s="20" t="s">
        <v>81</v>
      </c>
      <c r="AB565" s="20" t="s">
        <v>82</v>
      </c>
      <c r="AC565" s="28">
        <v>559.48</v>
      </c>
      <c r="AD565" s="28">
        <f>SUM(BASE[[#This Row],[MONTO DE RENTA ]]*1.16)</f>
        <v>648.99680000000001</v>
      </c>
      <c r="AE565" s="28" t="s">
        <v>83</v>
      </c>
      <c r="AF565" s="28">
        <v>559.48275862068965</v>
      </c>
      <c r="AG565" s="28">
        <v>649</v>
      </c>
      <c r="AH565" s="22" t="s">
        <v>64</v>
      </c>
      <c r="AI565" s="63">
        <v>45703</v>
      </c>
      <c r="AJ565" s="63">
        <v>46433</v>
      </c>
      <c r="AK5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5" s="30"/>
      <c r="AN565" s="20" t="s">
        <v>65</v>
      </c>
      <c r="AP565" s="20" t="s">
        <v>84</v>
      </c>
    </row>
    <row r="566" spans="1:43" ht="16">
      <c r="A566" s="20">
        <v>8115694012</v>
      </c>
      <c r="B566" s="21">
        <v>11728</v>
      </c>
      <c r="C566" s="20" t="s">
        <v>2794</v>
      </c>
      <c r="D566" s="20" t="s">
        <v>2795</v>
      </c>
      <c r="E566" s="20" t="s">
        <v>1839</v>
      </c>
      <c r="F566" s="20" t="s">
        <v>384</v>
      </c>
      <c r="G566" s="20" t="s">
        <v>104</v>
      </c>
      <c r="H566" s="20" t="s">
        <v>48</v>
      </c>
      <c r="I566" s="20" t="s">
        <v>384</v>
      </c>
      <c r="J566" s="32" t="s">
        <v>2779</v>
      </c>
      <c r="K566" s="32" t="s">
        <v>2779</v>
      </c>
      <c r="L566" s="23" t="s">
        <v>2754</v>
      </c>
      <c r="M566" s="24" t="s">
        <v>7737</v>
      </c>
      <c r="N566" s="23">
        <v>18701000</v>
      </c>
      <c r="O566" s="25" t="s">
        <v>74</v>
      </c>
      <c r="P566" s="25" t="s">
        <v>53</v>
      </c>
      <c r="Q566" s="20" t="s">
        <v>2796</v>
      </c>
      <c r="R566" s="20">
        <v>43090233</v>
      </c>
      <c r="S566" s="25" t="s">
        <v>2797</v>
      </c>
      <c r="T566" s="26" t="s">
        <v>57</v>
      </c>
      <c r="U566" s="23">
        <v>860478060690002</v>
      </c>
      <c r="V566" s="27" t="s">
        <v>57</v>
      </c>
      <c r="W566" s="20" t="s">
        <v>302</v>
      </c>
      <c r="X566" s="20" t="s">
        <v>303</v>
      </c>
      <c r="Y566" s="20" t="s">
        <v>303</v>
      </c>
      <c r="Z566" s="20" t="s">
        <v>167</v>
      </c>
      <c r="AA566" s="20" t="s">
        <v>168</v>
      </c>
      <c r="AB566" s="20" t="s">
        <v>96</v>
      </c>
      <c r="AC566" s="28">
        <v>369.83</v>
      </c>
      <c r="AD566" s="28">
        <f>SUM(BASE[[#This Row],[MONTO DE RENTA ]]*1.16)</f>
        <v>429.00279999999998</v>
      </c>
      <c r="AE566" s="28" t="s">
        <v>63</v>
      </c>
      <c r="AF566" s="28">
        <v>369.82758620689657</v>
      </c>
      <c r="AG566" s="28">
        <v>429</v>
      </c>
      <c r="AI566" s="63">
        <v>44937</v>
      </c>
      <c r="AJ566" s="84">
        <v>46681</v>
      </c>
      <c r="AK56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566" s="30"/>
      <c r="AN566" s="20" t="s">
        <v>65</v>
      </c>
      <c r="AP566" s="20" t="s">
        <v>84</v>
      </c>
    </row>
    <row r="567" spans="1:43" ht="16">
      <c r="A567" s="20">
        <v>8113214870</v>
      </c>
      <c r="B567" s="21">
        <v>1003067</v>
      </c>
      <c r="C567" s="20" t="s">
        <v>2778</v>
      </c>
      <c r="D567" s="20" t="s">
        <v>2659</v>
      </c>
      <c r="E567" s="20" t="s">
        <v>172</v>
      </c>
      <c r="F567" s="20" t="s">
        <v>104</v>
      </c>
      <c r="G567" s="20" t="s">
        <v>104</v>
      </c>
      <c r="H567" s="20" t="s">
        <v>48</v>
      </c>
      <c r="I567" s="20" t="s">
        <v>104</v>
      </c>
      <c r="J567" s="32" t="s">
        <v>2798</v>
      </c>
      <c r="K567" s="32" t="s">
        <v>2798</v>
      </c>
      <c r="L567" s="23" t="s">
        <v>2754</v>
      </c>
      <c r="M567" s="24" t="s">
        <v>7737</v>
      </c>
      <c r="N567" s="23">
        <v>18701000</v>
      </c>
      <c r="O567" s="25" t="s">
        <v>74</v>
      </c>
      <c r="P567" s="25" t="s">
        <v>53</v>
      </c>
      <c r="Q567" s="20" t="s">
        <v>2799</v>
      </c>
      <c r="R567" s="20">
        <v>43056375</v>
      </c>
      <c r="S567" s="25" t="s">
        <v>2800</v>
      </c>
      <c r="T567" s="26" t="s">
        <v>57</v>
      </c>
      <c r="U567" s="23">
        <v>860478064773499</v>
      </c>
      <c r="V567" s="45" t="s">
        <v>110</v>
      </c>
      <c r="W567" s="20" t="s">
        <v>302</v>
      </c>
      <c r="X567" s="20" t="s">
        <v>303</v>
      </c>
      <c r="Y567" s="20" t="s">
        <v>303</v>
      </c>
      <c r="Z567" s="20" t="s">
        <v>80</v>
      </c>
      <c r="AA567" s="20" t="s">
        <v>81</v>
      </c>
      <c r="AB567" s="20" t="s">
        <v>82</v>
      </c>
      <c r="AC567" s="28">
        <v>559.48</v>
      </c>
      <c r="AD567" s="28">
        <f>SUM(BASE[[#This Row],[MONTO DE RENTA ]]*1.16)</f>
        <v>648.99680000000001</v>
      </c>
      <c r="AE567" s="28" t="s">
        <v>83</v>
      </c>
      <c r="AF567" s="28">
        <v>559.48275862068965</v>
      </c>
      <c r="AG567" s="28">
        <v>649</v>
      </c>
      <c r="AH567" s="22" t="s">
        <v>64</v>
      </c>
      <c r="AI567" s="29">
        <v>45703</v>
      </c>
      <c r="AJ567" s="29">
        <v>46433</v>
      </c>
      <c r="AK5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7" s="30"/>
      <c r="AN567" s="20" t="s">
        <v>65</v>
      </c>
      <c r="AP567" s="20" t="s">
        <v>84</v>
      </c>
    </row>
    <row r="568" spans="1:43" ht="16">
      <c r="A568" s="20">
        <v>8115012601</v>
      </c>
      <c r="B568" s="21">
        <v>1003067</v>
      </c>
      <c r="C568" s="20" t="s">
        <v>2778</v>
      </c>
      <c r="D568" s="20" t="s">
        <v>2659</v>
      </c>
      <c r="E568" s="20" t="s">
        <v>172</v>
      </c>
      <c r="F568" s="20" t="s">
        <v>104</v>
      </c>
      <c r="G568" s="20" t="s">
        <v>104</v>
      </c>
      <c r="H568" s="20" t="s">
        <v>48</v>
      </c>
      <c r="I568" s="20" t="s">
        <v>104</v>
      </c>
      <c r="J568" s="141" t="s">
        <v>2801</v>
      </c>
      <c r="K568" s="54" t="s">
        <v>2801</v>
      </c>
      <c r="L568" s="23" t="s">
        <v>2754</v>
      </c>
      <c r="M568" s="24" t="s">
        <v>7737</v>
      </c>
      <c r="N568" s="23">
        <v>18701000</v>
      </c>
      <c r="O568" s="25" t="s">
        <v>74</v>
      </c>
      <c r="P568" s="25" t="s">
        <v>53</v>
      </c>
      <c r="Q568" s="20" t="s">
        <v>2802</v>
      </c>
      <c r="R568" s="20">
        <v>42888682</v>
      </c>
      <c r="S568" s="25" t="s">
        <v>55</v>
      </c>
      <c r="T568" s="44" t="s">
        <v>56</v>
      </c>
      <c r="U568" s="23">
        <v>860478060661037</v>
      </c>
      <c r="V568" s="45" t="s">
        <v>110</v>
      </c>
      <c r="W568" s="20" t="s">
        <v>302</v>
      </c>
      <c r="X568" s="20" t="s">
        <v>303</v>
      </c>
      <c r="Y568" s="20" t="s">
        <v>303</v>
      </c>
      <c r="Z568" s="20" t="s">
        <v>60</v>
      </c>
      <c r="AA568" s="20" t="s">
        <v>61</v>
      </c>
      <c r="AB568" s="20" t="s">
        <v>96</v>
      </c>
      <c r="AC568" s="28">
        <v>369.83</v>
      </c>
      <c r="AD568" s="28">
        <f>SUM(BASE[[#This Row],[MONTO DE RENTA ]]*1.16)</f>
        <v>429.00279999999998</v>
      </c>
      <c r="AE568" s="28" t="s">
        <v>97</v>
      </c>
      <c r="AF568" s="28">
        <v>473.27586206896552</v>
      </c>
      <c r="AG568" s="28">
        <v>549</v>
      </c>
      <c r="AI568" s="63">
        <v>45533</v>
      </c>
      <c r="AJ568" s="63">
        <v>46263</v>
      </c>
      <c r="AK568" s="30">
        <f ca="1">IFERROR(IF(BASE[[#This Row],[FECHA DE RENOVACION ]]&gt;TODAY(), DATEDIF(TODAY(),BASE[[#This Row],[FECHA DE RENOVACION ]],"M"), -DATEDIF(BASE[[#This Row],[FECHA DE RENOVACION ]],TODAY(),"M")), "Sin fecha")</f>
        <v>5</v>
      </c>
      <c r="AL568" s="63">
        <v>46263</v>
      </c>
      <c r="AM568" s="30"/>
      <c r="AN568" s="20" t="s">
        <v>65</v>
      </c>
      <c r="AP568" s="20" t="s">
        <v>66</v>
      </c>
    </row>
    <row r="569" spans="1:43" ht="16">
      <c r="A569" s="20">
        <v>5518824908</v>
      </c>
      <c r="B569" s="21">
        <v>470415</v>
      </c>
      <c r="C569" s="20" t="s">
        <v>740</v>
      </c>
      <c r="D569" s="20" t="s">
        <v>2026</v>
      </c>
      <c r="E569" s="20" t="s">
        <v>657</v>
      </c>
      <c r="F569" s="20" t="s">
        <v>418</v>
      </c>
      <c r="G569" s="20" t="s">
        <v>47</v>
      </c>
      <c r="H569" s="20" t="s">
        <v>48</v>
      </c>
      <c r="I569" s="20" t="s">
        <v>418</v>
      </c>
      <c r="J569" s="22" t="s">
        <v>2803</v>
      </c>
      <c r="K569" s="22" t="s">
        <v>2803</v>
      </c>
      <c r="L569" s="23" t="s">
        <v>2804</v>
      </c>
      <c r="M569" s="24" t="s">
        <v>7736</v>
      </c>
      <c r="N569" s="23">
        <v>18648000</v>
      </c>
      <c r="O569" s="25" t="s">
        <v>52</v>
      </c>
      <c r="P569" s="25" t="s">
        <v>53</v>
      </c>
      <c r="Q569" s="20" t="s">
        <v>2805</v>
      </c>
      <c r="R569" s="20">
        <v>90182422</v>
      </c>
      <c r="S569" s="25" t="s">
        <v>2806</v>
      </c>
      <c r="T569" s="26" t="s">
        <v>57</v>
      </c>
      <c r="U569" s="23">
        <v>860900062322029</v>
      </c>
      <c r="V569" s="27" t="s">
        <v>57</v>
      </c>
      <c r="W569" s="20" t="s">
        <v>58</v>
      </c>
      <c r="X569" s="20" t="s">
        <v>59</v>
      </c>
      <c r="Y569" s="20" t="s">
        <v>59</v>
      </c>
      <c r="Z569" s="20" t="s">
        <v>60</v>
      </c>
      <c r="AA569" s="20" t="s">
        <v>61</v>
      </c>
      <c r="AB569" s="20" t="s">
        <v>96</v>
      </c>
      <c r="AC569" s="28">
        <v>369.83</v>
      </c>
      <c r="AD569" s="28">
        <f>SUM(BASE[[#This Row],[MONTO DE RENTA ]]*1.16)</f>
        <v>429.00279999999998</v>
      </c>
      <c r="AE569" s="28" t="s">
        <v>63</v>
      </c>
      <c r="AF569" s="28">
        <v>369.82758620689657</v>
      </c>
      <c r="AG569" s="28">
        <v>429</v>
      </c>
      <c r="AH569" s="22" t="s">
        <v>64</v>
      </c>
      <c r="AI569" s="63">
        <v>45703</v>
      </c>
      <c r="AJ569" s="63">
        <v>46433</v>
      </c>
      <c r="AK5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69" s="30"/>
      <c r="AN569" s="20" t="s">
        <v>65</v>
      </c>
      <c r="AP569" s="20" t="s">
        <v>84</v>
      </c>
    </row>
    <row r="570" spans="1:43" ht="16">
      <c r="A570" s="20">
        <v>8128615789</v>
      </c>
      <c r="B570" s="49">
        <v>11468</v>
      </c>
      <c r="C570" s="20" t="s">
        <v>2807</v>
      </c>
      <c r="D570" s="20" t="s">
        <v>546</v>
      </c>
      <c r="E570" s="20" t="s">
        <v>663</v>
      </c>
      <c r="F570" s="20" t="s">
        <v>104</v>
      </c>
      <c r="G570" s="20" t="s">
        <v>122</v>
      </c>
      <c r="H570" s="20" t="s">
        <v>48</v>
      </c>
      <c r="I570" s="20" t="s">
        <v>104</v>
      </c>
      <c r="J570" s="22" t="s">
        <v>2808</v>
      </c>
      <c r="K570" s="32" t="s">
        <v>2809</v>
      </c>
      <c r="L570" s="23" t="s">
        <v>2754</v>
      </c>
      <c r="M570" s="24" t="s">
        <v>7737</v>
      </c>
      <c r="N570" s="23">
        <v>18701000</v>
      </c>
      <c r="O570" s="25" t="s">
        <v>74</v>
      </c>
      <c r="P570" s="25" t="s">
        <v>53</v>
      </c>
      <c r="Q570" s="20" t="s">
        <v>2810</v>
      </c>
      <c r="R570" s="20">
        <v>43514470</v>
      </c>
      <c r="S570" s="25" t="s">
        <v>55</v>
      </c>
      <c r="T570" s="26" t="s">
        <v>56</v>
      </c>
      <c r="U570" s="23">
        <v>865356065715708</v>
      </c>
      <c r="V570" s="27" t="s">
        <v>183</v>
      </c>
      <c r="W570" s="20" t="s">
        <v>129</v>
      </c>
      <c r="X570" s="20" t="s">
        <v>130</v>
      </c>
      <c r="Y570" s="20" t="s">
        <v>130</v>
      </c>
      <c r="Z570" s="20" t="s">
        <v>60</v>
      </c>
      <c r="AA570" s="20" t="s">
        <v>61</v>
      </c>
      <c r="AB570" s="20" t="s">
        <v>96</v>
      </c>
      <c r="AC570" s="28">
        <v>369.83</v>
      </c>
      <c r="AD570" s="28">
        <f>SUM(BASE[[#This Row],[MONTO DE RENTA ]]*1.16)</f>
        <v>429.00279999999998</v>
      </c>
      <c r="AE570" s="28" t="s">
        <v>63</v>
      </c>
      <c r="AF570" s="28">
        <v>369.82758620689657</v>
      </c>
      <c r="AG570" s="28">
        <v>429</v>
      </c>
      <c r="AI570" s="63">
        <v>44937</v>
      </c>
      <c r="AJ570" s="73">
        <v>46043</v>
      </c>
      <c r="AK57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70" s="30"/>
      <c r="AN570" s="20" t="s">
        <v>99</v>
      </c>
      <c r="AP570" s="20" t="s">
        <v>84</v>
      </c>
      <c r="AQ570" s="20" t="s">
        <v>100</v>
      </c>
    </row>
    <row r="571" spans="1:43" ht="16">
      <c r="A571" s="20">
        <v>8111943799</v>
      </c>
      <c r="B571" s="49">
        <v>10776</v>
      </c>
      <c r="C571" s="20" t="s">
        <v>2811</v>
      </c>
      <c r="D571" s="20" t="s">
        <v>657</v>
      </c>
      <c r="E571" s="20" t="s">
        <v>45</v>
      </c>
      <c r="F571" s="20" t="s">
        <v>70</v>
      </c>
      <c r="G571" s="20" t="s">
        <v>70</v>
      </c>
      <c r="H571" s="20" t="s">
        <v>48</v>
      </c>
      <c r="I571" s="20" t="s">
        <v>70</v>
      </c>
      <c r="J571" s="22" t="s">
        <v>2812</v>
      </c>
      <c r="K571" s="22" t="s">
        <v>2812</v>
      </c>
      <c r="L571" s="23" t="s">
        <v>2754</v>
      </c>
      <c r="M571" s="24" t="s">
        <v>7737</v>
      </c>
      <c r="N571" s="23">
        <v>18701000</v>
      </c>
      <c r="O571" s="25" t="s">
        <v>74</v>
      </c>
      <c r="P571" s="25" t="s">
        <v>53</v>
      </c>
      <c r="Q571" s="20" t="s">
        <v>2813</v>
      </c>
      <c r="R571" s="20">
        <v>42943899</v>
      </c>
      <c r="S571" s="25" t="s">
        <v>55</v>
      </c>
      <c r="T571" s="26" t="s">
        <v>56</v>
      </c>
      <c r="U571" s="23">
        <v>357654179502334</v>
      </c>
      <c r="V571" s="27" t="s">
        <v>78</v>
      </c>
      <c r="W571" s="20" t="s">
        <v>95</v>
      </c>
      <c r="X571" s="20" t="s">
        <v>95</v>
      </c>
      <c r="Y571" s="20" t="s">
        <v>95</v>
      </c>
      <c r="Z571" s="20" t="s">
        <v>60</v>
      </c>
      <c r="AA571" s="20" t="s">
        <v>61</v>
      </c>
      <c r="AB571" s="20" t="s">
        <v>82</v>
      </c>
      <c r="AC571" s="28">
        <v>559.48</v>
      </c>
      <c r="AD571" s="28">
        <f>SUM(BASE[[#This Row],[MONTO DE RENTA ]]*1.16)</f>
        <v>648.99680000000001</v>
      </c>
      <c r="AE571" s="28" t="s">
        <v>83</v>
      </c>
      <c r="AF571" s="28">
        <v>559.48275862068965</v>
      </c>
      <c r="AG571" s="28">
        <v>649</v>
      </c>
      <c r="AI571" s="63">
        <v>44937</v>
      </c>
      <c r="AJ571" s="73">
        <v>46043</v>
      </c>
      <c r="AK5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71" s="30"/>
      <c r="AN571" s="20" t="s">
        <v>99</v>
      </c>
      <c r="AP571" s="20" t="s">
        <v>84</v>
      </c>
      <c r="AQ571" s="20" t="s">
        <v>100</v>
      </c>
    </row>
    <row r="572" spans="1:43" ht="16">
      <c r="A572" s="20">
        <v>5516266985</v>
      </c>
      <c r="B572" s="21">
        <v>1001870</v>
      </c>
      <c r="C572" s="20" t="s">
        <v>2115</v>
      </c>
      <c r="D572" s="20" t="s">
        <v>376</v>
      </c>
      <c r="E572" s="20" t="s">
        <v>2814</v>
      </c>
      <c r="F572" s="20" t="s">
        <v>257</v>
      </c>
      <c r="G572" s="20" t="s">
        <v>257</v>
      </c>
      <c r="H572" s="20" t="s">
        <v>48</v>
      </c>
      <c r="I572" s="20" t="s">
        <v>257</v>
      </c>
      <c r="J572" s="22" t="s">
        <v>2815</v>
      </c>
      <c r="K572" s="22" t="s">
        <v>2815</v>
      </c>
      <c r="L572" s="23" t="s">
        <v>2804</v>
      </c>
      <c r="M572" s="24" t="s">
        <v>7736</v>
      </c>
      <c r="N572" s="23">
        <v>18702000</v>
      </c>
      <c r="O572" s="25" t="s">
        <v>52</v>
      </c>
      <c r="P572" s="25" t="s">
        <v>53</v>
      </c>
      <c r="Q572" s="20" t="s">
        <v>2816</v>
      </c>
      <c r="R572" s="20">
        <v>90069499</v>
      </c>
      <c r="S572" s="25" t="s">
        <v>2817</v>
      </c>
      <c r="T572" s="26" t="s">
        <v>57</v>
      </c>
      <c r="U572" s="23">
        <v>860478064953786</v>
      </c>
      <c r="V572" s="45" t="s">
        <v>110</v>
      </c>
      <c r="W572" s="20" t="s">
        <v>302</v>
      </c>
      <c r="X572" s="20" t="s">
        <v>303</v>
      </c>
      <c r="Y572" s="20" t="s">
        <v>303</v>
      </c>
      <c r="Z572" s="20" t="s">
        <v>80</v>
      </c>
      <c r="AA572" s="20" t="s">
        <v>81</v>
      </c>
      <c r="AB572" s="20" t="s">
        <v>82</v>
      </c>
      <c r="AC572" s="28">
        <v>559.48</v>
      </c>
      <c r="AD572" s="28">
        <f>SUM(BASE[[#This Row],[MONTO DE RENTA ]]*1.16)</f>
        <v>648.99680000000001</v>
      </c>
      <c r="AE572" s="28" t="s">
        <v>83</v>
      </c>
      <c r="AF572" s="28">
        <v>559.48275862068965</v>
      </c>
      <c r="AG572" s="28">
        <v>649</v>
      </c>
      <c r="AH572" s="22" t="s">
        <v>64</v>
      </c>
      <c r="AI572" s="63">
        <v>45703</v>
      </c>
      <c r="AJ572" s="63">
        <v>46433</v>
      </c>
      <c r="AK5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2" s="30"/>
      <c r="AN572" s="20" t="s">
        <v>65</v>
      </c>
      <c r="AP572" s="20" t="s">
        <v>84</v>
      </c>
    </row>
    <row r="573" spans="1:43" ht="16">
      <c r="A573" s="20">
        <v>5579633017</v>
      </c>
      <c r="B573" s="21">
        <v>996952</v>
      </c>
      <c r="C573" s="20" t="s">
        <v>43</v>
      </c>
      <c r="D573" s="20" t="s">
        <v>476</v>
      </c>
      <c r="E573" s="20" t="s">
        <v>477</v>
      </c>
      <c r="F573" s="20" t="s">
        <v>451</v>
      </c>
      <c r="G573" s="20" t="s">
        <v>248</v>
      </c>
      <c r="H573" s="20" t="s">
        <v>48</v>
      </c>
      <c r="I573" s="20" t="s">
        <v>451</v>
      </c>
      <c r="J573" s="22" t="s">
        <v>2818</v>
      </c>
      <c r="K573" s="22" t="s">
        <v>2818</v>
      </c>
      <c r="L573" s="23" t="s">
        <v>2804</v>
      </c>
      <c r="M573" s="24" t="s">
        <v>7736</v>
      </c>
      <c r="N573" s="23">
        <v>18702000</v>
      </c>
      <c r="O573" s="25" t="s">
        <v>52</v>
      </c>
      <c r="P573" s="25" t="s">
        <v>53</v>
      </c>
      <c r="Q573" s="20" t="s">
        <v>2819</v>
      </c>
      <c r="R573" s="20">
        <v>95131244</v>
      </c>
      <c r="S573" s="25" t="s">
        <v>2820</v>
      </c>
      <c r="T573" s="26" t="s">
        <v>57</v>
      </c>
      <c r="U573" s="23">
        <v>860900062319900</v>
      </c>
      <c r="V573" s="27" t="s">
        <v>57</v>
      </c>
      <c r="W573" s="20" t="s">
        <v>58</v>
      </c>
      <c r="X573" s="20" t="s">
        <v>59</v>
      </c>
      <c r="Y573" s="20" t="s">
        <v>59</v>
      </c>
      <c r="Z573" s="20" t="s">
        <v>60</v>
      </c>
      <c r="AA573" s="20" t="s">
        <v>61</v>
      </c>
      <c r="AB573" s="20" t="s">
        <v>96</v>
      </c>
      <c r="AC573" s="28">
        <v>369.83</v>
      </c>
      <c r="AD573" s="28">
        <f>SUM(BASE[[#This Row],[MONTO DE RENTA ]]*1.16)</f>
        <v>429.00279999999998</v>
      </c>
      <c r="AE573" s="28" t="s">
        <v>63</v>
      </c>
      <c r="AF573" s="28">
        <v>369.82758620689657</v>
      </c>
      <c r="AG573" s="28">
        <v>429</v>
      </c>
      <c r="AH573" s="22" t="s">
        <v>64</v>
      </c>
      <c r="AI573" s="63">
        <v>45703</v>
      </c>
      <c r="AJ573" s="63">
        <v>46433</v>
      </c>
      <c r="AK5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3" s="30"/>
      <c r="AN573" s="20" t="s">
        <v>65</v>
      </c>
      <c r="AP573" s="20" t="s">
        <v>84</v>
      </c>
    </row>
    <row r="574" spans="1:43" ht="16">
      <c r="A574" s="20">
        <v>8111893468</v>
      </c>
      <c r="B574" s="21">
        <v>1033024</v>
      </c>
      <c r="C574" s="20" t="s">
        <v>2821</v>
      </c>
      <c r="D574" s="20" t="s">
        <v>1922</v>
      </c>
      <c r="E574" s="20" t="s">
        <v>657</v>
      </c>
      <c r="F574" s="20" t="s">
        <v>104</v>
      </c>
      <c r="G574" s="20" t="s">
        <v>104</v>
      </c>
      <c r="H574" s="20" t="s">
        <v>48</v>
      </c>
      <c r="I574" s="20" t="s">
        <v>104</v>
      </c>
      <c r="J574" s="32" t="s">
        <v>2822</v>
      </c>
      <c r="K574" s="32" t="s">
        <v>2822</v>
      </c>
      <c r="L574" s="23" t="s">
        <v>2823</v>
      </c>
      <c r="M574" s="24" t="s">
        <v>7737</v>
      </c>
      <c r="N574" s="23">
        <v>18704000</v>
      </c>
      <c r="O574" s="25" t="s">
        <v>74</v>
      </c>
      <c r="P574" s="25" t="s">
        <v>53</v>
      </c>
      <c r="Q574" s="20" t="s">
        <v>2824</v>
      </c>
      <c r="R574" s="20">
        <v>43090314</v>
      </c>
      <c r="S574" s="25" t="s">
        <v>2825</v>
      </c>
      <c r="T574" s="26" t="s">
        <v>57</v>
      </c>
      <c r="U574" s="23">
        <v>860478063821299</v>
      </c>
      <c r="V574" s="27" t="s">
        <v>57</v>
      </c>
      <c r="W574" s="20" t="s">
        <v>302</v>
      </c>
      <c r="X574" s="20" t="s">
        <v>303</v>
      </c>
      <c r="Y574" s="20" t="s">
        <v>303</v>
      </c>
      <c r="Z574" s="20" t="s">
        <v>80</v>
      </c>
      <c r="AA574" s="20" t="s">
        <v>81</v>
      </c>
      <c r="AB574" s="20" t="s">
        <v>82</v>
      </c>
      <c r="AC574" s="28">
        <v>559.48</v>
      </c>
      <c r="AD574" s="28">
        <f>SUM(BASE[[#This Row],[MONTO DE RENTA ]]*1.16)</f>
        <v>648.99680000000001</v>
      </c>
      <c r="AE574" s="28" t="s">
        <v>83</v>
      </c>
      <c r="AF574" s="28">
        <v>559.48275862068965</v>
      </c>
      <c r="AG574" s="28">
        <v>649</v>
      </c>
      <c r="AH574" s="22" t="s">
        <v>64</v>
      </c>
      <c r="AI574" s="63">
        <v>45703</v>
      </c>
      <c r="AJ574" s="63">
        <v>46433</v>
      </c>
      <c r="AK5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4" s="30"/>
      <c r="AN574" s="20" t="s">
        <v>65</v>
      </c>
      <c r="AP574" s="20" t="s">
        <v>84</v>
      </c>
    </row>
    <row r="575" spans="1:43" ht="16">
      <c r="A575" s="20">
        <v>5533078642</v>
      </c>
      <c r="B575" s="21">
        <v>1071628</v>
      </c>
      <c r="C575" s="20" t="s">
        <v>2826</v>
      </c>
      <c r="D575" s="20" t="s">
        <v>45</v>
      </c>
      <c r="E575" s="20" t="s">
        <v>45</v>
      </c>
      <c r="F575" s="20" t="s">
        <v>104</v>
      </c>
      <c r="G575" s="20" t="s">
        <v>104</v>
      </c>
      <c r="H575" s="20" t="s">
        <v>48</v>
      </c>
      <c r="I575" s="20" t="s">
        <v>104</v>
      </c>
      <c r="J575" s="32" t="s">
        <v>2827</v>
      </c>
      <c r="K575" s="32" t="s">
        <v>2827</v>
      </c>
      <c r="L575" s="23" t="s">
        <v>2804</v>
      </c>
      <c r="M575" s="24" t="s">
        <v>7736</v>
      </c>
      <c r="N575" s="23">
        <v>18702000</v>
      </c>
      <c r="O575" s="25" t="s">
        <v>52</v>
      </c>
      <c r="P575" s="25" t="s">
        <v>53</v>
      </c>
      <c r="Q575" s="20" t="s">
        <v>2828</v>
      </c>
      <c r="R575" s="20">
        <v>90069943</v>
      </c>
      <c r="S575" s="25" t="s">
        <v>2829</v>
      </c>
      <c r="T575" s="26" t="s">
        <v>57</v>
      </c>
      <c r="U575" s="23">
        <v>860478064859371</v>
      </c>
      <c r="V575" s="45" t="s">
        <v>110</v>
      </c>
      <c r="W575" s="20" t="s">
        <v>302</v>
      </c>
      <c r="X575" s="20" t="s">
        <v>303</v>
      </c>
      <c r="Y575" s="20" t="s">
        <v>303</v>
      </c>
      <c r="Z575" s="20" t="s">
        <v>80</v>
      </c>
      <c r="AA575" s="20" t="s">
        <v>81</v>
      </c>
      <c r="AB575" s="20" t="s">
        <v>82</v>
      </c>
      <c r="AC575" s="28">
        <v>559.48</v>
      </c>
      <c r="AD575" s="28">
        <f>SUM(BASE[[#This Row],[MONTO DE RENTA ]]*1.16)</f>
        <v>648.99680000000001</v>
      </c>
      <c r="AE575" s="28" t="s">
        <v>83</v>
      </c>
      <c r="AF575" s="28">
        <v>559.48275862068965</v>
      </c>
      <c r="AG575" s="28">
        <v>649</v>
      </c>
      <c r="AH575" s="22" t="s">
        <v>64</v>
      </c>
      <c r="AI575" s="63">
        <v>45703</v>
      </c>
      <c r="AJ575" s="63">
        <v>46433</v>
      </c>
      <c r="AK5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5" s="30"/>
      <c r="AN575" s="20" t="s">
        <v>65</v>
      </c>
      <c r="AP575" s="20" t="s">
        <v>84</v>
      </c>
    </row>
    <row r="576" spans="1:43" ht="16">
      <c r="A576" s="20">
        <v>5516267450</v>
      </c>
      <c r="B576" s="21">
        <v>440421</v>
      </c>
      <c r="C576" s="20" t="s">
        <v>2830</v>
      </c>
      <c r="D576" s="20" t="s">
        <v>417</v>
      </c>
      <c r="E576" s="20" t="s">
        <v>1156</v>
      </c>
      <c r="F576" s="20" t="s">
        <v>104</v>
      </c>
      <c r="G576" s="20" t="s">
        <v>104</v>
      </c>
      <c r="H576" s="20" t="s">
        <v>48</v>
      </c>
      <c r="I576" s="20" t="s">
        <v>104</v>
      </c>
      <c r="J576" s="32" t="s">
        <v>2831</v>
      </c>
      <c r="K576" s="32" t="s">
        <v>2831</v>
      </c>
      <c r="L576" s="23" t="s">
        <v>2804</v>
      </c>
      <c r="M576" s="24" t="s">
        <v>7736</v>
      </c>
      <c r="N576" s="23">
        <v>18744003</v>
      </c>
      <c r="O576" s="25" t="s">
        <v>52</v>
      </c>
      <c r="P576" s="25" t="s">
        <v>53</v>
      </c>
      <c r="Q576" s="20" t="s">
        <v>2832</v>
      </c>
      <c r="R576" s="20">
        <v>90069939</v>
      </c>
      <c r="S576" s="25" t="s">
        <v>2833</v>
      </c>
      <c r="T576" s="26" t="s">
        <v>57</v>
      </c>
      <c r="U576" s="23">
        <v>860478063560897</v>
      </c>
      <c r="V576" s="45" t="s">
        <v>110</v>
      </c>
      <c r="W576" s="20" t="s">
        <v>302</v>
      </c>
      <c r="X576" s="20" t="s">
        <v>303</v>
      </c>
      <c r="Y576" s="20" t="s">
        <v>303</v>
      </c>
      <c r="Z576" s="20" t="s">
        <v>80</v>
      </c>
      <c r="AA576" s="20" t="s">
        <v>81</v>
      </c>
      <c r="AB576" s="20" t="s">
        <v>82</v>
      </c>
      <c r="AC576" s="28">
        <v>559.48</v>
      </c>
      <c r="AD576" s="28">
        <f>SUM(BASE[[#This Row],[MONTO DE RENTA ]]*1.16)</f>
        <v>648.99680000000001</v>
      </c>
      <c r="AE576" s="28" t="s">
        <v>83</v>
      </c>
      <c r="AF576" s="28">
        <v>559.48275862068965</v>
      </c>
      <c r="AG576" s="28">
        <v>649</v>
      </c>
      <c r="AH576" s="22" t="s">
        <v>64</v>
      </c>
      <c r="AI576" s="63">
        <v>45703</v>
      </c>
      <c r="AJ576" s="63">
        <v>46433</v>
      </c>
      <c r="AK5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6" s="30"/>
      <c r="AN576" s="20" t="s">
        <v>65</v>
      </c>
      <c r="AP576" s="20" t="s">
        <v>84</v>
      </c>
    </row>
    <row r="577" spans="1:43" ht="16">
      <c r="A577" s="20">
        <v>5533058721</v>
      </c>
      <c r="B577" s="21">
        <v>1032499</v>
      </c>
      <c r="C577" s="20" t="s">
        <v>2834</v>
      </c>
      <c r="D577" s="20" t="s">
        <v>1443</v>
      </c>
      <c r="E577" s="20" t="s">
        <v>2835</v>
      </c>
      <c r="F577" s="20" t="s">
        <v>384</v>
      </c>
      <c r="G577" s="20" t="s">
        <v>104</v>
      </c>
      <c r="H577" s="20" t="s">
        <v>48</v>
      </c>
      <c r="I577" s="20" t="s">
        <v>384</v>
      </c>
      <c r="J577" s="32" t="s">
        <v>2836</v>
      </c>
      <c r="K577" s="32" t="s">
        <v>2836</v>
      </c>
      <c r="L577" s="23" t="s">
        <v>2804</v>
      </c>
      <c r="M577" s="24" t="s">
        <v>7736</v>
      </c>
      <c r="N577" s="23">
        <v>18702000</v>
      </c>
      <c r="O577" s="25" t="s">
        <v>52</v>
      </c>
      <c r="P577" s="25" t="s">
        <v>53</v>
      </c>
      <c r="Q577" s="20" t="s">
        <v>2837</v>
      </c>
      <c r="R577" s="20">
        <v>90069850</v>
      </c>
      <c r="S577" s="25" t="s">
        <v>2838</v>
      </c>
      <c r="T577" s="26" t="s">
        <v>57</v>
      </c>
      <c r="U577" s="23">
        <v>860478064854331</v>
      </c>
      <c r="V577" s="45" t="s">
        <v>110</v>
      </c>
      <c r="W577" s="20" t="s">
        <v>302</v>
      </c>
      <c r="X577" s="20" t="s">
        <v>303</v>
      </c>
      <c r="Y577" s="20" t="s">
        <v>303</v>
      </c>
      <c r="Z577" s="20" t="s">
        <v>80</v>
      </c>
      <c r="AA577" s="20" t="s">
        <v>81</v>
      </c>
      <c r="AB577" s="20" t="s">
        <v>82</v>
      </c>
      <c r="AC577" s="28">
        <v>559.48</v>
      </c>
      <c r="AD577" s="28">
        <f>SUM(BASE[[#This Row],[MONTO DE RENTA ]]*1.16)</f>
        <v>648.99680000000001</v>
      </c>
      <c r="AE577" s="28" t="s">
        <v>83</v>
      </c>
      <c r="AF577" s="28">
        <v>559.48275862068965</v>
      </c>
      <c r="AG577" s="28">
        <v>649</v>
      </c>
      <c r="AH577" s="22" t="s">
        <v>64</v>
      </c>
      <c r="AI577" s="63">
        <v>45703</v>
      </c>
      <c r="AJ577" s="63">
        <v>46433</v>
      </c>
      <c r="AK5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77" s="30"/>
      <c r="AN577" s="20" t="s">
        <v>65</v>
      </c>
      <c r="AP577" s="20" t="s">
        <v>84</v>
      </c>
    </row>
    <row r="578" spans="1:43" ht="16">
      <c r="A578" s="20">
        <v>5537117973</v>
      </c>
      <c r="B578" s="49">
        <v>440355</v>
      </c>
      <c r="C578" s="20" t="s">
        <v>561</v>
      </c>
      <c r="D578" s="20" t="s">
        <v>2839</v>
      </c>
      <c r="E578" s="20" t="s">
        <v>2840</v>
      </c>
      <c r="F578" s="20" t="s">
        <v>122</v>
      </c>
      <c r="G578" s="20" t="s">
        <v>122</v>
      </c>
      <c r="H578" s="20" t="s">
        <v>48</v>
      </c>
      <c r="I578" s="20" t="s">
        <v>122</v>
      </c>
      <c r="J578" s="22" t="s">
        <v>2841</v>
      </c>
      <c r="K578" s="22" t="s">
        <v>2841</v>
      </c>
      <c r="L578" s="23" t="s">
        <v>2804</v>
      </c>
      <c r="M578" s="24" t="s">
        <v>7736</v>
      </c>
      <c r="N578" s="23">
        <v>18702000</v>
      </c>
      <c r="O578" s="25" t="s">
        <v>52</v>
      </c>
      <c r="P578" s="25" t="s">
        <v>53</v>
      </c>
      <c r="Q578" s="20" t="s">
        <v>2842</v>
      </c>
      <c r="R578" s="20">
        <v>91493476</v>
      </c>
      <c r="S578" s="25" t="s">
        <v>2843</v>
      </c>
      <c r="T578" s="26" t="s">
        <v>57</v>
      </c>
      <c r="U578" s="23">
        <v>860900062336565</v>
      </c>
      <c r="V578" s="27" t="s">
        <v>183</v>
      </c>
      <c r="W578" s="20" t="s">
        <v>58</v>
      </c>
      <c r="X578" s="20" t="s">
        <v>59</v>
      </c>
      <c r="Y578" s="20" t="s">
        <v>59</v>
      </c>
      <c r="Z578" s="20" t="s">
        <v>261</v>
      </c>
      <c r="AA578" s="20" t="s">
        <v>473</v>
      </c>
      <c r="AB578" s="20" t="s">
        <v>262</v>
      </c>
      <c r="AC578" s="28">
        <v>369.83</v>
      </c>
      <c r="AD578" s="28">
        <f>SUM(BASE[[#This Row],[MONTO DE RENTA ]]*1.16)</f>
        <v>429.00279999999998</v>
      </c>
      <c r="AE578" s="28" t="s">
        <v>63</v>
      </c>
      <c r="AF578" s="28">
        <v>369.82758620689657</v>
      </c>
      <c r="AG578" s="28">
        <v>429</v>
      </c>
      <c r="AI578" s="29">
        <v>44937</v>
      </c>
      <c r="AJ578" s="50">
        <v>46043</v>
      </c>
      <c r="AK5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78" s="30"/>
      <c r="AN578" s="20" t="s">
        <v>99</v>
      </c>
      <c r="AP578" s="20" t="s">
        <v>84</v>
      </c>
      <c r="AQ578" s="20" t="s">
        <v>100</v>
      </c>
    </row>
    <row r="579" spans="1:43" ht="16">
      <c r="A579" s="20">
        <v>5527888632</v>
      </c>
      <c r="B579" s="86">
        <v>1048817</v>
      </c>
      <c r="C579" s="20" t="s">
        <v>2844</v>
      </c>
      <c r="D579" s="20" t="s">
        <v>2845</v>
      </c>
      <c r="E579" s="20" t="s">
        <v>2846</v>
      </c>
      <c r="F579" s="20" t="s">
        <v>70</v>
      </c>
      <c r="G579" s="20" t="s">
        <v>70</v>
      </c>
      <c r="H579" s="20" t="s">
        <v>48</v>
      </c>
      <c r="I579" s="20" t="s">
        <v>70</v>
      </c>
      <c r="J579" s="22" t="s">
        <v>2847</v>
      </c>
      <c r="K579" s="22" t="s">
        <v>2847</v>
      </c>
      <c r="L579" s="23" t="s">
        <v>2804</v>
      </c>
      <c r="M579" s="24" t="s">
        <v>7736</v>
      </c>
      <c r="N579" s="23">
        <v>18702000</v>
      </c>
      <c r="O579" s="25" t="s">
        <v>52</v>
      </c>
      <c r="P579" s="25" t="s">
        <v>53</v>
      </c>
      <c r="Q579" s="20" t="s">
        <v>2848</v>
      </c>
      <c r="R579" s="20">
        <v>9808605</v>
      </c>
      <c r="S579" s="25" t="s">
        <v>2849</v>
      </c>
      <c r="T579" s="26" t="s">
        <v>77</v>
      </c>
      <c r="U579" s="23">
        <v>357654179753168</v>
      </c>
      <c r="V579" s="27" t="s">
        <v>78</v>
      </c>
      <c r="W579" s="20" t="s">
        <v>95</v>
      </c>
      <c r="X579" s="20" t="s">
        <v>95</v>
      </c>
      <c r="Y579" s="20" t="s">
        <v>95</v>
      </c>
      <c r="Z579" s="20" t="s">
        <v>261</v>
      </c>
      <c r="AA579" s="20" t="s">
        <v>473</v>
      </c>
      <c r="AB579" s="20" t="s">
        <v>474</v>
      </c>
      <c r="AC579" s="28">
        <v>559.48</v>
      </c>
      <c r="AD579" s="28">
        <f>SUM(BASE[[#This Row],[MONTO DE RENTA ]]*1.16)</f>
        <v>648.99680000000001</v>
      </c>
      <c r="AE579" s="28" t="s">
        <v>83</v>
      </c>
      <c r="AF579" s="28">
        <v>559.48275862068965</v>
      </c>
      <c r="AG579" s="28">
        <v>649</v>
      </c>
      <c r="AI579" s="63">
        <v>44937</v>
      </c>
      <c r="AJ579" s="73">
        <v>46043</v>
      </c>
      <c r="AK57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79" s="30"/>
      <c r="AN579" s="20" t="s">
        <v>99</v>
      </c>
      <c r="AP579" s="20" t="s">
        <v>84</v>
      </c>
      <c r="AQ579" s="20" t="s">
        <v>100</v>
      </c>
    </row>
    <row r="580" spans="1:43" ht="16">
      <c r="A580" s="20">
        <v>8111941268</v>
      </c>
      <c r="B580" s="21">
        <v>640137</v>
      </c>
      <c r="C580" s="20" t="s">
        <v>537</v>
      </c>
      <c r="D580" s="20" t="s">
        <v>476</v>
      </c>
      <c r="E580" s="20" t="s">
        <v>598</v>
      </c>
      <c r="F580" s="20" t="s">
        <v>418</v>
      </c>
      <c r="G580" s="20" t="s">
        <v>47</v>
      </c>
      <c r="H580" s="20" t="s">
        <v>48</v>
      </c>
      <c r="I580" s="20" t="s">
        <v>418</v>
      </c>
      <c r="J580" s="22" t="s">
        <v>2850</v>
      </c>
      <c r="K580" s="22" t="s">
        <v>2850</v>
      </c>
      <c r="L580" s="23" t="s">
        <v>2851</v>
      </c>
      <c r="M580" s="24" t="s">
        <v>7737</v>
      </c>
      <c r="N580" s="23">
        <v>18703000</v>
      </c>
      <c r="O580" s="25" t="s">
        <v>74</v>
      </c>
      <c r="P580" s="25" t="s">
        <v>53</v>
      </c>
      <c r="Q580" s="20" t="s">
        <v>2852</v>
      </c>
      <c r="R580" s="20">
        <v>43141250</v>
      </c>
      <c r="S580" s="25" t="s">
        <v>2853</v>
      </c>
      <c r="T580" s="26" t="s">
        <v>57</v>
      </c>
      <c r="U580" s="23">
        <v>860900062336524</v>
      </c>
      <c r="V580" s="27" t="s">
        <v>57</v>
      </c>
      <c r="W580" s="20" t="s">
        <v>58</v>
      </c>
      <c r="X580" s="20" t="s">
        <v>59</v>
      </c>
      <c r="Y580" s="20" t="s">
        <v>59</v>
      </c>
      <c r="Z580" s="20" t="s">
        <v>167</v>
      </c>
      <c r="AA580" s="20" t="s">
        <v>168</v>
      </c>
      <c r="AB580" s="20" t="s">
        <v>96</v>
      </c>
      <c r="AC580" s="28">
        <v>369.83</v>
      </c>
      <c r="AD580" s="28">
        <f>SUM(BASE[[#This Row],[MONTO DE RENTA ]]*1.16)</f>
        <v>429.00279999999998</v>
      </c>
      <c r="AE580" s="28" t="s">
        <v>63</v>
      </c>
      <c r="AF580" s="28">
        <v>369.82758620689657</v>
      </c>
      <c r="AG580" s="28">
        <v>429</v>
      </c>
      <c r="AH580" s="22" t="s">
        <v>64</v>
      </c>
      <c r="AI580" s="63">
        <v>45703</v>
      </c>
      <c r="AJ580" s="63">
        <v>46433</v>
      </c>
      <c r="AK5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0" s="30"/>
      <c r="AN580" s="20" t="s">
        <v>65</v>
      </c>
      <c r="AP580" s="20" t="s">
        <v>84</v>
      </c>
    </row>
    <row r="581" spans="1:43" ht="16">
      <c r="A581" s="20">
        <v>8113500188</v>
      </c>
      <c r="B581" s="21">
        <v>1003841</v>
      </c>
      <c r="C581" s="20" t="s">
        <v>2854</v>
      </c>
      <c r="D581" s="20" t="s">
        <v>837</v>
      </c>
      <c r="E581" s="20" t="s">
        <v>2855</v>
      </c>
      <c r="F581" s="20" t="s">
        <v>451</v>
      </c>
      <c r="G581" s="20" t="s">
        <v>248</v>
      </c>
      <c r="H581" s="20" t="s">
        <v>48</v>
      </c>
      <c r="I581" s="20" t="s">
        <v>451</v>
      </c>
      <c r="J581" s="22" t="s">
        <v>2856</v>
      </c>
      <c r="K581" s="22" t="s">
        <v>2856</v>
      </c>
      <c r="L581" s="23" t="s">
        <v>2851</v>
      </c>
      <c r="M581" s="24" t="s">
        <v>7737</v>
      </c>
      <c r="N581" s="23">
        <v>18703000</v>
      </c>
      <c r="O581" s="25" t="s">
        <v>74</v>
      </c>
      <c r="P581" s="25" t="s">
        <v>53</v>
      </c>
      <c r="Q581" s="20" t="s">
        <v>2857</v>
      </c>
      <c r="R581" s="20">
        <v>43121119</v>
      </c>
      <c r="S581" s="25" t="s">
        <v>2858</v>
      </c>
      <c r="T581" s="26" t="s">
        <v>57</v>
      </c>
      <c r="U581" s="23">
        <v>860900062334404</v>
      </c>
      <c r="V581" s="27" t="s">
        <v>57</v>
      </c>
      <c r="W581" s="20" t="s">
        <v>58</v>
      </c>
      <c r="X581" s="20" t="s">
        <v>59</v>
      </c>
      <c r="Y581" s="20" t="s">
        <v>59</v>
      </c>
      <c r="Z581" s="20" t="s">
        <v>167</v>
      </c>
      <c r="AA581" s="20" t="s">
        <v>168</v>
      </c>
      <c r="AB581" s="20" t="s">
        <v>96</v>
      </c>
      <c r="AC581" s="28">
        <v>369.83</v>
      </c>
      <c r="AD581" s="28">
        <f>SUM(BASE[[#This Row],[MONTO DE RENTA ]]*1.16)</f>
        <v>429.00279999999998</v>
      </c>
      <c r="AE581" s="28" t="s">
        <v>63</v>
      </c>
      <c r="AF581" s="28">
        <v>369.82758620689657</v>
      </c>
      <c r="AG581" s="28">
        <v>429</v>
      </c>
      <c r="AH581" s="22" t="s">
        <v>64</v>
      </c>
      <c r="AI581" s="63">
        <v>45703</v>
      </c>
      <c r="AJ581" s="63">
        <v>46433</v>
      </c>
      <c r="AK5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1" s="30"/>
      <c r="AN581" s="20" t="s">
        <v>65</v>
      </c>
      <c r="AP581" s="20" t="s">
        <v>84</v>
      </c>
    </row>
    <row r="582" spans="1:43" ht="16">
      <c r="A582" s="20">
        <v>8117305951</v>
      </c>
      <c r="B582" s="21">
        <v>10599</v>
      </c>
      <c r="C582" s="20" t="s">
        <v>2088</v>
      </c>
      <c r="D582" s="20" t="s">
        <v>2859</v>
      </c>
      <c r="E582" s="20" t="s">
        <v>598</v>
      </c>
      <c r="F582" s="20" t="s">
        <v>257</v>
      </c>
      <c r="G582" s="20" t="s">
        <v>257</v>
      </c>
      <c r="H582" s="20" t="s">
        <v>48</v>
      </c>
      <c r="I582" s="20" t="s">
        <v>257</v>
      </c>
      <c r="J582" s="22" t="s">
        <v>2860</v>
      </c>
      <c r="K582" s="22" t="s">
        <v>2860</v>
      </c>
      <c r="L582" s="23" t="s">
        <v>2851</v>
      </c>
      <c r="M582" s="24" t="s">
        <v>7737</v>
      </c>
      <c r="N582" s="23">
        <v>18703000</v>
      </c>
      <c r="O582" s="25" t="s">
        <v>74</v>
      </c>
      <c r="P582" s="25" t="s">
        <v>53</v>
      </c>
      <c r="Q582" s="20" t="s">
        <v>2861</v>
      </c>
      <c r="R582" s="20">
        <v>43090259</v>
      </c>
      <c r="S582" s="25" t="s">
        <v>2862</v>
      </c>
      <c r="T582" s="26" t="s">
        <v>57</v>
      </c>
      <c r="U582" s="23">
        <v>860478064773283</v>
      </c>
      <c r="V582" s="45" t="s">
        <v>110</v>
      </c>
      <c r="W582" s="20" t="s">
        <v>302</v>
      </c>
      <c r="X582" s="20" t="s">
        <v>303</v>
      </c>
      <c r="Y582" s="20" t="s">
        <v>303</v>
      </c>
      <c r="Z582" s="20" t="s">
        <v>80</v>
      </c>
      <c r="AA582" s="20" t="s">
        <v>81</v>
      </c>
      <c r="AB582" s="20" t="s">
        <v>82</v>
      </c>
      <c r="AC582" s="28">
        <v>559.48</v>
      </c>
      <c r="AD582" s="28">
        <f>SUM(BASE[[#This Row],[MONTO DE RENTA ]]*1.16)</f>
        <v>648.99680000000001</v>
      </c>
      <c r="AE582" s="28" t="s">
        <v>83</v>
      </c>
      <c r="AF582" s="28">
        <v>559.48275862068965</v>
      </c>
      <c r="AG582" s="28">
        <v>649</v>
      </c>
      <c r="AH582" s="22" t="s">
        <v>64</v>
      </c>
      <c r="AI582" s="63">
        <v>45703</v>
      </c>
      <c r="AJ582" s="63">
        <v>46433</v>
      </c>
      <c r="AK5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2" s="30"/>
      <c r="AN582" s="20" t="s">
        <v>65</v>
      </c>
      <c r="AP582" s="20" t="s">
        <v>84</v>
      </c>
    </row>
    <row r="583" spans="1:43" ht="16">
      <c r="A583" s="20">
        <v>8113950204</v>
      </c>
      <c r="B583" s="59">
        <v>1002541</v>
      </c>
      <c r="C583" s="20" t="s">
        <v>2088</v>
      </c>
      <c r="D583" s="20" t="s">
        <v>306</v>
      </c>
      <c r="E583" s="20" t="s">
        <v>2814</v>
      </c>
      <c r="F583" s="20" t="s">
        <v>104</v>
      </c>
      <c r="G583" s="20" t="s">
        <v>104</v>
      </c>
      <c r="H583" s="20" t="s">
        <v>48</v>
      </c>
      <c r="I583" s="20" t="s">
        <v>104</v>
      </c>
      <c r="J583" s="32" t="s">
        <v>2863</v>
      </c>
      <c r="K583" s="22" t="s">
        <v>2863</v>
      </c>
      <c r="L583" s="23" t="s">
        <v>2851</v>
      </c>
      <c r="M583" s="24" t="s">
        <v>7737</v>
      </c>
      <c r="N583" s="23">
        <v>18703000</v>
      </c>
      <c r="O583" s="25" t="s">
        <v>74</v>
      </c>
      <c r="P583" s="25" t="s">
        <v>53</v>
      </c>
      <c r="Q583" s="20" t="s">
        <v>2864</v>
      </c>
      <c r="R583" s="20">
        <v>43090238</v>
      </c>
      <c r="S583" s="25" t="s">
        <v>2865</v>
      </c>
      <c r="T583" s="26" t="s">
        <v>57</v>
      </c>
      <c r="U583" s="23">
        <v>860478064773192</v>
      </c>
      <c r="V583" s="45" t="s">
        <v>110</v>
      </c>
      <c r="W583" s="20" t="s">
        <v>302</v>
      </c>
      <c r="X583" s="20" t="s">
        <v>303</v>
      </c>
      <c r="Y583" s="20" t="s">
        <v>303</v>
      </c>
      <c r="Z583" s="20" t="s">
        <v>80</v>
      </c>
      <c r="AA583" s="20" t="s">
        <v>81</v>
      </c>
      <c r="AB583" s="20" t="s">
        <v>82</v>
      </c>
      <c r="AC583" s="28">
        <v>559.48</v>
      </c>
      <c r="AD583" s="28">
        <f>SUM(BASE[[#This Row],[MONTO DE RENTA ]]*1.16)</f>
        <v>648.99680000000001</v>
      </c>
      <c r="AE583" s="28" t="s">
        <v>83</v>
      </c>
      <c r="AF583" s="28">
        <v>559.48275862068965</v>
      </c>
      <c r="AG583" s="28">
        <v>649</v>
      </c>
      <c r="AH583" s="22" t="s">
        <v>64</v>
      </c>
      <c r="AI583" s="63">
        <v>45703</v>
      </c>
      <c r="AJ583" s="63">
        <v>46433</v>
      </c>
      <c r="AK5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3" s="30"/>
      <c r="AN583" s="20" t="s">
        <v>65</v>
      </c>
      <c r="AP583" s="20" t="s">
        <v>84</v>
      </c>
    </row>
    <row r="584" spans="1:43" ht="16">
      <c r="A584" s="20">
        <v>8111891478</v>
      </c>
      <c r="B584" s="21">
        <v>30125</v>
      </c>
      <c r="C584" s="20" t="s">
        <v>2866</v>
      </c>
      <c r="D584" s="20" t="s">
        <v>358</v>
      </c>
      <c r="E584" s="20" t="s">
        <v>711</v>
      </c>
      <c r="F584" s="20" t="s">
        <v>104</v>
      </c>
      <c r="G584" s="20" t="s">
        <v>104</v>
      </c>
      <c r="H584" s="20" t="s">
        <v>48</v>
      </c>
      <c r="I584" s="20" t="s">
        <v>104</v>
      </c>
      <c r="J584" s="32" t="s">
        <v>2867</v>
      </c>
      <c r="K584" s="32" t="s">
        <v>2867</v>
      </c>
      <c r="L584" s="23" t="s">
        <v>2851</v>
      </c>
      <c r="M584" s="24" t="s">
        <v>7737</v>
      </c>
      <c r="N584" s="23">
        <v>18703000</v>
      </c>
      <c r="O584" s="25" t="s">
        <v>74</v>
      </c>
      <c r="P584" s="25" t="s">
        <v>53</v>
      </c>
      <c r="Q584" s="20" t="s">
        <v>2868</v>
      </c>
      <c r="R584" s="20">
        <v>43090311</v>
      </c>
      <c r="S584" s="25" t="s">
        <v>2869</v>
      </c>
      <c r="T584" s="26" t="s">
        <v>57</v>
      </c>
      <c r="U584" s="23">
        <v>860478063821356</v>
      </c>
      <c r="V584" s="45" t="s">
        <v>110</v>
      </c>
      <c r="W584" s="20" t="s">
        <v>302</v>
      </c>
      <c r="X584" s="20" t="s">
        <v>303</v>
      </c>
      <c r="Y584" s="20" t="s">
        <v>303</v>
      </c>
      <c r="Z584" s="20" t="s">
        <v>80</v>
      </c>
      <c r="AA584" s="20" t="s">
        <v>81</v>
      </c>
      <c r="AB584" s="20" t="s">
        <v>82</v>
      </c>
      <c r="AC584" s="28">
        <v>559.48</v>
      </c>
      <c r="AD584" s="28">
        <f>SUM(BASE[[#This Row],[MONTO DE RENTA ]]*1.16)</f>
        <v>648.99680000000001</v>
      </c>
      <c r="AE584" s="28" t="s">
        <v>83</v>
      </c>
      <c r="AF584" s="28">
        <v>559.48275862068965</v>
      </c>
      <c r="AG584" s="28">
        <v>649</v>
      </c>
      <c r="AH584" s="22" t="s">
        <v>64</v>
      </c>
      <c r="AI584" s="63">
        <v>45703</v>
      </c>
      <c r="AJ584" s="63">
        <v>46433</v>
      </c>
      <c r="AK5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4" s="30"/>
      <c r="AN584" s="20" t="s">
        <v>65</v>
      </c>
      <c r="AP584" s="20" t="s">
        <v>84</v>
      </c>
    </row>
    <row r="585" spans="1:43" s="51" customFormat="1" ht="16">
      <c r="A585" s="20">
        <v>8113951719</v>
      </c>
      <c r="B585" s="21">
        <v>999316</v>
      </c>
      <c r="C585" s="20" t="s">
        <v>1820</v>
      </c>
      <c r="D585" s="20" t="s">
        <v>1167</v>
      </c>
      <c r="E585" s="20" t="s">
        <v>845</v>
      </c>
      <c r="F585" s="20" t="s">
        <v>104</v>
      </c>
      <c r="G585" s="20" t="s">
        <v>104</v>
      </c>
      <c r="H585" s="20" t="s">
        <v>48</v>
      </c>
      <c r="I585" s="20" t="s">
        <v>104</v>
      </c>
      <c r="J585" s="97" t="s">
        <v>2870</v>
      </c>
      <c r="K585" s="97" t="s">
        <v>2870</v>
      </c>
      <c r="L585" s="23" t="s">
        <v>2851</v>
      </c>
      <c r="M585" s="24" t="s">
        <v>7737</v>
      </c>
      <c r="N585" s="23">
        <v>18703000</v>
      </c>
      <c r="O585" s="25" t="s">
        <v>74</v>
      </c>
      <c r="P585" s="25" t="s">
        <v>53</v>
      </c>
      <c r="Q585" s="20" t="s">
        <v>2871</v>
      </c>
      <c r="R585" s="20">
        <v>43090240</v>
      </c>
      <c r="S585" s="25" t="s">
        <v>2872</v>
      </c>
      <c r="T585" s="26" t="s">
        <v>57</v>
      </c>
      <c r="U585" s="23">
        <v>860478064773234</v>
      </c>
      <c r="V585" s="45" t="s">
        <v>110</v>
      </c>
      <c r="W585" s="20" t="s">
        <v>302</v>
      </c>
      <c r="X585" s="20" t="s">
        <v>303</v>
      </c>
      <c r="Y585" s="20" t="s">
        <v>303</v>
      </c>
      <c r="Z585" s="20" t="s">
        <v>80</v>
      </c>
      <c r="AA585" s="20" t="s">
        <v>81</v>
      </c>
      <c r="AB585" s="20" t="s">
        <v>82</v>
      </c>
      <c r="AC585" s="28">
        <v>559.48</v>
      </c>
      <c r="AD585" s="28">
        <f>SUM(BASE[[#This Row],[MONTO DE RENTA ]]*1.16)</f>
        <v>648.99680000000001</v>
      </c>
      <c r="AE585" s="28" t="s">
        <v>83</v>
      </c>
      <c r="AF585" s="28">
        <v>559.48275862068965</v>
      </c>
      <c r="AG585" s="28">
        <v>649</v>
      </c>
      <c r="AH585" s="22" t="s">
        <v>64</v>
      </c>
      <c r="AI585" s="63">
        <v>45703</v>
      </c>
      <c r="AJ585" s="63">
        <v>46433</v>
      </c>
      <c r="AK5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585" s="20"/>
      <c r="AM585" s="30"/>
      <c r="AN585" s="20" t="s">
        <v>65</v>
      </c>
      <c r="AO585" s="20"/>
      <c r="AP585" s="20" t="s">
        <v>84</v>
      </c>
      <c r="AQ585" s="20"/>
    </row>
    <row r="586" spans="1:43" ht="16">
      <c r="A586" s="20">
        <v>8117903374</v>
      </c>
      <c r="B586" s="49">
        <v>1037160</v>
      </c>
      <c r="C586" s="20" t="s">
        <v>2873</v>
      </c>
      <c r="D586" s="20" t="s">
        <v>187</v>
      </c>
      <c r="E586" s="20" t="s">
        <v>45</v>
      </c>
      <c r="F586" s="20" t="s">
        <v>122</v>
      </c>
      <c r="G586" s="20" t="s">
        <v>122</v>
      </c>
      <c r="H586" s="20" t="s">
        <v>48</v>
      </c>
      <c r="I586" s="20" t="s">
        <v>122</v>
      </c>
      <c r="J586" s="32" t="s">
        <v>2874</v>
      </c>
      <c r="K586" s="32" t="s">
        <v>2874</v>
      </c>
      <c r="L586" s="23" t="s">
        <v>2851</v>
      </c>
      <c r="M586" s="24" t="s">
        <v>7737</v>
      </c>
      <c r="N586" s="23">
        <v>18703000</v>
      </c>
      <c r="O586" s="25" t="s">
        <v>74</v>
      </c>
      <c r="P586" s="25" t="s">
        <v>53</v>
      </c>
      <c r="Q586" s="20" t="s">
        <v>2875</v>
      </c>
      <c r="R586" s="20">
        <v>42847265</v>
      </c>
      <c r="S586" s="25" t="s">
        <v>55</v>
      </c>
      <c r="T586" s="26" t="s">
        <v>56</v>
      </c>
      <c r="U586" s="23">
        <v>865356065689432</v>
      </c>
      <c r="V586" s="27" t="s">
        <v>183</v>
      </c>
      <c r="W586" s="20" t="s">
        <v>129</v>
      </c>
      <c r="X586" s="20" t="s">
        <v>130</v>
      </c>
      <c r="Y586" s="20" t="s">
        <v>130</v>
      </c>
      <c r="Z586" s="20" t="s">
        <v>60</v>
      </c>
      <c r="AA586" s="20" t="s">
        <v>61</v>
      </c>
      <c r="AB586" s="20" t="s">
        <v>96</v>
      </c>
      <c r="AC586" s="28">
        <v>369.83</v>
      </c>
      <c r="AD586" s="28">
        <f>SUM(BASE[[#This Row],[MONTO DE RENTA ]]*1.16)</f>
        <v>429.00279999999998</v>
      </c>
      <c r="AE586" s="28" t="s">
        <v>63</v>
      </c>
      <c r="AF586" s="28">
        <v>369.82758620689657</v>
      </c>
      <c r="AG586" s="28">
        <v>429</v>
      </c>
      <c r="AI586" s="63">
        <v>44937</v>
      </c>
      <c r="AJ586" s="63">
        <v>46064</v>
      </c>
      <c r="AK586" s="30">
        <f ca="1">IFERROR(IF(BASE[[#This Row],[FECHA DE RENOVACION ]]&gt;TODAY(), DATEDIF(TODAY(),BASE[[#This Row],[FECHA DE RENOVACION ]],"M"), -DATEDIF(BASE[[#This Row],[FECHA DE RENOVACION ]],TODAY(),"M")), "Sin fecha")</f>
        <v>0</v>
      </c>
      <c r="AM586" s="30"/>
      <c r="AN586" s="20" t="s">
        <v>99</v>
      </c>
      <c r="AP586" s="20" t="s">
        <v>84</v>
      </c>
      <c r="AQ586" s="20" t="s">
        <v>100</v>
      </c>
    </row>
    <row r="587" spans="1:43" ht="16">
      <c r="A587" s="20">
        <v>8111192796</v>
      </c>
      <c r="B587" s="190">
        <v>1001926</v>
      </c>
      <c r="C587" s="20" t="s">
        <v>2876</v>
      </c>
      <c r="D587" s="20" t="s">
        <v>895</v>
      </c>
      <c r="E587" s="20" t="s">
        <v>937</v>
      </c>
      <c r="F587" s="20" t="s">
        <v>122</v>
      </c>
      <c r="G587" s="20" t="s">
        <v>122</v>
      </c>
      <c r="H587" s="20" t="s">
        <v>48</v>
      </c>
      <c r="I587" s="20" t="s">
        <v>122</v>
      </c>
      <c r="J587" s="32" t="s">
        <v>2874</v>
      </c>
      <c r="K587" s="32" t="s">
        <v>2874</v>
      </c>
      <c r="L587" s="23" t="s">
        <v>2851</v>
      </c>
      <c r="M587" s="24" t="s">
        <v>7737</v>
      </c>
      <c r="N587" s="23">
        <v>18703000</v>
      </c>
      <c r="O587" s="25" t="s">
        <v>74</v>
      </c>
      <c r="P587" s="25" t="s">
        <v>53</v>
      </c>
      <c r="Q587" s="20" t="s">
        <v>2877</v>
      </c>
      <c r="R587" s="20">
        <v>43090300</v>
      </c>
      <c r="S587" s="25" t="s">
        <v>2878</v>
      </c>
      <c r="T587" s="26" t="s">
        <v>57</v>
      </c>
      <c r="U587" s="23">
        <v>865356065689432</v>
      </c>
      <c r="V587" s="27" t="s">
        <v>57</v>
      </c>
      <c r="W587" s="20" t="s">
        <v>129</v>
      </c>
      <c r="X587" s="20" t="s">
        <v>130</v>
      </c>
      <c r="Y587" s="20" t="s">
        <v>130</v>
      </c>
      <c r="Z587" s="20" t="s">
        <v>80</v>
      </c>
      <c r="AA587" s="20" t="s">
        <v>81</v>
      </c>
      <c r="AB587" s="20" t="s">
        <v>82</v>
      </c>
      <c r="AC587" s="28">
        <v>559.48</v>
      </c>
      <c r="AD587" s="28">
        <f>SUM(BASE[[#This Row],[MONTO DE RENTA ]]*1.16)</f>
        <v>648.99680000000001</v>
      </c>
      <c r="AE587" s="28" t="s">
        <v>63</v>
      </c>
      <c r="AF587" s="28">
        <v>369.82758620689657</v>
      </c>
      <c r="AG587" s="28">
        <v>429</v>
      </c>
      <c r="AH587" s="22" t="s">
        <v>64</v>
      </c>
      <c r="AI587" s="63">
        <v>45703</v>
      </c>
      <c r="AJ587" s="63">
        <v>46433</v>
      </c>
      <c r="AK5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7" s="30"/>
      <c r="AN587" s="20" t="s">
        <v>65</v>
      </c>
      <c r="AP587" s="20" t="s">
        <v>118</v>
      </c>
    </row>
    <row r="588" spans="1:43" ht="16">
      <c r="A588" s="20">
        <v>8113120613</v>
      </c>
      <c r="B588" s="49">
        <v>640026</v>
      </c>
      <c r="C588" s="20" t="s">
        <v>2879</v>
      </c>
      <c r="D588" s="20" t="s">
        <v>507</v>
      </c>
      <c r="E588" s="20" t="s">
        <v>2880</v>
      </c>
      <c r="F588" s="20" t="s">
        <v>70</v>
      </c>
      <c r="G588" s="20" t="s">
        <v>70</v>
      </c>
      <c r="H588" s="20" t="s">
        <v>48</v>
      </c>
      <c r="I588" s="20" t="s">
        <v>70</v>
      </c>
      <c r="J588" s="22" t="s">
        <v>2881</v>
      </c>
      <c r="K588" s="22" t="s">
        <v>2881</v>
      </c>
      <c r="L588" s="23" t="s">
        <v>2851</v>
      </c>
      <c r="M588" s="24" t="s">
        <v>7737</v>
      </c>
      <c r="N588" s="23">
        <v>18703000</v>
      </c>
      <c r="O588" s="25" t="s">
        <v>74</v>
      </c>
      <c r="P588" s="25" t="s">
        <v>53</v>
      </c>
      <c r="Q588" s="20" t="s">
        <v>2882</v>
      </c>
      <c r="R588" s="20">
        <v>42943894</v>
      </c>
      <c r="S588" s="25" t="s">
        <v>55</v>
      </c>
      <c r="T588" s="26" t="s">
        <v>56</v>
      </c>
      <c r="U588" s="23">
        <v>357654178953629</v>
      </c>
      <c r="V588" s="27" t="s">
        <v>78</v>
      </c>
      <c r="W588" s="20" t="s">
        <v>95</v>
      </c>
      <c r="X588" s="20" t="s">
        <v>95</v>
      </c>
      <c r="Y588" s="20" t="s">
        <v>95</v>
      </c>
      <c r="Z588" s="20" t="s">
        <v>584</v>
      </c>
      <c r="AA588" s="20" t="s">
        <v>585</v>
      </c>
      <c r="AB588" s="20" t="s">
        <v>82</v>
      </c>
      <c r="AC588" s="28">
        <v>559.48</v>
      </c>
      <c r="AD588" s="28">
        <f>SUM(BASE[[#This Row],[MONTO DE RENTA ]]*1.16)</f>
        <v>648.99680000000001</v>
      </c>
      <c r="AE588" s="28" t="s">
        <v>83</v>
      </c>
      <c r="AF588" s="28">
        <v>559.48275862068965</v>
      </c>
      <c r="AG588" s="28">
        <v>649</v>
      </c>
      <c r="AI588" s="63">
        <v>44937</v>
      </c>
      <c r="AJ588" s="73">
        <v>46043</v>
      </c>
      <c r="AK5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88" s="30"/>
      <c r="AN588" s="20" t="s">
        <v>99</v>
      </c>
      <c r="AP588" s="20" t="s">
        <v>84</v>
      </c>
      <c r="AQ588" s="20" t="s">
        <v>100</v>
      </c>
    </row>
    <row r="589" spans="1:43" ht="16">
      <c r="A589" s="20">
        <v>8111923682</v>
      </c>
      <c r="B589" s="21">
        <v>100339</v>
      </c>
      <c r="C589" s="20" t="s">
        <v>2883</v>
      </c>
      <c r="D589" s="20" t="s">
        <v>45</v>
      </c>
      <c r="E589" s="20" t="s">
        <v>216</v>
      </c>
      <c r="F589" s="20" t="s">
        <v>451</v>
      </c>
      <c r="G589" s="20" t="s">
        <v>47</v>
      </c>
      <c r="H589" s="20" t="s">
        <v>48</v>
      </c>
      <c r="I589" s="20" t="s">
        <v>451</v>
      </c>
      <c r="J589" s="22" t="s">
        <v>2884</v>
      </c>
      <c r="K589" s="22" t="s">
        <v>2884</v>
      </c>
      <c r="L589" s="23" t="s">
        <v>2823</v>
      </c>
      <c r="M589" s="24" t="s">
        <v>7737</v>
      </c>
      <c r="N589" s="23">
        <v>18704000</v>
      </c>
      <c r="O589" s="25" t="s">
        <v>74</v>
      </c>
      <c r="P589" s="25" t="s">
        <v>53</v>
      </c>
      <c r="Q589" s="20" t="s">
        <v>2885</v>
      </c>
      <c r="R589" s="20">
        <v>43141246</v>
      </c>
      <c r="S589" s="25" t="s">
        <v>2886</v>
      </c>
      <c r="T589" s="26" t="s">
        <v>57</v>
      </c>
      <c r="U589" s="23">
        <v>860900062330816</v>
      </c>
      <c r="V589" s="27" t="s">
        <v>57</v>
      </c>
      <c r="W589" s="20" t="s">
        <v>58</v>
      </c>
      <c r="X589" s="20" t="s">
        <v>59</v>
      </c>
      <c r="Y589" s="20" t="s">
        <v>59</v>
      </c>
      <c r="Z589" s="20" t="s">
        <v>167</v>
      </c>
      <c r="AA589" s="20" t="s">
        <v>168</v>
      </c>
      <c r="AB589" s="20" t="s">
        <v>96</v>
      </c>
      <c r="AC589" s="28">
        <v>369.83</v>
      </c>
      <c r="AD589" s="28">
        <f>SUM(BASE[[#This Row],[MONTO DE RENTA ]]*1.16)</f>
        <v>429.00279999999998</v>
      </c>
      <c r="AE589" s="28" t="s">
        <v>63</v>
      </c>
      <c r="AF589" s="28">
        <v>369.82758620689657</v>
      </c>
      <c r="AG589" s="28">
        <v>429</v>
      </c>
      <c r="AH589" s="22" t="s">
        <v>64</v>
      </c>
      <c r="AI589" s="63">
        <v>45703</v>
      </c>
      <c r="AJ589" s="63">
        <v>46433</v>
      </c>
      <c r="AK5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89" s="30"/>
      <c r="AN589" s="20" t="s">
        <v>65</v>
      </c>
      <c r="AP589" s="20" t="s">
        <v>84</v>
      </c>
    </row>
    <row r="590" spans="1:43" ht="16">
      <c r="A590" s="20">
        <v>8113963435</v>
      </c>
      <c r="B590" s="147">
        <v>1020340</v>
      </c>
      <c r="C590" s="20" t="s">
        <v>2887</v>
      </c>
      <c r="D590" s="20" t="s">
        <v>411</v>
      </c>
      <c r="E590" s="20" t="s">
        <v>613</v>
      </c>
      <c r="F590" s="20" t="s">
        <v>1923</v>
      </c>
      <c r="G590" s="20" t="s">
        <v>248</v>
      </c>
      <c r="H590" s="20" t="s">
        <v>48</v>
      </c>
      <c r="I590" s="20" t="s">
        <v>1923</v>
      </c>
      <c r="J590" s="22" t="s">
        <v>2888</v>
      </c>
      <c r="K590" s="22" t="s">
        <v>2888</v>
      </c>
      <c r="L590" s="23" t="s">
        <v>2823</v>
      </c>
      <c r="M590" s="24" t="s">
        <v>7737</v>
      </c>
      <c r="N590" s="23">
        <v>18704000</v>
      </c>
      <c r="O590" s="25" t="s">
        <v>74</v>
      </c>
      <c r="P590" s="25" t="s">
        <v>53</v>
      </c>
      <c r="Q590" s="20" t="s">
        <v>2889</v>
      </c>
      <c r="R590" s="20">
        <v>43121127</v>
      </c>
      <c r="S590" s="25" t="s">
        <v>2890</v>
      </c>
      <c r="T590" s="26" t="s">
        <v>57</v>
      </c>
      <c r="U590" s="23">
        <v>860900062336581</v>
      </c>
      <c r="V590" s="27" t="s">
        <v>57</v>
      </c>
      <c r="W590" s="20" t="s">
        <v>58</v>
      </c>
      <c r="X590" s="20" t="s">
        <v>59</v>
      </c>
      <c r="Y590" s="20" t="s">
        <v>59</v>
      </c>
      <c r="Z590" s="20" t="s">
        <v>167</v>
      </c>
      <c r="AA590" s="20" t="s">
        <v>168</v>
      </c>
      <c r="AB590" s="20" t="s">
        <v>96</v>
      </c>
      <c r="AC590" s="28">
        <v>369.83</v>
      </c>
      <c r="AD590" s="28">
        <f>SUM(BASE[[#This Row],[MONTO DE RENTA ]]*1.16)</f>
        <v>429.00279999999998</v>
      </c>
      <c r="AE590" s="28" t="s">
        <v>63</v>
      </c>
      <c r="AF590" s="28">
        <v>369.82758620689657</v>
      </c>
      <c r="AG590" s="28">
        <v>429</v>
      </c>
      <c r="AH590" s="22" t="s">
        <v>64</v>
      </c>
      <c r="AI590" s="29">
        <v>45703</v>
      </c>
      <c r="AJ590" s="29">
        <v>46433</v>
      </c>
      <c r="AK5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0" s="30"/>
      <c r="AN590" s="20" t="s">
        <v>65</v>
      </c>
      <c r="AP590" s="20" t="s">
        <v>84</v>
      </c>
    </row>
    <row r="591" spans="1:43" ht="16">
      <c r="A591" s="20">
        <v>8115729500</v>
      </c>
      <c r="B591" s="21">
        <v>30025</v>
      </c>
      <c r="C591" s="20" t="s">
        <v>844</v>
      </c>
      <c r="D591" s="20" t="s">
        <v>2891</v>
      </c>
      <c r="E591" s="20" t="s">
        <v>1104</v>
      </c>
      <c r="F591" s="20" t="s">
        <v>257</v>
      </c>
      <c r="G591" s="20" t="s">
        <v>257</v>
      </c>
      <c r="H591" s="20" t="s">
        <v>48</v>
      </c>
      <c r="I591" s="20" t="s">
        <v>257</v>
      </c>
      <c r="J591" s="22" t="s">
        <v>2892</v>
      </c>
      <c r="K591" s="22" t="s">
        <v>2892</v>
      </c>
      <c r="L591" s="23" t="s">
        <v>2823</v>
      </c>
      <c r="M591" s="24" t="s">
        <v>7737</v>
      </c>
      <c r="N591" s="23">
        <v>18704000</v>
      </c>
      <c r="O591" s="25" t="s">
        <v>74</v>
      </c>
      <c r="P591" s="25" t="s">
        <v>53</v>
      </c>
      <c r="Q591" s="20" t="s">
        <v>2893</v>
      </c>
      <c r="R591" s="20">
        <v>43090249</v>
      </c>
      <c r="S591" s="25" t="s">
        <v>2894</v>
      </c>
      <c r="T591" s="26" t="s">
        <v>57</v>
      </c>
      <c r="U591" s="23">
        <v>860478062099152</v>
      </c>
      <c r="V591" s="45" t="s">
        <v>110</v>
      </c>
      <c r="W591" s="20" t="s">
        <v>302</v>
      </c>
      <c r="X591" s="20" t="s">
        <v>303</v>
      </c>
      <c r="Y591" s="20" t="s">
        <v>303</v>
      </c>
      <c r="Z591" s="20" t="s">
        <v>80</v>
      </c>
      <c r="AA591" s="20" t="s">
        <v>81</v>
      </c>
      <c r="AB591" s="20" t="s">
        <v>82</v>
      </c>
      <c r="AC591" s="28">
        <v>559.48</v>
      </c>
      <c r="AD591" s="28">
        <f>SUM(BASE[[#This Row],[MONTO DE RENTA ]]*1.16)</f>
        <v>648.99680000000001</v>
      </c>
      <c r="AE591" s="28" t="s">
        <v>83</v>
      </c>
      <c r="AF591" s="28">
        <v>559.48275862068965</v>
      </c>
      <c r="AG591" s="28">
        <v>649</v>
      </c>
      <c r="AH591" s="22" t="s">
        <v>64</v>
      </c>
      <c r="AI591" s="63">
        <v>45703</v>
      </c>
      <c r="AJ591" s="63">
        <v>46433</v>
      </c>
      <c r="AK5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1" s="30"/>
      <c r="AN591" s="20" t="s">
        <v>65</v>
      </c>
      <c r="AP591" s="20" t="s">
        <v>84</v>
      </c>
    </row>
    <row r="592" spans="1:43" ht="16">
      <c r="A592" s="20">
        <v>8123539235</v>
      </c>
      <c r="B592" s="21">
        <v>40470</v>
      </c>
      <c r="C592" s="20" t="s">
        <v>2895</v>
      </c>
      <c r="D592" s="20" t="s">
        <v>711</v>
      </c>
      <c r="E592" s="20" t="s">
        <v>952</v>
      </c>
      <c r="F592" s="20" t="s">
        <v>122</v>
      </c>
      <c r="G592" s="20" t="s">
        <v>104</v>
      </c>
      <c r="H592" s="20" t="s">
        <v>48</v>
      </c>
      <c r="I592" s="20" t="s">
        <v>122</v>
      </c>
      <c r="J592" s="32" t="s">
        <v>2896</v>
      </c>
      <c r="K592" s="32" t="s">
        <v>2896</v>
      </c>
      <c r="L592" s="23" t="s">
        <v>2823</v>
      </c>
      <c r="M592" s="24" t="s">
        <v>7737</v>
      </c>
      <c r="N592" s="23">
        <v>18704000</v>
      </c>
      <c r="O592" s="25" t="s">
        <v>74</v>
      </c>
      <c r="P592" s="25" t="s">
        <v>53</v>
      </c>
      <c r="Q592" s="20" t="s">
        <v>2897</v>
      </c>
      <c r="R592" s="20">
        <v>43292375</v>
      </c>
      <c r="S592" s="25" t="s">
        <v>2898</v>
      </c>
      <c r="T592" s="26" t="s">
        <v>57</v>
      </c>
      <c r="U592" s="23">
        <v>860478063821299</v>
      </c>
      <c r="V592" s="27" t="s">
        <v>57</v>
      </c>
      <c r="W592" s="20" t="s">
        <v>302</v>
      </c>
      <c r="X592" s="20" t="s">
        <v>303</v>
      </c>
      <c r="Y592" s="20" t="s">
        <v>303</v>
      </c>
      <c r="Z592" s="20" t="s">
        <v>167</v>
      </c>
      <c r="AA592" s="20" t="s">
        <v>168</v>
      </c>
      <c r="AB592" s="20" t="s">
        <v>96</v>
      </c>
      <c r="AC592" s="28">
        <v>369.83</v>
      </c>
      <c r="AD592" s="28">
        <f>SUM(BASE[[#This Row],[MONTO DE RENTA ]]*1.16)</f>
        <v>429.00279999999998</v>
      </c>
      <c r="AE592" s="28" t="s">
        <v>63</v>
      </c>
      <c r="AF592" s="28">
        <v>369.82758620689657</v>
      </c>
      <c r="AG592" s="28">
        <v>429</v>
      </c>
      <c r="AH592" s="22" t="s">
        <v>64</v>
      </c>
      <c r="AI592" s="63">
        <v>45713</v>
      </c>
      <c r="AJ592" s="63">
        <v>46433</v>
      </c>
      <c r="AK5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2" s="30"/>
      <c r="AN592" s="20" t="s">
        <v>65</v>
      </c>
      <c r="AP592" s="20" t="s">
        <v>84</v>
      </c>
    </row>
    <row r="593" spans="1:43" ht="16">
      <c r="A593" s="20">
        <v>8115715509</v>
      </c>
      <c r="B593" s="21">
        <v>1033024</v>
      </c>
      <c r="C593" s="20" t="s">
        <v>2821</v>
      </c>
      <c r="D593" s="20" t="s">
        <v>1922</v>
      </c>
      <c r="E593" s="20" t="s">
        <v>657</v>
      </c>
      <c r="F593" s="20" t="s">
        <v>104</v>
      </c>
      <c r="G593" s="20" t="s">
        <v>104</v>
      </c>
      <c r="H593" s="20" t="s">
        <v>48</v>
      </c>
      <c r="I593" s="20" t="s">
        <v>104</v>
      </c>
      <c r="J593" s="22" t="s">
        <v>2899</v>
      </c>
      <c r="K593" s="22" t="s">
        <v>2899</v>
      </c>
      <c r="L593" s="23" t="s">
        <v>2823</v>
      </c>
      <c r="M593" s="24" t="s">
        <v>7737</v>
      </c>
      <c r="N593" s="23">
        <v>18704000</v>
      </c>
      <c r="O593" s="25" t="s">
        <v>74</v>
      </c>
      <c r="P593" s="25" t="s">
        <v>53</v>
      </c>
      <c r="Q593" s="20" t="s">
        <v>2900</v>
      </c>
      <c r="R593" s="20">
        <v>43090241</v>
      </c>
      <c r="S593" s="25" t="s">
        <v>2901</v>
      </c>
      <c r="T593" s="26" t="s">
        <v>57</v>
      </c>
      <c r="U593" s="23">
        <v>860478062354128</v>
      </c>
      <c r="V593" s="45" t="s">
        <v>110</v>
      </c>
      <c r="W593" s="20" t="s">
        <v>302</v>
      </c>
      <c r="X593" s="20" t="s">
        <v>303</v>
      </c>
      <c r="Y593" s="20" t="s">
        <v>303</v>
      </c>
      <c r="Z593" s="20" t="s">
        <v>80</v>
      </c>
      <c r="AA593" s="20" t="s">
        <v>81</v>
      </c>
      <c r="AB593" s="20" t="s">
        <v>82</v>
      </c>
      <c r="AC593" s="28">
        <v>559.48</v>
      </c>
      <c r="AD593" s="28">
        <f>SUM(BASE[[#This Row],[MONTO DE RENTA ]]*1.16)</f>
        <v>648.99680000000001</v>
      </c>
      <c r="AE593" s="28" t="s">
        <v>83</v>
      </c>
      <c r="AF593" s="28">
        <v>559.48275862068965</v>
      </c>
      <c r="AG593" s="28">
        <v>649</v>
      </c>
      <c r="AH593" s="22" t="s">
        <v>64</v>
      </c>
      <c r="AI593" s="63">
        <v>45703</v>
      </c>
      <c r="AJ593" s="63">
        <v>46433</v>
      </c>
      <c r="AK5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3" s="30"/>
      <c r="AN593" s="20" t="s">
        <v>65</v>
      </c>
      <c r="AP593" s="20" t="s">
        <v>84</v>
      </c>
    </row>
    <row r="594" spans="1:43" ht="16">
      <c r="A594" s="20">
        <v>8111997867</v>
      </c>
      <c r="B594" s="59">
        <v>998498</v>
      </c>
      <c r="C594" s="20" t="s">
        <v>2902</v>
      </c>
      <c r="D594" s="20" t="s">
        <v>1694</v>
      </c>
      <c r="E594" s="20" t="s">
        <v>411</v>
      </c>
      <c r="F594" s="20" t="s">
        <v>122</v>
      </c>
      <c r="G594" s="20" t="s">
        <v>104</v>
      </c>
      <c r="H594" s="20" t="s">
        <v>48</v>
      </c>
      <c r="I594" s="20" t="s">
        <v>122</v>
      </c>
      <c r="J594" s="32" t="s">
        <v>2896</v>
      </c>
      <c r="K594" s="32" t="s">
        <v>2903</v>
      </c>
      <c r="L594" s="23" t="s">
        <v>2823</v>
      </c>
      <c r="M594" s="24" t="s">
        <v>7737</v>
      </c>
      <c r="N594" s="23">
        <v>18704000</v>
      </c>
      <c r="O594" s="25" t="s">
        <v>74</v>
      </c>
      <c r="P594" s="25" t="s">
        <v>53</v>
      </c>
      <c r="Q594" s="20" t="s">
        <v>2904</v>
      </c>
      <c r="R594" s="20">
        <v>43090325</v>
      </c>
      <c r="S594" s="25" t="s">
        <v>2905</v>
      </c>
      <c r="T594" s="26" t="s">
        <v>57</v>
      </c>
      <c r="U594" s="23">
        <v>860900062257662</v>
      </c>
      <c r="V594" s="27" t="s">
        <v>57</v>
      </c>
      <c r="W594" s="20" t="s">
        <v>58</v>
      </c>
      <c r="X594" s="20" t="s">
        <v>59</v>
      </c>
      <c r="Y594" s="20" t="s">
        <v>59</v>
      </c>
      <c r="Z594" s="20" t="s">
        <v>167</v>
      </c>
      <c r="AA594" s="20" t="s">
        <v>168</v>
      </c>
      <c r="AB594" s="20" t="s">
        <v>96</v>
      </c>
      <c r="AC594" s="28">
        <v>369.83</v>
      </c>
      <c r="AD594" s="28">
        <f>SUM(BASE[[#This Row],[MONTO DE RENTA ]]*1.16)</f>
        <v>429.00279999999998</v>
      </c>
      <c r="AE594" s="28" t="s">
        <v>63</v>
      </c>
      <c r="AF594" s="28">
        <v>369.82758620689657</v>
      </c>
      <c r="AG594" s="28">
        <v>429</v>
      </c>
      <c r="AH594" s="22" t="s">
        <v>64</v>
      </c>
      <c r="AI594" s="63">
        <v>45703</v>
      </c>
      <c r="AJ594" s="63">
        <v>46433</v>
      </c>
      <c r="AK5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4" s="30"/>
      <c r="AN594" s="20" t="s">
        <v>65</v>
      </c>
      <c r="AP594" s="20" t="s">
        <v>84</v>
      </c>
    </row>
    <row r="595" spans="1:43" ht="16">
      <c r="A595" s="20">
        <v>6862559006</v>
      </c>
      <c r="B595" s="21">
        <v>50859</v>
      </c>
      <c r="C595" s="20" t="s">
        <v>2906</v>
      </c>
      <c r="D595" s="20" t="s">
        <v>45</v>
      </c>
      <c r="E595" s="20" t="s">
        <v>674</v>
      </c>
      <c r="F595" s="20" t="s">
        <v>104</v>
      </c>
      <c r="G595" s="20" t="s">
        <v>104</v>
      </c>
      <c r="H595" s="20" t="s">
        <v>48</v>
      </c>
      <c r="I595" s="20" t="s">
        <v>104</v>
      </c>
      <c r="J595" s="32" t="s">
        <v>2907</v>
      </c>
      <c r="K595" s="32" t="s">
        <v>2907</v>
      </c>
      <c r="L595" s="23" t="s">
        <v>2908</v>
      </c>
      <c r="M595" s="24" t="s">
        <v>7745</v>
      </c>
      <c r="N595" s="23">
        <v>18705000</v>
      </c>
      <c r="O595" s="25" t="s">
        <v>126</v>
      </c>
      <c r="P595" s="25" t="s">
        <v>53</v>
      </c>
      <c r="Q595" s="20" t="s">
        <v>2909</v>
      </c>
      <c r="R595" s="20">
        <v>11591799</v>
      </c>
      <c r="S595" s="25" t="s">
        <v>2910</v>
      </c>
      <c r="T595" s="26" t="s">
        <v>57</v>
      </c>
      <c r="U595" s="23">
        <v>860478064952606</v>
      </c>
      <c r="V595" s="45" t="s">
        <v>110</v>
      </c>
      <c r="W595" s="20" t="s">
        <v>302</v>
      </c>
      <c r="X595" s="20" t="s">
        <v>303</v>
      </c>
      <c r="Y595" s="20" t="s">
        <v>303</v>
      </c>
      <c r="Z595" s="20" t="s">
        <v>80</v>
      </c>
      <c r="AA595" s="20" t="s">
        <v>81</v>
      </c>
      <c r="AB595" s="20" t="s">
        <v>82</v>
      </c>
      <c r="AC595" s="28">
        <v>559.48</v>
      </c>
      <c r="AD595" s="28">
        <f>SUM(BASE[[#This Row],[MONTO DE RENTA ]]*1.16)</f>
        <v>648.99680000000001</v>
      </c>
      <c r="AE595" s="28" t="s">
        <v>83</v>
      </c>
      <c r="AF595" s="28">
        <v>559.48275862068965</v>
      </c>
      <c r="AG595" s="28">
        <v>649</v>
      </c>
      <c r="AH595" s="22" t="s">
        <v>64</v>
      </c>
      <c r="AI595" s="63">
        <v>45703</v>
      </c>
      <c r="AJ595" s="63">
        <v>46433</v>
      </c>
      <c r="AK5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5" s="30"/>
      <c r="AN595" s="20" t="s">
        <v>65</v>
      </c>
      <c r="AP595" s="20" t="s">
        <v>84</v>
      </c>
    </row>
    <row r="596" spans="1:43" ht="16">
      <c r="A596" s="20">
        <v>8113115702</v>
      </c>
      <c r="B596" s="49">
        <v>1056771</v>
      </c>
      <c r="C596" s="20" t="s">
        <v>2911</v>
      </c>
      <c r="D596" s="20" t="s">
        <v>598</v>
      </c>
      <c r="E596" s="20" t="s">
        <v>280</v>
      </c>
      <c r="F596" s="20" t="s">
        <v>70</v>
      </c>
      <c r="G596" s="20" t="s">
        <v>70</v>
      </c>
      <c r="H596" s="20" t="s">
        <v>48</v>
      </c>
      <c r="I596" s="20" t="s">
        <v>70</v>
      </c>
      <c r="J596" s="22" t="s">
        <v>2912</v>
      </c>
      <c r="K596" s="22" t="s">
        <v>2912</v>
      </c>
      <c r="L596" s="23" t="s">
        <v>2823</v>
      </c>
      <c r="M596" s="24" t="s">
        <v>7737</v>
      </c>
      <c r="N596" s="23">
        <v>18704000</v>
      </c>
      <c r="O596" s="25" t="s">
        <v>74</v>
      </c>
      <c r="P596" s="25" t="s">
        <v>53</v>
      </c>
      <c r="Q596" s="20" t="s">
        <v>2913</v>
      </c>
      <c r="R596" s="20">
        <v>42943897</v>
      </c>
      <c r="S596" s="25" t="s">
        <v>55</v>
      </c>
      <c r="T596" s="26" t="s">
        <v>56</v>
      </c>
      <c r="U596" s="23">
        <v>357654178971555</v>
      </c>
      <c r="V596" s="27" t="s">
        <v>78</v>
      </c>
      <c r="W596" s="20" t="s">
        <v>95</v>
      </c>
      <c r="X596" s="20" t="s">
        <v>95</v>
      </c>
      <c r="Y596" s="20" t="s">
        <v>95</v>
      </c>
      <c r="Z596" s="20" t="s">
        <v>60</v>
      </c>
      <c r="AA596" s="20" t="s">
        <v>61</v>
      </c>
      <c r="AB596" s="20" t="s">
        <v>82</v>
      </c>
      <c r="AC596" s="28">
        <v>559.48</v>
      </c>
      <c r="AD596" s="28">
        <f>SUM(BASE[[#This Row],[MONTO DE RENTA ]]*1.16)</f>
        <v>648.99680000000001</v>
      </c>
      <c r="AE596" s="28" t="s">
        <v>83</v>
      </c>
      <c r="AF596" s="28">
        <v>559.48275862068965</v>
      </c>
      <c r="AG596" s="28">
        <v>649</v>
      </c>
      <c r="AI596" s="63">
        <v>44937</v>
      </c>
      <c r="AJ596" s="73">
        <v>46043</v>
      </c>
      <c r="AK59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596" s="30"/>
      <c r="AN596" s="20" t="s">
        <v>99</v>
      </c>
      <c r="AP596" s="20" t="s">
        <v>84</v>
      </c>
      <c r="AQ596" s="20" t="s">
        <v>100</v>
      </c>
    </row>
    <row r="597" spans="1:43" ht="16">
      <c r="A597" s="20">
        <v>6865977885</v>
      </c>
      <c r="B597" s="21">
        <v>50693</v>
      </c>
      <c r="C597" s="20" t="s">
        <v>2914</v>
      </c>
      <c r="D597" s="20" t="s">
        <v>2915</v>
      </c>
      <c r="E597" s="20" t="s">
        <v>1205</v>
      </c>
      <c r="F597" s="20" t="s">
        <v>483</v>
      </c>
      <c r="G597" s="20" t="s">
        <v>47</v>
      </c>
      <c r="H597" s="20" t="s">
        <v>48</v>
      </c>
      <c r="I597" s="20" t="s">
        <v>483</v>
      </c>
      <c r="J597" s="22" t="s">
        <v>2916</v>
      </c>
      <c r="K597" s="22" t="s">
        <v>2916</v>
      </c>
      <c r="L597" s="23" t="s">
        <v>2908</v>
      </c>
      <c r="M597" s="24" t="s">
        <v>7745</v>
      </c>
      <c r="N597" s="23">
        <v>18705000</v>
      </c>
      <c r="O597" s="25" t="s">
        <v>126</v>
      </c>
      <c r="P597" s="25" t="s">
        <v>53</v>
      </c>
      <c r="Q597" s="20" t="s">
        <v>2917</v>
      </c>
      <c r="R597" s="20">
        <v>11595654</v>
      </c>
      <c r="S597" s="25" t="s">
        <v>2918</v>
      </c>
      <c r="T597" s="26" t="s">
        <v>57</v>
      </c>
      <c r="U597" s="23">
        <v>860900062336227</v>
      </c>
      <c r="V597" s="27" t="s">
        <v>57</v>
      </c>
      <c r="W597" s="20" t="s">
        <v>58</v>
      </c>
      <c r="X597" s="20" t="s">
        <v>59</v>
      </c>
      <c r="Y597" s="20" t="s">
        <v>59</v>
      </c>
      <c r="Z597" s="20" t="s">
        <v>60</v>
      </c>
      <c r="AA597" s="20" t="s">
        <v>61</v>
      </c>
      <c r="AB597" s="20" t="s">
        <v>96</v>
      </c>
      <c r="AC597" s="28">
        <v>369.83</v>
      </c>
      <c r="AD597" s="28">
        <f>SUM(BASE[[#This Row],[MONTO DE RENTA ]]*1.16)</f>
        <v>429.00279999999998</v>
      </c>
      <c r="AE597" s="28" t="s">
        <v>63</v>
      </c>
      <c r="AF597" s="28">
        <v>369.82758620689657</v>
      </c>
      <c r="AG597" s="28">
        <v>429</v>
      </c>
      <c r="AH597" s="22" t="s">
        <v>64</v>
      </c>
      <c r="AI597" s="63">
        <v>45703</v>
      </c>
      <c r="AJ597" s="63">
        <v>46433</v>
      </c>
      <c r="AK5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7" s="30"/>
      <c r="AN597" s="20" t="s">
        <v>65</v>
      </c>
      <c r="AP597" s="20" t="s">
        <v>84</v>
      </c>
    </row>
    <row r="598" spans="1:43" ht="16">
      <c r="A598" s="20">
        <v>6861664348</v>
      </c>
      <c r="B598" s="21">
        <v>80705</v>
      </c>
      <c r="C598" s="20" t="s">
        <v>2919</v>
      </c>
      <c r="D598" s="20" t="s">
        <v>86</v>
      </c>
      <c r="E598" s="20" t="s">
        <v>777</v>
      </c>
      <c r="F598" s="20" t="s">
        <v>451</v>
      </c>
      <c r="G598" s="20" t="s">
        <v>248</v>
      </c>
      <c r="H598" s="20" t="s">
        <v>48</v>
      </c>
      <c r="I598" s="20" t="s">
        <v>451</v>
      </c>
      <c r="J598" s="22" t="s">
        <v>2920</v>
      </c>
      <c r="K598" s="22" t="s">
        <v>2920</v>
      </c>
      <c r="L598" s="23" t="s">
        <v>2908</v>
      </c>
      <c r="M598" s="24" t="s">
        <v>7745</v>
      </c>
      <c r="N598" s="23">
        <v>18705000</v>
      </c>
      <c r="O598" s="25" t="s">
        <v>126</v>
      </c>
      <c r="P598" s="25" t="s">
        <v>53</v>
      </c>
      <c r="Q598" s="20" t="s">
        <v>2921</v>
      </c>
      <c r="R598" s="20">
        <v>11587076</v>
      </c>
      <c r="S598" s="25" t="s">
        <v>2922</v>
      </c>
      <c r="T598" s="26" t="s">
        <v>57</v>
      </c>
      <c r="U598" s="23">
        <v>860900062331103</v>
      </c>
      <c r="V598" s="27" t="s">
        <v>57</v>
      </c>
      <c r="W598" s="20" t="s">
        <v>58</v>
      </c>
      <c r="X598" s="20" t="s">
        <v>59</v>
      </c>
      <c r="Y598" s="20" t="s">
        <v>59</v>
      </c>
      <c r="Z598" s="20" t="s">
        <v>60</v>
      </c>
      <c r="AA598" s="20" t="s">
        <v>61</v>
      </c>
      <c r="AB598" s="20" t="s">
        <v>96</v>
      </c>
      <c r="AC598" s="28">
        <v>369.83</v>
      </c>
      <c r="AD598" s="28">
        <f>SUM(BASE[[#This Row],[MONTO DE RENTA ]]*1.16)</f>
        <v>429.00279999999998</v>
      </c>
      <c r="AE598" s="28" t="s">
        <v>63</v>
      </c>
      <c r="AF598" s="28">
        <v>369.82758620689657</v>
      </c>
      <c r="AG598" s="28">
        <v>429</v>
      </c>
      <c r="AH598" s="22" t="s">
        <v>64</v>
      </c>
      <c r="AI598" s="29">
        <v>45703</v>
      </c>
      <c r="AJ598" s="29">
        <v>46433</v>
      </c>
      <c r="AK5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8" s="30"/>
      <c r="AN598" s="20" t="s">
        <v>65</v>
      </c>
      <c r="AP598" s="20" t="s">
        <v>84</v>
      </c>
    </row>
    <row r="599" spans="1:43" ht="16">
      <c r="A599" s="20">
        <v>6862551593</v>
      </c>
      <c r="B599" s="21">
        <v>50060</v>
      </c>
      <c r="C599" s="20" t="s">
        <v>2923</v>
      </c>
      <c r="D599" s="20" t="s">
        <v>594</v>
      </c>
      <c r="E599" s="20" t="s">
        <v>1598</v>
      </c>
      <c r="F599" s="20" t="s">
        <v>257</v>
      </c>
      <c r="G599" s="20" t="s">
        <v>257</v>
      </c>
      <c r="H599" s="20" t="s">
        <v>48</v>
      </c>
      <c r="I599" s="20" t="s">
        <v>257</v>
      </c>
      <c r="J599" s="22" t="s">
        <v>2924</v>
      </c>
      <c r="K599" s="22" t="s">
        <v>2924</v>
      </c>
      <c r="L599" s="23" t="s">
        <v>2908</v>
      </c>
      <c r="M599" s="24" t="s">
        <v>7745</v>
      </c>
      <c r="N599" s="23">
        <v>18705000</v>
      </c>
      <c r="O599" s="25" t="s">
        <v>126</v>
      </c>
      <c r="P599" s="25" t="s">
        <v>53</v>
      </c>
      <c r="Q599" s="20" t="s">
        <v>2925</v>
      </c>
      <c r="R599" s="20">
        <v>11591823</v>
      </c>
      <c r="S599" s="25" t="s">
        <v>2926</v>
      </c>
      <c r="T599" s="26" t="s">
        <v>57</v>
      </c>
      <c r="U599" s="23">
        <v>860478064863324</v>
      </c>
      <c r="V599" s="45" t="s">
        <v>110</v>
      </c>
      <c r="W599" s="20" t="s">
        <v>302</v>
      </c>
      <c r="X599" s="20" t="s">
        <v>303</v>
      </c>
      <c r="Y599" s="20" t="s">
        <v>303</v>
      </c>
      <c r="Z599" s="20" t="s">
        <v>80</v>
      </c>
      <c r="AA599" s="20" t="s">
        <v>81</v>
      </c>
      <c r="AB599" s="20" t="s">
        <v>82</v>
      </c>
      <c r="AC599" s="28">
        <v>559.48</v>
      </c>
      <c r="AD599" s="28">
        <f>SUM(BASE[[#This Row],[MONTO DE RENTA ]]*1.16)</f>
        <v>648.99680000000001</v>
      </c>
      <c r="AE599" s="28" t="s">
        <v>83</v>
      </c>
      <c r="AF599" s="28">
        <v>559.48275862068965</v>
      </c>
      <c r="AG599" s="28">
        <v>649</v>
      </c>
      <c r="AH599" s="22" t="s">
        <v>64</v>
      </c>
      <c r="AI599" s="29">
        <v>45703</v>
      </c>
      <c r="AJ599" s="29">
        <v>46433</v>
      </c>
      <c r="AK5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599" s="30"/>
      <c r="AN599" s="20" t="s">
        <v>65</v>
      </c>
      <c r="AP599" s="20" t="s">
        <v>84</v>
      </c>
    </row>
    <row r="600" spans="1:43" ht="16">
      <c r="A600" s="20">
        <v>6862551744</v>
      </c>
      <c r="B600" s="21">
        <v>50859</v>
      </c>
      <c r="C600" s="20" t="s">
        <v>2906</v>
      </c>
      <c r="D600" s="20" t="s">
        <v>45</v>
      </c>
      <c r="E600" s="20" t="s">
        <v>674</v>
      </c>
      <c r="F600" s="20" t="s">
        <v>104</v>
      </c>
      <c r="G600" s="20" t="s">
        <v>104</v>
      </c>
      <c r="H600" s="20" t="s">
        <v>48</v>
      </c>
      <c r="I600" s="20" t="s">
        <v>104</v>
      </c>
      <c r="J600" s="22" t="s">
        <v>2927</v>
      </c>
      <c r="K600" s="22" t="s">
        <v>2927</v>
      </c>
      <c r="L600" s="23" t="s">
        <v>2908</v>
      </c>
      <c r="M600" s="24" t="s">
        <v>7745</v>
      </c>
      <c r="N600" s="23">
        <v>18705000</v>
      </c>
      <c r="O600" s="25" t="s">
        <v>126</v>
      </c>
      <c r="P600" s="25" t="s">
        <v>53</v>
      </c>
      <c r="Q600" s="20" t="s">
        <v>2928</v>
      </c>
      <c r="R600" s="20">
        <v>11591797</v>
      </c>
      <c r="S600" s="25" t="s">
        <v>2929</v>
      </c>
      <c r="T600" s="26" t="s">
        <v>57</v>
      </c>
      <c r="U600" s="23">
        <v>860478064952747</v>
      </c>
      <c r="V600" s="45" t="s">
        <v>110</v>
      </c>
      <c r="W600" s="20" t="s">
        <v>302</v>
      </c>
      <c r="X600" s="20" t="s">
        <v>303</v>
      </c>
      <c r="Y600" s="20" t="s">
        <v>303</v>
      </c>
      <c r="Z600" s="20" t="s">
        <v>80</v>
      </c>
      <c r="AA600" s="20" t="s">
        <v>81</v>
      </c>
      <c r="AB600" s="20" t="s">
        <v>82</v>
      </c>
      <c r="AC600" s="28">
        <v>559.48</v>
      </c>
      <c r="AD600" s="28">
        <f>SUM(BASE[[#This Row],[MONTO DE RENTA ]]*1.16)</f>
        <v>648.99680000000001</v>
      </c>
      <c r="AE600" s="28" t="s">
        <v>83</v>
      </c>
      <c r="AF600" s="28">
        <v>559.48275862068965</v>
      </c>
      <c r="AG600" s="28">
        <v>649</v>
      </c>
      <c r="AH600" s="22" t="s">
        <v>64</v>
      </c>
      <c r="AI600" s="63">
        <v>45703</v>
      </c>
      <c r="AJ600" s="63">
        <v>46433</v>
      </c>
      <c r="AK6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00" s="30"/>
      <c r="AN600" s="20" t="s">
        <v>65</v>
      </c>
      <c r="AP600" s="20" t="s">
        <v>84</v>
      </c>
    </row>
    <row r="601" spans="1:43" ht="16">
      <c r="A601" s="20">
        <v>6862551185</v>
      </c>
      <c r="B601" s="49">
        <v>50464</v>
      </c>
      <c r="C601" s="20" t="s">
        <v>1793</v>
      </c>
      <c r="D601" s="20" t="s">
        <v>566</v>
      </c>
      <c r="E601" s="20" t="s">
        <v>1588</v>
      </c>
      <c r="F601" s="20" t="s">
        <v>104</v>
      </c>
      <c r="G601" s="20" t="s">
        <v>104</v>
      </c>
      <c r="H601" s="20" t="s">
        <v>48</v>
      </c>
      <c r="I601" s="20" t="s">
        <v>104</v>
      </c>
      <c r="J601" s="22" t="s">
        <v>2930</v>
      </c>
      <c r="K601" s="22" t="s">
        <v>2930</v>
      </c>
      <c r="L601" s="23" t="s">
        <v>2908</v>
      </c>
      <c r="M601" s="24" t="s">
        <v>7745</v>
      </c>
      <c r="N601" s="23">
        <v>18705000</v>
      </c>
      <c r="O601" s="25" t="s">
        <v>126</v>
      </c>
      <c r="P601" s="25" t="s">
        <v>53</v>
      </c>
      <c r="Q601" s="20" t="s">
        <v>2931</v>
      </c>
      <c r="R601" s="20">
        <v>11591821</v>
      </c>
      <c r="S601" s="25" t="s">
        <v>55</v>
      </c>
      <c r="T601" s="26" t="s">
        <v>56</v>
      </c>
      <c r="U601" s="23">
        <v>867353050205736</v>
      </c>
      <c r="V601" s="45" t="s">
        <v>110</v>
      </c>
      <c r="W601" s="20" t="s">
        <v>149</v>
      </c>
      <c r="X601" s="20" t="s">
        <v>150</v>
      </c>
      <c r="Y601" s="20" t="s">
        <v>150</v>
      </c>
      <c r="Z601" s="20" t="s">
        <v>60</v>
      </c>
      <c r="AA601" s="20" t="s">
        <v>61</v>
      </c>
      <c r="AB601" s="20" t="s">
        <v>96</v>
      </c>
      <c r="AC601" s="28">
        <v>369.83</v>
      </c>
      <c r="AD601" s="28">
        <f>SUM(BASE[[#This Row],[MONTO DE RENTA ]]*1.16)</f>
        <v>429.00279999999998</v>
      </c>
      <c r="AE601" s="28" t="s">
        <v>97</v>
      </c>
      <c r="AF601" s="28">
        <v>473.27586206896552</v>
      </c>
      <c r="AG601" s="28">
        <v>549</v>
      </c>
      <c r="AI601" s="63">
        <v>44937</v>
      </c>
      <c r="AJ601" s="73">
        <v>46043</v>
      </c>
      <c r="AK60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01" s="30"/>
      <c r="AN601" s="20" t="s">
        <v>99</v>
      </c>
      <c r="AP601" s="20" t="s">
        <v>66</v>
      </c>
      <c r="AQ601" s="20" t="s">
        <v>100</v>
      </c>
    </row>
    <row r="602" spans="1:43" ht="16">
      <c r="A602" s="20">
        <v>6671295521</v>
      </c>
      <c r="B602" s="21">
        <v>645001</v>
      </c>
      <c r="C602" s="20" t="s">
        <v>1793</v>
      </c>
      <c r="D602" s="20" t="s">
        <v>2932</v>
      </c>
      <c r="E602" s="20" t="s">
        <v>143</v>
      </c>
      <c r="F602" s="20" t="s">
        <v>88</v>
      </c>
      <c r="G602" s="20" t="s">
        <v>257</v>
      </c>
      <c r="H602" s="20" t="s">
        <v>89</v>
      </c>
      <c r="I602" s="20" t="s">
        <v>88</v>
      </c>
      <c r="J602" s="22" t="s">
        <v>2933</v>
      </c>
      <c r="K602" s="22" t="s">
        <v>2933</v>
      </c>
      <c r="L602" s="23" t="s">
        <v>2934</v>
      </c>
      <c r="M602" s="24" t="s">
        <v>7740</v>
      </c>
      <c r="N602" s="23">
        <v>18848041</v>
      </c>
      <c r="O602" s="25" t="s">
        <v>866</v>
      </c>
      <c r="P602" s="25" t="s">
        <v>53</v>
      </c>
      <c r="Q602" s="20" t="s">
        <v>2935</v>
      </c>
      <c r="R602" s="20">
        <v>21986497</v>
      </c>
      <c r="S602" s="25" t="s">
        <v>2936</v>
      </c>
      <c r="T602" s="26" t="s">
        <v>57</v>
      </c>
      <c r="U602" s="23">
        <v>860478064969428</v>
      </c>
      <c r="V602" s="45" t="s">
        <v>110</v>
      </c>
      <c r="W602" s="20" t="s">
        <v>302</v>
      </c>
      <c r="X602" s="20" t="s">
        <v>303</v>
      </c>
      <c r="Y602" s="20" t="s">
        <v>303</v>
      </c>
      <c r="Z602" s="20" t="s">
        <v>131</v>
      </c>
      <c r="AA602" s="20" t="s">
        <v>132</v>
      </c>
      <c r="AB602" s="20" t="s">
        <v>82</v>
      </c>
      <c r="AC602" s="28">
        <v>559.48</v>
      </c>
      <c r="AD602" s="28">
        <f>SUM(BASE[[#This Row],[MONTO DE RENTA ]]*1.16)</f>
        <v>648.99680000000001</v>
      </c>
      <c r="AE602" s="28" t="s">
        <v>83</v>
      </c>
      <c r="AF602" s="28">
        <v>559.48275862068965</v>
      </c>
      <c r="AG602" s="28">
        <v>649</v>
      </c>
      <c r="AH602" s="22" t="s">
        <v>64</v>
      </c>
      <c r="AI602" s="63">
        <v>45703</v>
      </c>
      <c r="AJ602" s="63">
        <v>46433</v>
      </c>
      <c r="AK6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02" s="30"/>
      <c r="AN602" s="20" t="s">
        <v>65</v>
      </c>
      <c r="AP602" s="20" t="s">
        <v>84</v>
      </c>
    </row>
    <row r="603" spans="1:43" ht="16">
      <c r="A603" s="20">
        <v>6862627623</v>
      </c>
      <c r="B603" s="49">
        <v>50814</v>
      </c>
      <c r="C603" s="20" t="s">
        <v>2937</v>
      </c>
      <c r="D603" s="20" t="s">
        <v>406</v>
      </c>
      <c r="E603" s="20" t="s">
        <v>742</v>
      </c>
      <c r="F603" s="20" t="s">
        <v>122</v>
      </c>
      <c r="G603" s="20" t="s">
        <v>122</v>
      </c>
      <c r="H603" s="20" t="s">
        <v>48</v>
      </c>
      <c r="I603" s="20" t="s">
        <v>122</v>
      </c>
      <c r="J603" s="22" t="s">
        <v>2938</v>
      </c>
      <c r="K603" s="22" t="s">
        <v>2938</v>
      </c>
      <c r="L603" s="23" t="s">
        <v>2908</v>
      </c>
      <c r="M603" s="24" t="s">
        <v>7745</v>
      </c>
      <c r="N603" s="23">
        <v>18705000</v>
      </c>
      <c r="O603" s="25" t="s">
        <v>126</v>
      </c>
      <c r="P603" s="25" t="s">
        <v>53</v>
      </c>
      <c r="Q603" s="20" t="s">
        <v>2939</v>
      </c>
      <c r="R603" s="20">
        <v>11804558</v>
      </c>
      <c r="S603" s="25" t="s">
        <v>55</v>
      </c>
      <c r="T603" s="26" t="s">
        <v>56</v>
      </c>
      <c r="U603" s="23">
        <v>865356065672388</v>
      </c>
      <c r="V603" s="27" t="s">
        <v>183</v>
      </c>
      <c r="W603" s="20" t="s">
        <v>129</v>
      </c>
      <c r="X603" s="20" t="s">
        <v>130</v>
      </c>
      <c r="Y603" s="20" t="s">
        <v>130</v>
      </c>
      <c r="Z603" s="20" t="s">
        <v>60</v>
      </c>
      <c r="AA603" s="20" t="s">
        <v>61</v>
      </c>
      <c r="AB603" s="20" t="s">
        <v>96</v>
      </c>
      <c r="AC603" s="28">
        <v>369.83</v>
      </c>
      <c r="AD603" s="28">
        <f>SUM(BASE[[#This Row],[MONTO DE RENTA ]]*1.16)</f>
        <v>429.00279999999998</v>
      </c>
      <c r="AE603" s="28" t="s">
        <v>63</v>
      </c>
      <c r="AF603" s="28">
        <v>369.82758620689657</v>
      </c>
      <c r="AG603" s="28">
        <v>429</v>
      </c>
      <c r="AI603" s="63">
        <v>44937</v>
      </c>
      <c r="AJ603" s="73">
        <v>46043</v>
      </c>
      <c r="AK6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03" s="30"/>
      <c r="AN603" s="20" t="s">
        <v>99</v>
      </c>
      <c r="AP603" s="20" t="s">
        <v>84</v>
      </c>
      <c r="AQ603" s="20" t="s">
        <v>100</v>
      </c>
    </row>
    <row r="604" spans="1:43" ht="16">
      <c r="A604" s="20">
        <v>6861362458</v>
      </c>
      <c r="B604" s="49">
        <v>750146</v>
      </c>
      <c r="C604" s="20" t="s">
        <v>2940</v>
      </c>
      <c r="D604" s="20" t="s">
        <v>2941</v>
      </c>
      <c r="E604" s="20" t="s">
        <v>2942</v>
      </c>
      <c r="F604" s="20" t="s">
        <v>70</v>
      </c>
      <c r="G604" s="20" t="s">
        <v>70</v>
      </c>
      <c r="H604" s="20" t="s">
        <v>48</v>
      </c>
      <c r="I604" s="20" t="s">
        <v>70</v>
      </c>
      <c r="J604" s="22" t="s">
        <v>2943</v>
      </c>
      <c r="K604" s="22" t="s">
        <v>2943</v>
      </c>
      <c r="L604" s="23" t="s">
        <v>2908</v>
      </c>
      <c r="M604" s="24" t="s">
        <v>7745</v>
      </c>
      <c r="N604" s="23">
        <v>18705000</v>
      </c>
      <c r="O604" s="25" t="s">
        <v>126</v>
      </c>
      <c r="P604" s="25" t="s">
        <v>53</v>
      </c>
      <c r="Q604" s="20" t="s">
        <v>2944</v>
      </c>
      <c r="R604" s="20">
        <v>11511505</v>
      </c>
      <c r="S604" s="25" t="s">
        <v>55</v>
      </c>
      <c r="T604" s="26" t="s">
        <v>56</v>
      </c>
      <c r="U604" s="23">
        <v>357894928344014</v>
      </c>
      <c r="V604" s="27" t="s">
        <v>78</v>
      </c>
      <c r="W604" s="20" t="s">
        <v>95</v>
      </c>
      <c r="X604" s="20" t="s">
        <v>95</v>
      </c>
      <c r="Y604" s="20" t="s">
        <v>95</v>
      </c>
      <c r="Z604" s="20" t="s">
        <v>60</v>
      </c>
      <c r="AA604" s="20" t="s">
        <v>61</v>
      </c>
      <c r="AB604" s="20" t="s">
        <v>82</v>
      </c>
      <c r="AC604" s="28">
        <v>559.48</v>
      </c>
      <c r="AD604" s="28">
        <f>SUM(BASE[[#This Row],[MONTO DE RENTA ]]*1.16)</f>
        <v>648.99680000000001</v>
      </c>
      <c r="AE604" s="28" t="s">
        <v>83</v>
      </c>
      <c r="AF604" s="28">
        <v>559.48275862068965</v>
      </c>
      <c r="AG604" s="28">
        <v>649</v>
      </c>
      <c r="AI604" s="63">
        <v>44937</v>
      </c>
      <c r="AJ604" s="73">
        <v>46043</v>
      </c>
      <c r="AK60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04" s="30"/>
      <c r="AN604" s="20" t="s">
        <v>99</v>
      </c>
      <c r="AP604" s="20" t="s">
        <v>84</v>
      </c>
      <c r="AQ604" s="20" t="s">
        <v>100</v>
      </c>
    </row>
    <row r="605" spans="1:43" ht="16">
      <c r="A605" s="20">
        <v>6641688858</v>
      </c>
      <c r="B605" s="49">
        <v>61172</v>
      </c>
      <c r="C605" s="20" t="s">
        <v>2419</v>
      </c>
      <c r="D605" s="20" t="s">
        <v>477</v>
      </c>
      <c r="E605" s="20" t="s">
        <v>1598</v>
      </c>
      <c r="F605" s="20" t="s">
        <v>451</v>
      </c>
      <c r="G605" s="20" t="s">
        <v>47</v>
      </c>
      <c r="H605" s="20" t="s">
        <v>48</v>
      </c>
      <c r="I605" s="20" t="s">
        <v>451</v>
      </c>
      <c r="J605" s="22" t="s">
        <v>2945</v>
      </c>
      <c r="K605" s="22" t="s">
        <v>2945</v>
      </c>
      <c r="L605" s="23" t="s">
        <v>2946</v>
      </c>
      <c r="M605" s="24" t="s">
        <v>7745</v>
      </c>
      <c r="N605" s="23">
        <v>18706000</v>
      </c>
      <c r="O605" s="25" t="s">
        <v>126</v>
      </c>
      <c r="P605" s="25" t="s">
        <v>53</v>
      </c>
      <c r="Q605" s="20" t="s">
        <v>2947</v>
      </c>
      <c r="R605" s="20">
        <v>11985281</v>
      </c>
      <c r="S605" s="25" t="s">
        <v>55</v>
      </c>
      <c r="T605" s="26" t="s">
        <v>56</v>
      </c>
      <c r="U605" s="23">
        <v>865356065672479</v>
      </c>
      <c r="V605" s="27" t="s">
        <v>183</v>
      </c>
      <c r="W605" s="20" t="s">
        <v>129</v>
      </c>
      <c r="X605" s="20" t="s">
        <v>130</v>
      </c>
      <c r="Y605" s="20" t="s">
        <v>130</v>
      </c>
      <c r="Z605" s="20" t="s">
        <v>60</v>
      </c>
      <c r="AA605" s="20" t="s">
        <v>61</v>
      </c>
      <c r="AB605" s="20" t="s">
        <v>96</v>
      </c>
      <c r="AC605" s="28">
        <v>369.83</v>
      </c>
      <c r="AD605" s="28">
        <f>SUM(BASE[[#This Row],[MONTO DE RENTA ]]*1.16)</f>
        <v>429.00279999999998</v>
      </c>
      <c r="AE605" s="28" t="s">
        <v>63</v>
      </c>
      <c r="AF605" s="28">
        <v>369.82758620689657</v>
      </c>
      <c r="AG605" s="28">
        <v>429</v>
      </c>
      <c r="AI605" s="63">
        <v>44937</v>
      </c>
      <c r="AJ605" s="73">
        <v>46043</v>
      </c>
      <c r="AK6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05" s="30"/>
      <c r="AN605" s="20" t="s">
        <v>99</v>
      </c>
      <c r="AP605" s="20" t="s">
        <v>84</v>
      </c>
      <c r="AQ605" s="20" t="s">
        <v>100</v>
      </c>
    </row>
    <row r="606" spans="1:43" ht="16">
      <c r="A606" s="20">
        <v>6642528263</v>
      </c>
      <c r="B606" s="21">
        <v>360291</v>
      </c>
      <c r="C606" s="20" t="s">
        <v>304</v>
      </c>
      <c r="D606" s="20" t="s">
        <v>1221</v>
      </c>
      <c r="E606" s="20" t="s">
        <v>2948</v>
      </c>
      <c r="F606" s="20" t="s">
        <v>248</v>
      </c>
      <c r="G606" s="20" t="s">
        <v>248</v>
      </c>
      <c r="H606" s="20" t="s">
        <v>48</v>
      </c>
      <c r="I606" s="20" t="s">
        <v>248</v>
      </c>
      <c r="J606" s="22" t="s">
        <v>2949</v>
      </c>
      <c r="K606" s="22" t="s">
        <v>2949</v>
      </c>
      <c r="L606" s="23" t="s">
        <v>2946</v>
      </c>
      <c r="M606" s="24" t="s">
        <v>7745</v>
      </c>
      <c r="N606" s="23">
        <v>18706000</v>
      </c>
      <c r="O606" s="25" t="s">
        <v>126</v>
      </c>
      <c r="P606" s="25" t="s">
        <v>53</v>
      </c>
      <c r="Q606" s="20" t="s">
        <v>2950</v>
      </c>
      <c r="R606" s="20">
        <v>11587071</v>
      </c>
      <c r="S606" s="25" t="s">
        <v>2951</v>
      </c>
      <c r="T606" s="26" t="s">
        <v>57</v>
      </c>
      <c r="U606" s="23">
        <v>860900062337274</v>
      </c>
      <c r="V606" s="27" t="s">
        <v>57</v>
      </c>
      <c r="W606" s="20" t="s">
        <v>58</v>
      </c>
      <c r="X606" s="20" t="s">
        <v>59</v>
      </c>
      <c r="Y606" s="20" t="s">
        <v>59</v>
      </c>
      <c r="Z606" s="20" t="s">
        <v>60</v>
      </c>
      <c r="AA606" s="20" t="s">
        <v>61</v>
      </c>
      <c r="AB606" s="20" t="s">
        <v>96</v>
      </c>
      <c r="AC606" s="28">
        <v>369.83</v>
      </c>
      <c r="AD606" s="28">
        <f>SUM(BASE[[#This Row],[MONTO DE RENTA ]]*1.16)</f>
        <v>429.00279999999998</v>
      </c>
      <c r="AE606" s="28" t="s">
        <v>63</v>
      </c>
      <c r="AF606" s="28">
        <v>369.82758620689657</v>
      </c>
      <c r="AG606" s="28">
        <v>429</v>
      </c>
      <c r="AI606" s="63">
        <v>44937</v>
      </c>
      <c r="AJ606" s="84">
        <v>46681</v>
      </c>
      <c r="AK60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606" s="30"/>
      <c r="AN606" s="20" t="s">
        <v>65</v>
      </c>
      <c r="AP606" s="20" t="s">
        <v>84</v>
      </c>
    </row>
    <row r="607" spans="1:43" ht="16">
      <c r="A607" s="20">
        <v>6642545995</v>
      </c>
      <c r="B607" s="59">
        <v>60291</v>
      </c>
      <c r="C607" s="20" t="s">
        <v>2952</v>
      </c>
      <c r="D607" s="20" t="s">
        <v>664</v>
      </c>
      <c r="E607" s="20" t="s">
        <v>468</v>
      </c>
      <c r="F607" s="20" t="s">
        <v>257</v>
      </c>
      <c r="G607" s="20" t="s">
        <v>257</v>
      </c>
      <c r="H607" s="20" t="s">
        <v>48</v>
      </c>
      <c r="I607" s="20" t="s">
        <v>257</v>
      </c>
      <c r="J607" s="22" t="s">
        <v>2953</v>
      </c>
      <c r="K607" s="22" t="s">
        <v>2953</v>
      </c>
      <c r="L607" s="23" t="s">
        <v>2946</v>
      </c>
      <c r="M607" s="24" t="s">
        <v>7745</v>
      </c>
      <c r="N607" s="23">
        <v>18706000</v>
      </c>
      <c r="O607" s="25" t="s">
        <v>126</v>
      </c>
      <c r="P607" s="25" t="s">
        <v>53</v>
      </c>
      <c r="Q607" s="20" t="s">
        <v>2954</v>
      </c>
      <c r="R607" s="20">
        <v>11560898</v>
      </c>
      <c r="S607" s="25" t="s">
        <v>2955</v>
      </c>
      <c r="T607" s="26" t="s">
        <v>57</v>
      </c>
      <c r="U607" s="23">
        <v>860478064844555</v>
      </c>
      <c r="V607" s="45" t="s">
        <v>110</v>
      </c>
      <c r="W607" s="20" t="s">
        <v>302</v>
      </c>
      <c r="X607" s="20" t="s">
        <v>303</v>
      </c>
      <c r="Y607" s="20" t="s">
        <v>303</v>
      </c>
      <c r="Z607" s="20" t="s">
        <v>80</v>
      </c>
      <c r="AA607" s="20" t="s">
        <v>81</v>
      </c>
      <c r="AB607" s="20" t="s">
        <v>82</v>
      </c>
      <c r="AC607" s="28">
        <v>559.48</v>
      </c>
      <c r="AD607" s="28">
        <f>SUM(BASE[[#This Row],[MONTO DE RENTA ]]*1.16)</f>
        <v>648.99680000000001</v>
      </c>
      <c r="AE607" s="28" t="s">
        <v>83</v>
      </c>
      <c r="AF607" s="28">
        <v>559.48275862068965</v>
      </c>
      <c r="AG607" s="28">
        <v>649</v>
      </c>
      <c r="AH607" s="22" t="s">
        <v>64</v>
      </c>
      <c r="AI607" s="63">
        <v>45703</v>
      </c>
      <c r="AJ607" s="63">
        <v>46433</v>
      </c>
      <c r="AK6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607"/>
      <c r="AM607" s="30"/>
      <c r="AN607" s="20" t="s">
        <v>65</v>
      </c>
      <c r="AP607" s="20" t="s">
        <v>84</v>
      </c>
    </row>
    <row r="608" spans="1:43" ht="16">
      <c r="A608" s="20">
        <v>6642540538</v>
      </c>
      <c r="B608" s="21">
        <v>1026167</v>
      </c>
      <c r="C608" s="20" t="s">
        <v>2956</v>
      </c>
      <c r="D608" s="20" t="s">
        <v>427</v>
      </c>
      <c r="E608" s="20" t="s">
        <v>427</v>
      </c>
      <c r="F608" s="20" t="s">
        <v>104</v>
      </c>
      <c r="G608" s="20" t="s">
        <v>104</v>
      </c>
      <c r="H608" s="20" t="s">
        <v>48</v>
      </c>
      <c r="I608" s="20" t="s">
        <v>104</v>
      </c>
      <c r="J608" s="32" t="s">
        <v>2957</v>
      </c>
      <c r="K608" s="32" t="s">
        <v>2957</v>
      </c>
      <c r="L608" s="23" t="s">
        <v>2946</v>
      </c>
      <c r="M608" s="24" t="s">
        <v>7745</v>
      </c>
      <c r="N608" s="23">
        <v>18706000</v>
      </c>
      <c r="O608" s="25" t="s">
        <v>126</v>
      </c>
      <c r="P608" s="25" t="s">
        <v>53</v>
      </c>
      <c r="Q608" s="20" t="s">
        <v>2958</v>
      </c>
      <c r="R608" s="20">
        <v>11560882</v>
      </c>
      <c r="S608" s="25" t="s">
        <v>2959</v>
      </c>
      <c r="T608" s="26" t="s">
        <v>57</v>
      </c>
      <c r="U608" s="23">
        <v>860478064976563</v>
      </c>
      <c r="V608" s="27" t="s">
        <v>57</v>
      </c>
      <c r="W608" s="20" t="s">
        <v>302</v>
      </c>
      <c r="X608" s="20" t="s">
        <v>303</v>
      </c>
      <c r="Y608" s="20" t="s">
        <v>303</v>
      </c>
      <c r="Z608" s="20" t="s">
        <v>80</v>
      </c>
      <c r="AA608" s="20" t="s">
        <v>81</v>
      </c>
      <c r="AB608" s="20" t="s">
        <v>82</v>
      </c>
      <c r="AC608" s="28">
        <v>559.48</v>
      </c>
      <c r="AD608" s="28">
        <f>SUM(BASE[[#This Row],[MONTO DE RENTA ]]*1.16)</f>
        <v>648.99680000000001</v>
      </c>
      <c r="AE608" s="28" t="s">
        <v>83</v>
      </c>
      <c r="AF608" s="28">
        <v>559.48275862068965</v>
      </c>
      <c r="AG608" s="28">
        <v>649</v>
      </c>
      <c r="AH608" s="22" t="s">
        <v>64</v>
      </c>
      <c r="AI608" s="63">
        <v>45703</v>
      </c>
      <c r="AJ608" s="63">
        <v>46433</v>
      </c>
      <c r="AK6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08" s="30"/>
      <c r="AN608" s="20" t="s">
        <v>65</v>
      </c>
      <c r="AP608" s="20" t="s">
        <v>84</v>
      </c>
    </row>
    <row r="609" spans="1:43" ht="16">
      <c r="A609" s="20">
        <v>6642542356</v>
      </c>
      <c r="B609" s="21">
        <v>60767</v>
      </c>
      <c r="C609" s="20" t="s">
        <v>2960</v>
      </c>
      <c r="D609" s="20" t="s">
        <v>476</v>
      </c>
      <c r="E609" s="20" t="s">
        <v>2961</v>
      </c>
      <c r="F609" s="20" t="s">
        <v>104</v>
      </c>
      <c r="G609" s="20" t="s">
        <v>104</v>
      </c>
      <c r="H609" s="20" t="s">
        <v>48</v>
      </c>
      <c r="I609" s="20" t="s">
        <v>104</v>
      </c>
      <c r="J609" s="32" t="s">
        <v>2962</v>
      </c>
      <c r="K609" s="32" t="s">
        <v>2962</v>
      </c>
      <c r="L609" s="23" t="s">
        <v>2946</v>
      </c>
      <c r="M609" s="24" t="s">
        <v>7745</v>
      </c>
      <c r="N609" s="23">
        <v>18706000</v>
      </c>
      <c r="O609" s="25" t="s">
        <v>126</v>
      </c>
      <c r="P609" s="25" t="s">
        <v>53</v>
      </c>
      <c r="Q609" s="20" t="s">
        <v>2963</v>
      </c>
      <c r="R609" s="20">
        <v>11560892</v>
      </c>
      <c r="S609" s="25" t="s">
        <v>2964</v>
      </c>
      <c r="T609" s="26" t="s">
        <v>57</v>
      </c>
      <c r="U609" s="23">
        <v>860478064850784</v>
      </c>
      <c r="V609" s="45" t="s">
        <v>110</v>
      </c>
      <c r="W609" s="20" t="s">
        <v>302</v>
      </c>
      <c r="X609" s="20" t="s">
        <v>303</v>
      </c>
      <c r="Y609" s="20" t="s">
        <v>303</v>
      </c>
      <c r="Z609" s="20" t="s">
        <v>80</v>
      </c>
      <c r="AA609" s="20" t="s">
        <v>81</v>
      </c>
      <c r="AB609" s="20" t="s">
        <v>82</v>
      </c>
      <c r="AC609" s="28">
        <v>559.48</v>
      </c>
      <c r="AD609" s="28">
        <f>SUM(BASE[[#This Row],[MONTO DE RENTA ]]*1.16)</f>
        <v>648.99680000000001</v>
      </c>
      <c r="AE609" s="28" t="s">
        <v>83</v>
      </c>
      <c r="AF609" s="28">
        <v>559.48275862068965</v>
      </c>
      <c r="AG609" s="28">
        <v>649</v>
      </c>
      <c r="AH609" s="22" t="s">
        <v>64</v>
      </c>
      <c r="AI609" s="63">
        <v>45703</v>
      </c>
      <c r="AJ609" s="63">
        <v>46433</v>
      </c>
      <c r="AK6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09" s="30"/>
      <c r="AN609" s="20" t="s">
        <v>65</v>
      </c>
      <c r="AP609" s="20" t="s">
        <v>84</v>
      </c>
    </row>
    <row r="610" spans="1:43" ht="16">
      <c r="A610" s="20">
        <v>6642544003</v>
      </c>
      <c r="B610" s="21">
        <v>60797</v>
      </c>
      <c r="C610" s="20" t="s">
        <v>2782</v>
      </c>
      <c r="D610" s="20" t="s">
        <v>477</v>
      </c>
      <c r="E610" s="20" t="s">
        <v>1702</v>
      </c>
      <c r="F610" s="20" t="s">
        <v>104</v>
      </c>
      <c r="G610" s="20" t="s">
        <v>104</v>
      </c>
      <c r="H610" s="20" t="s">
        <v>48</v>
      </c>
      <c r="I610" s="20" t="s">
        <v>104</v>
      </c>
      <c r="J610" s="22" t="s">
        <v>2965</v>
      </c>
      <c r="K610" s="22" t="s">
        <v>2965</v>
      </c>
      <c r="L610" s="23" t="s">
        <v>2946</v>
      </c>
      <c r="M610" s="24" t="s">
        <v>7745</v>
      </c>
      <c r="N610" s="23">
        <v>18706000</v>
      </c>
      <c r="O610" s="25" t="s">
        <v>126</v>
      </c>
      <c r="P610" s="25" t="s">
        <v>53</v>
      </c>
      <c r="Q610" s="20" t="s">
        <v>2966</v>
      </c>
      <c r="R610" s="20">
        <v>11560896</v>
      </c>
      <c r="S610" s="25" t="s">
        <v>2967</v>
      </c>
      <c r="T610" s="26" t="s">
        <v>57</v>
      </c>
      <c r="U610" s="23">
        <v>860478064952580</v>
      </c>
      <c r="V610" s="45" t="s">
        <v>110</v>
      </c>
      <c r="W610" s="20" t="s">
        <v>302</v>
      </c>
      <c r="X610" s="20" t="s">
        <v>303</v>
      </c>
      <c r="Y610" s="20" t="s">
        <v>303</v>
      </c>
      <c r="Z610" s="20" t="s">
        <v>80</v>
      </c>
      <c r="AA610" s="20" t="s">
        <v>81</v>
      </c>
      <c r="AB610" s="20" t="s">
        <v>82</v>
      </c>
      <c r="AC610" s="28">
        <v>559.48</v>
      </c>
      <c r="AD610" s="28">
        <f>SUM(BASE[[#This Row],[MONTO DE RENTA ]]*1.16)</f>
        <v>648.99680000000001</v>
      </c>
      <c r="AE610" s="28" t="s">
        <v>83</v>
      </c>
      <c r="AF610" s="28">
        <v>559.48275862068965</v>
      </c>
      <c r="AG610" s="28">
        <v>649</v>
      </c>
      <c r="AH610" s="22" t="s">
        <v>64</v>
      </c>
      <c r="AI610" s="63">
        <v>45703</v>
      </c>
      <c r="AJ610" s="63">
        <v>46433</v>
      </c>
      <c r="AK6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0" s="30"/>
      <c r="AN610" s="20" t="s">
        <v>65</v>
      </c>
      <c r="AP610" s="20" t="s">
        <v>84</v>
      </c>
    </row>
    <row r="611" spans="1:43" ht="16">
      <c r="A611" s="20">
        <v>6642540933</v>
      </c>
      <c r="B611" s="21">
        <v>1050275</v>
      </c>
      <c r="C611" s="20" t="s">
        <v>2968</v>
      </c>
      <c r="D611" s="20" t="s">
        <v>172</v>
      </c>
      <c r="E611" s="20" t="s">
        <v>247</v>
      </c>
      <c r="F611" s="20" t="s">
        <v>104</v>
      </c>
      <c r="G611" s="20" t="s">
        <v>104</v>
      </c>
      <c r="H611" s="20" t="s">
        <v>48</v>
      </c>
      <c r="I611" s="20" t="s">
        <v>104</v>
      </c>
      <c r="J611" s="22" t="s">
        <v>2969</v>
      </c>
      <c r="K611" s="22" t="s">
        <v>2969</v>
      </c>
      <c r="L611" s="23" t="s">
        <v>2946</v>
      </c>
      <c r="M611" s="24" t="s">
        <v>7745</v>
      </c>
      <c r="N611" s="23">
        <v>18706000</v>
      </c>
      <c r="O611" s="25" t="s">
        <v>126</v>
      </c>
      <c r="P611" s="25" t="s">
        <v>53</v>
      </c>
      <c r="Q611" s="20" t="s">
        <v>2970</v>
      </c>
      <c r="R611" s="20">
        <v>11560885</v>
      </c>
      <c r="S611" s="25" t="s">
        <v>2971</v>
      </c>
      <c r="T611" s="26" t="s">
        <v>57</v>
      </c>
      <c r="U611" s="23">
        <v>860478064976571</v>
      </c>
      <c r="V611" s="45" t="s">
        <v>110</v>
      </c>
      <c r="W611" s="20" t="s">
        <v>302</v>
      </c>
      <c r="X611" s="20" t="s">
        <v>303</v>
      </c>
      <c r="Y611" s="20" t="s">
        <v>303</v>
      </c>
      <c r="Z611" s="20" t="s">
        <v>80</v>
      </c>
      <c r="AA611" s="20" t="s">
        <v>81</v>
      </c>
      <c r="AB611" s="20" t="s">
        <v>82</v>
      </c>
      <c r="AC611" s="28">
        <v>559.48</v>
      </c>
      <c r="AD611" s="28">
        <f>SUM(BASE[[#This Row],[MONTO DE RENTA ]]*1.16)</f>
        <v>648.99680000000001</v>
      </c>
      <c r="AE611" s="28" t="s">
        <v>83</v>
      </c>
      <c r="AF611" s="28">
        <v>559.48275862068965</v>
      </c>
      <c r="AG611" s="28">
        <v>649</v>
      </c>
      <c r="AH611" s="22" t="s">
        <v>64</v>
      </c>
      <c r="AI611" s="63">
        <v>45703</v>
      </c>
      <c r="AJ611" s="63">
        <v>46433</v>
      </c>
      <c r="AK6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1" s="30"/>
      <c r="AN611" s="20" t="s">
        <v>65</v>
      </c>
      <c r="AP611" s="20" t="s">
        <v>84</v>
      </c>
    </row>
    <row r="612" spans="1:43" ht="15" customHeight="1">
      <c r="A612" s="20">
        <v>6642544002</v>
      </c>
      <c r="B612" s="21">
        <v>61510</v>
      </c>
      <c r="C612" s="20" t="s">
        <v>2972</v>
      </c>
      <c r="D612" s="20" t="s">
        <v>2973</v>
      </c>
      <c r="E612" s="20" t="s">
        <v>1694</v>
      </c>
      <c r="F612" s="20" t="s">
        <v>104</v>
      </c>
      <c r="G612" s="20" t="s">
        <v>104</v>
      </c>
      <c r="H612" s="20" t="s">
        <v>48</v>
      </c>
      <c r="I612" s="20" t="s">
        <v>104</v>
      </c>
      <c r="J612" s="62" t="s">
        <v>2974</v>
      </c>
      <c r="K612" s="62" t="s">
        <v>2975</v>
      </c>
      <c r="L612" s="23" t="s">
        <v>2946</v>
      </c>
      <c r="M612" s="24" t="s">
        <v>7745</v>
      </c>
      <c r="N612" s="23">
        <v>18706000</v>
      </c>
      <c r="O612" s="25" t="s">
        <v>126</v>
      </c>
      <c r="P612" s="25" t="s">
        <v>53</v>
      </c>
      <c r="Q612" s="20" t="s">
        <v>2976</v>
      </c>
      <c r="R612" s="20">
        <v>11560895</v>
      </c>
      <c r="S612" s="25" t="s">
        <v>2977</v>
      </c>
      <c r="T612" s="26" t="s">
        <v>57</v>
      </c>
      <c r="U612" s="23">
        <v>860478064976613</v>
      </c>
      <c r="V612" s="45" t="s">
        <v>110</v>
      </c>
      <c r="W612" s="20" t="s">
        <v>302</v>
      </c>
      <c r="X612" s="20" t="s">
        <v>303</v>
      </c>
      <c r="Y612" s="20" t="s">
        <v>303</v>
      </c>
      <c r="Z612" s="20" t="s">
        <v>80</v>
      </c>
      <c r="AA612" s="20" t="s">
        <v>81</v>
      </c>
      <c r="AB612" s="20" t="s">
        <v>82</v>
      </c>
      <c r="AC612" s="28">
        <v>559.48</v>
      </c>
      <c r="AD612" s="28">
        <f>SUM(BASE[[#This Row],[MONTO DE RENTA ]]*1.16)</f>
        <v>648.99680000000001</v>
      </c>
      <c r="AE612" s="28" t="s">
        <v>83</v>
      </c>
      <c r="AF612" s="28">
        <v>559.48275862068965</v>
      </c>
      <c r="AG612" s="28">
        <v>649</v>
      </c>
      <c r="AH612" s="22" t="s">
        <v>64</v>
      </c>
      <c r="AI612" s="63">
        <v>45703</v>
      </c>
      <c r="AJ612" s="63">
        <v>46433</v>
      </c>
      <c r="AK61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2" s="30"/>
      <c r="AN612" s="20" t="s">
        <v>65</v>
      </c>
      <c r="AP612" s="20" t="s">
        <v>84</v>
      </c>
    </row>
    <row r="613" spans="1:43" ht="16">
      <c r="A613" s="20">
        <v>6644847489</v>
      </c>
      <c r="B613" s="147">
        <v>1018551</v>
      </c>
      <c r="C613" s="20" t="s">
        <v>2197</v>
      </c>
      <c r="D613" s="20" t="s">
        <v>45</v>
      </c>
      <c r="E613" s="20" t="s">
        <v>2978</v>
      </c>
      <c r="F613" s="20" t="s">
        <v>122</v>
      </c>
      <c r="G613" s="20" t="s">
        <v>122</v>
      </c>
      <c r="H613" s="20" t="s">
        <v>48</v>
      </c>
      <c r="I613" s="20" t="s">
        <v>122</v>
      </c>
      <c r="J613" s="32" t="s">
        <v>2979</v>
      </c>
      <c r="K613" s="32" t="s">
        <v>2979</v>
      </c>
      <c r="L613" s="23" t="s">
        <v>2946</v>
      </c>
      <c r="M613" s="24" t="s">
        <v>7745</v>
      </c>
      <c r="N613" s="23">
        <v>18706000</v>
      </c>
      <c r="O613" s="25" t="s">
        <v>126</v>
      </c>
      <c r="P613" s="25" t="s">
        <v>53</v>
      </c>
      <c r="Q613" s="20" t="s">
        <v>2980</v>
      </c>
      <c r="R613" s="20">
        <v>11804560</v>
      </c>
      <c r="S613" s="25" t="s">
        <v>55</v>
      </c>
      <c r="T613" s="26" t="s">
        <v>56</v>
      </c>
      <c r="U613" s="23">
        <v>860900062331434</v>
      </c>
      <c r="V613" s="27" t="s">
        <v>183</v>
      </c>
      <c r="W613" s="20" t="s">
        <v>58</v>
      </c>
      <c r="X613" s="20" t="s">
        <v>59</v>
      </c>
      <c r="Y613" s="20" t="s">
        <v>59</v>
      </c>
      <c r="Z613" s="20" t="s">
        <v>60</v>
      </c>
      <c r="AA613" s="20" t="s">
        <v>61</v>
      </c>
      <c r="AB613" s="20" t="s">
        <v>96</v>
      </c>
      <c r="AC613" s="28">
        <v>369.83</v>
      </c>
      <c r="AD613" s="28">
        <f>SUM(BASE[[#This Row],[MONTO DE RENTA ]]*1.16)</f>
        <v>429.00279999999998</v>
      </c>
      <c r="AE613" s="28" t="s">
        <v>63</v>
      </c>
      <c r="AF613" s="28">
        <v>369.82758620689657</v>
      </c>
      <c r="AG613" s="28">
        <v>429</v>
      </c>
      <c r="AI613" s="63">
        <v>44937</v>
      </c>
      <c r="AJ613" s="73">
        <v>46043</v>
      </c>
      <c r="AK6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13" s="30"/>
      <c r="AN613" s="20" t="s">
        <v>99</v>
      </c>
      <c r="AP613" s="20" t="s">
        <v>84</v>
      </c>
      <c r="AQ613" s="20" t="s">
        <v>100</v>
      </c>
    </row>
    <row r="614" spans="1:43" ht="16">
      <c r="A614" s="20">
        <v>6631275320</v>
      </c>
      <c r="B614" s="21">
        <v>1019625</v>
      </c>
      <c r="C614" s="20" t="s">
        <v>2981</v>
      </c>
      <c r="D614" s="20" t="s">
        <v>2982</v>
      </c>
      <c r="E614" s="20" t="s">
        <v>1582</v>
      </c>
      <c r="F614" s="20" t="s">
        <v>122</v>
      </c>
      <c r="G614" s="20" t="s">
        <v>122</v>
      </c>
      <c r="H614" s="20" t="s">
        <v>48</v>
      </c>
      <c r="I614" s="20" t="s">
        <v>122</v>
      </c>
      <c r="J614" s="22" t="s">
        <v>2983</v>
      </c>
      <c r="K614" s="32" t="s">
        <v>2979</v>
      </c>
      <c r="L614" s="23" t="s">
        <v>2946</v>
      </c>
      <c r="M614" s="24" t="s">
        <v>7745</v>
      </c>
      <c r="N614" s="23">
        <v>18706000</v>
      </c>
      <c r="O614" s="25" t="s">
        <v>126</v>
      </c>
      <c r="P614" s="25" t="s">
        <v>53</v>
      </c>
      <c r="Q614" s="20" t="s">
        <v>2984</v>
      </c>
      <c r="R614" s="20">
        <v>12269659</v>
      </c>
      <c r="S614" s="25" t="s">
        <v>2985</v>
      </c>
      <c r="T614" s="26" t="s">
        <v>57</v>
      </c>
      <c r="U614" s="23">
        <v>860900062331434</v>
      </c>
      <c r="V614" s="27" t="s">
        <v>57</v>
      </c>
      <c r="W614" s="20" t="s">
        <v>58</v>
      </c>
      <c r="X614" s="20" t="s">
        <v>59</v>
      </c>
      <c r="Y614" s="20" t="s">
        <v>59</v>
      </c>
      <c r="Z614" s="20" t="s">
        <v>60</v>
      </c>
      <c r="AA614" s="20" t="s">
        <v>61</v>
      </c>
      <c r="AB614" s="20" t="s">
        <v>96</v>
      </c>
      <c r="AC614" s="28">
        <v>369.83</v>
      </c>
      <c r="AD614" s="28">
        <f>SUM(BASE[[#This Row],[MONTO DE RENTA ]]*1.16)</f>
        <v>429.00279999999998</v>
      </c>
      <c r="AE614" s="28" t="s">
        <v>63</v>
      </c>
      <c r="AF614" s="28">
        <v>369.82758620689657</v>
      </c>
      <c r="AG614" s="28">
        <v>429</v>
      </c>
      <c r="AH614" s="22" t="s">
        <v>64</v>
      </c>
      <c r="AI614" s="63">
        <v>45671</v>
      </c>
      <c r="AJ614" s="63">
        <v>46401</v>
      </c>
      <c r="AK61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614" s="30"/>
      <c r="AN614" s="20" t="s">
        <v>65</v>
      </c>
      <c r="AP614" s="20" t="s">
        <v>84</v>
      </c>
    </row>
    <row r="615" spans="1:43" ht="16">
      <c r="A615" s="20">
        <v>6642607766</v>
      </c>
      <c r="B615" s="21">
        <v>540223</v>
      </c>
      <c r="C615" s="20" t="s">
        <v>2986</v>
      </c>
      <c r="D615" s="20" t="s">
        <v>546</v>
      </c>
      <c r="E615" s="20" t="s">
        <v>2987</v>
      </c>
      <c r="F615" s="20" t="s">
        <v>70</v>
      </c>
      <c r="G615" s="20" t="s">
        <v>70</v>
      </c>
      <c r="H615" s="20" t="s">
        <v>48</v>
      </c>
      <c r="I615" s="20" t="s">
        <v>70</v>
      </c>
      <c r="J615" s="22" t="s">
        <v>2988</v>
      </c>
      <c r="K615" s="22" t="s">
        <v>2988</v>
      </c>
      <c r="L615" s="23" t="s">
        <v>2946</v>
      </c>
      <c r="M615" s="24" t="s">
        <v>7745</v>
      </c>
      <c r="N615" s="23">
        <v>18706000</v>
      </c>
      <c r="O615" s="25" t="s">
        <v>126</v>
      </c>
      <c r="P615" s="25" t="s">
        <v>53</v>
      </c>
      <c r="Q615" s="20" t="s">
        <v>2989</v>
      </c>
      <c r="R615" s="20">
        <v>11511503</v>
      </c>
      <c r="S615" s="25" t="s">
        <v>55</v>
      </c>
      <c r="T615" s="44" t="s">
        <v>56</v>
      </c>
      <c r="U615" s="23">
        <v>359928213963654</v>
      </c>
      <c r="V615" s="27" t="s">
        <v>78</v>
      </c>
      <c r="W615" s="20" t="s">
        <v>79</v>
      </c>
      <c r="X615" s="20" t="s">
        <v>79</v>
      </c>
      <c r="Y615" s="20" t="s">
        <v>79</v>
      </c>
      <c r="Z615" s="20" t="s">
        <v>60</v>
      </c>
      <c r="AA615" s="20" t="s">
        <v>61</v>
      </c>
      <c r="AB615" s="20" t="s">
        <v>82</v>
      </c>
      <c r="AC615" s="28">
        <v>559.48</v>
      </c>
      <c r="AD615" s="28">
        <f>SUM(BASE[[#This Row],[MONTO DE RENTA ]]*1.16)</f>
        <v>648.99680000000001</v>
      </c>
      <c r="AE615" s="28" t="s">
        <v>83</v>
      </c>
      <c r="AF615" s="28">
        <v>559.48275862068965</v>
      </c>
      <c r="AG615" s="28">
        <v>649</v>
      </c>
      <c r="AI615" s="63">
        <v>44937</v>
      </c>
      <c r="AJ615" s="63">
        <v>46429</v>
      </c>
      <c r="AK6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5" s="30"/>
      <c r="AN615" s="20" t="s">
        <v>65</v>
      </c>
      <c r="AP615" s="20" t="s">
        <v>84</v>
      </c>
    </row>
    <row r="616" spans="1:43" ht="16">
      <c r="A616" s="20">
        <v>4442693515</v>
      </c>
      <c r="B616" s="190">
        <v>71418</v>
      </c>
      <c r="C616" s="20" t="s">
        <v>2990</v>
      </c>
      <c r="D616" s="20" t="s">
        <v>1627</v>
      </c>
      <c r="E616" s="20" t="s">
        <v>636</v>
      </c>
      <c r="F616" s="20" t="s">
        <v>509</v>
      </c>
      <c r="G616" s="20" t="s">
        <v>47</v>
      </c>
      <c r="H616" s="20" t="s">
        <v>48</v>
      </c>
      <c r="I616" s="20" t="s">
        <v>509</v>
      </c>
      <c r="J616" s="22" t="s">
        <v>2991</v>
      </c>
      <c r="K616" s="22" t="s">
        <v>2991</v>
      </c>
      <c r="L616" s="23" t="s">
        <v>2992</v>
      </c>
      <c r="M616" s="24" t="s">
        <v>7743</v>
      </c>
      <c r="N616" s="23">
        <v>18861000</v>
      </c>
      <c r="O616" s="25" t="s">
        <v>93</v>
      </c>
      <c r="P616" s="25" t="s">
        <v>53</v>
      </c>
      <c r="Q616" s="20" t="s">
        <v>2993</v>
      </c>
      <c r="R616" s="20">
        <v>62129232</v>
      </c>
      <c r="S616" s="25" t="s">
        <v>2994</v>
      </c>
      <c r="T616" s="65" t="s">
        <v>57</v>
      </c>
      <c r="U616" s="23">
        <v>860900062338413</v>
      </c>
      <c r="V616" s="27" t="s">
        <v>57</v>
      </c>
      <c r="W616" s="20" t="s">
        <v>58</v>
      </c>
      <c r="X616" s="20" t="s">
        <v>59</v>
      </c>
      <c r="Y616" s="20" t="s">
        <v>59</v>
      </c>
      <c r="Z616" s="20" t="s">
        <v>60</v>
      </c>
      <c r="AA616" s="20" t="s">
        <v>61</v>
      </c>
      <c r="AB616" s="20" t="s">
        <v>96</v>
      </c>
      <c r="AC616" s="28">
        <v>369.83</v>
      </c>
      <c r="AD616" s="28">
        <f>SUM(BASE[[#This Row],[MONTO DE RENTA ]]*1.16)</f>
        <v>429.00279999999998</v>
      </c>
      <c r="AE616" s="28" t="s">
        <v>63</v>
      </c>
      <c r="AF616" s="28">
        <v>369.82758620689657</v>
      </c>
      <c r="AG616" s="28">
        <v>429</v>
      </c>
      <c r="AH616" s="22" t="s">
        <v>140</v>
      </c>
      <c r="AI616" s="63">
        <v>45710</v>
      </c>
      <c r="AJ616" s="63">
        <v>46402</v>
      </c>
      <c r="AK61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616" s="20">
        <v>18848012</v>
      </c>
      <c r="AM616" s="30"/>
      <c r="AN616" s="20" t="s">
        <v>65</v>
      </c>
      <c r="AP616" s="20" t="s">
        <v>84</v>
      </c>
    </row>
    <row r="617" spans="1:43" ht="16">
      <c r="A617" s="20">
        <v>4681137552</v>
      </c>
      <c r="B617" s="147">
        <v>71335</v>
      </c>
      <c r="C617" s="20" t="s">
        <v>2102</v>
      </c>
      <c r="D617" s="20" t="s">
        <v>376</v>
      </c>
      <c r="E617" s="20" t="s">
        <v>1587</v>
      </c>
      <c r="F617" s="20" t="s">
        <v>248</v>
      </c>
      <c r="G617" s="20" t="s">
        <v>248</v>
      </c>
      <c r="H617" s="20" t="s">
        <v>48</v>
      </c>
      <c r="I617" s="20" t="s">
        <v>248</v>
      </c>
      <c r="J617" s="22" t="s">
        <v>2995</v>
      </c>
      <c r="K617" s="22" t="s">
        <v>2995</v>
      </c>
      <c r="L617" s="23" t="s">
        <v>2992</v>
      </c>
      <c r="M617" s="24" t="s">
        <v>7743</v>
      </c>
      <c r="N617" s="23">
        <v>18707000</v>
      </c>
      <c r="O617" s="25" t="s">
        <v>93</v>
      </c>
      <c r="P617" s="25" t="s">
        <v>53</v>
      </c>
      <c r="Q617" s="20" t="s">
        <v>2996</v>
      </c>
      <c r="R617" s="20">
        <v>62116037</v>
      </c>
      <c r="S617" s="25" t="s">
        <v>2997</v>
      </c>
      <c r="T617" s="26" t="s">
        <v>57</v>
      </c>
      <c r="U617" s="23">
        <v>860900062337100</v>
      </c>
      <c r="V617" s="27" t="s">
        <v>57</v>
      </c>
      <c r="W617" s="20" t="s">
        <v>58</v>
      </c>
      <c r="X617" s="20" t="s">
        <v>59</v>
      </c>
      <c r="Y617" s="20" t="s">
        <v>59</v>
      </c>
      <c r="Z617" s="20" t="s">
        <v>60</v>
      </c>
      <c r="AA617" s="20" t="s">
        <v>61</v>
      </c>
      <c r="AB617" s="20" t="s">
        <v>96</v>
      </c>
      <c r="AC617" s="28">
        <v>369.83</v>
      </c>
      <c r="AD617" s="28">
        <f>SUM(BASE[[#This Row],[MONTO DE RENTA ]]*1.16)</f>
        <v>429.00279999999998</v>
      </c>
      <c r="AE617" s="28" t="s">
        <v>63</v>
      </c>
      <c r="AF617" s="28">
        <v>369.82758620689657</v>
      </c>
      <c r="AG617" s="28">
        <v>429</v>
      </c>
      <c r="AH617" s="22" t="s">
        <v>64</v>
      </c>
      <c r="AI617" s="63">
        <v>45703</v>
      </c>
      <c r="AJ617" s="63">
        <v>46433</v>
      </c>
      <c r="AK6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7" s="30"/>
      <c r="AN617" s="20" t="s">
        <v>65</v>
      </c>
      <c r="AP617" s="20" t="s">
        <v>84</v>
      </c>
    </row>
    <row r="618" spans="1:43" ht="16">
      <c r="A618" s="20">
        <v>4442335476</v>
      </c>
      <c r="B618" s="21">
        <v>1030723</v>
      </c>
      <c r="C618" s="20" t="s">
        <v>2998</v>
      </c>
      <c r="D618" s="20" t="s">
        <v>2999</v>
      </c>
      <c r="E618" s="20" t="s">
        <v>187</v>
      </c>
      <c r="F618" s="20" t="s">
        <v>384</v>
      </c>
      <c r="G618" s="20" t="s">
        <v>104</v>
      </c>
      <c r="H618" s="20" t="s">
        <v>48</v>
      </c>
      <c r="I618" s="20" t="s">
        <v>384</v>
      </c>
      <c r="J618" s="32" t="s">
        <v>3000</v>
      </c>
      <c r="K618" s="22" t="s">
        <v>3000</v>
      </c>
      <c r="L618" s="23" t="s">
        <v>2992</v>
      </c>
      <c r="M618" s="24" t="s">
        <v>7743</v>
      </c>
      <c r="N618" s="23">
        <v>18707000</v>
      </c>
      <c r="O618" s="25" t="s">
        <v>93</v>
      </c>
      <c r="P618" s="25" t="s">
        <v>53</v>
      </c>
      <c r="Q618" s="20" t="s">
        <v>3001</v>
      </c>
      <c r="R618" s="20">
        <v>62144782</v>
      </c>
      <c r="S618" s="25" t="s">
        <v>3002</v>
      </c>
      <c r="T618" s="26" t="s">
        <v>57</v>
      </c>
      <c r="U618" s="23">
        <v>860900062338132</v>
      </c>
      <c r="V618" s="27" t="s">
        <v>57</v>
      </c>
      <c r="W618" s="20" t="s">
        <v>58</v>
      </c>
      <c r="X618" s="20" t="s">
        <v>59</v>
      </c>
      <c r="Y618" s="20" t="s">
        <v>59</v>
      </c>
      <c r="Z618" s="20" t="s">
        <v>60</v>
      </c>
      <c r="AA618" s="20" t="s">
        <v>61</v>
      </c>
      <c r="AB618" s="20" t="s">
        <v>96</v>
      </c>
      <c r="AC618" s="28">
        <v>369.83</v>
      </c>
      <c r="AD618" s="28">
        <f>SUM(BASE[[#This Row],[MONTO DE RENTA ]]*1.16)</f>
        <v>429.00279999999998</v>
      </c>
      <c r="AE618" s="28" t="s">
        <v>63</v>
      </c>
      <c r="AF618" s="28">
        <v>369.82758620689657</v>
      </c>
      <c r="AG618" s="28">
        <v>429</v>
      </c>
      <c r="AH618" s="22" t="s">
        <v>64</v>
      </c>
      <c r="AI618" s="63">
        <v>45703</v>
      </c>
      <c r="AJ618" s="63">
        <v>46433</v>
      </c>
      <c r="AK6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8" s="30"/>
      <c r="AN618" s="20" t="s">
        <v>65</v>
      </c>
      <c r="AP618" s="20" t="s">
        <v>84</v>
      </c>
    </row>
    <row r="619" spans="1:43" ht="16">
      <c r="A619" s="20">
        <v>4442334941</v>
      </c>
      <c r="B619" s="21">
        <v>1021407</v>
      </c>
      <c r="C619" s="20" t="s">
        <v>3003</v>
      </c>
      <c r="D619" s="20" t="s">
        <v>3004</v>
      </c>
      <c r="E619" s="20" t="s">
        <v>3005</v>
      </c>
      <c r="F619" s="20" t="s">
        <v>257</v>
      </c>
      <c r="G619" s="20" t="s">
        <v>257</v>
      </c>
      <c r="H619" s="20" t="s">
        <v>48</v>
      </c>
      <c r="I619" s="20" t="s">
        <v>257</v>
      </c>
      <c r="J619" s="22" t="s">
        <v>3006</v>
      </c>
      <c r="K619" s="22" t="s">
        <v>3006</v>
      </c>
      <c r="L619" s="23" t="s">
        <v>2992</v>
      </c>
      <c r="M619" s="24" t="s">
        <v>7743</v>
      </c>
      <c r="N619" s="23">
        <v>18707000</v>
      </c>
      <c r="O619" s="25" t="s">
        <v>93</v>
      </c>
      <c r="P619" s="25" t="s">
        <v>53</v>
      </c>
      <c r="Q619" s="20" t="s">
        <v>3007</v>
      </c>
      <c r="R619" s="20">
        <v>62144787</v>
      </c>
      <c r="S619" s="25" t="s">
        <v>3008</v>
      </c>
      <c r="T619" s="26" t="s">
        <v>57</v>
      </c>
      <c r="U619" s="23">
        <v>860478064952317</v>
      </c>
      <c r="V619" s="45" t="s">
        <v>110</v>
      </c>
      <c r="W619" s="20" t="s">
        <v>302</v>
      </c>
      <c r="X619" s="20" t="s">
        <v>303</v>
      </c>
      <c r="Y619" s="20" t="s">
        <v>303</v>
      </c>
      <c r="Z619" s="20" t="s">
        <v>80</v>
      </c>
      <c r="AA619" s="20" t="s">
        <v>81</v>
      </c>
      <c r="AB619" s="20" t="s">
        <v>82</v>
      </c>
      <c r="AC619" s="28">
        <v>559.48</v>
      </c>
      <c r="AD619" s="28">
        <f>SUM(BASE[[#This Row],[MONTO DE RENTA ]]*1.16)</f>
        <v>648.99680000000001</v>
      </c>
      <c r="AE619" s="28" t="s">
        <v>83</v>
      </c>
      <c r="AF619" s="28">
        <v>559.48275862068965</v>
      </c>
      <c r="AG619" s="28">
        <v>649</v>
      </c>
      <c r="AH619" s="22" t="s">
        <v>64</v>
      </c>
      <c r="AI619" s="63">
        <v>45703</v>
      </c>
      <c r="AJ619" s="63">
        <v>46433</v>
      </c>
      <c r="AK6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19" s="30"/>
      <c r="AN619" s="20" t="s">
        <v>65</v>
      </c>
      <c r="AP619" s="20" t="s">
        <v>84</v>
      </c>
    </row>
    <row r="620" spans="1:43" ht="16">
      <c r="A620" s="20">
        <v>4442335481</v>
      </c>
      <c r="B620" s="21">
        <v>1022742</v>
      </c>
      <c r="C620" s="20" t="s">
        <v>3009</v>
      </c>
      <c r="D620" s="20" t="s">
        <v>3010</v>
      </c>
      <c r="E620" s="20" t="s">
        <v>376</v>
      </c>
      <c r="F620" s="20" t="s">
        <v>104</v>
      </c>
      <c r="G620" s="20" t="s">
        <v>104</v>
      </c>
      <c r="H620" s="20" t="s">
        <v>48</v>
      </c>
      <c r="I620" s="20" t="s">
        <v>104</v>
      </c>
      <c r="J620" s="22" t="s">
        <v>3011</v>
      </c>
      <c r="K620" s="22" t="s">
        <v>3011</v>
      </c>
      <c r="L620" s="23" t="s">
        <v>2992</v>
      </c>
      <c r="M620" s="24" t="s">
        <v>7743</v>
      </c>
      <c r="N620" s="23">
        <v>18707000</v>
      </c>
      <c r="O620" s="25" t="s">
        <v>93</v>
      </c>
      <c r="P620" s="25" t="s">
        <v>53</v>
      </c>
      <c r="Q620" s="20" t="s">
        <v>3012</v>
      </c>
      <c r="R620" s="20">
        <v>62144786</v>
      </c>
      <c r="S620" s="25" t="s">
        <v>3013</v>
      </c>
      <c r="T620" s="26" t="s">
        <v>57</v>
      </c>
      <c r="U620" s="23">
        <v>860478064951509</v>
      </c>
      <c r="V620" s="45" t="s">
        <v>110</v>
      </c>
      <c r="W620" s="20" t="s">
        <v>302</v>
      </c>
      <c r="X620" s="20" t="s">
        <v>303</v>
      </c>
      <c r="Y620" s="20" t="s">
        <v>303</v>
      </c>
      <c r="Z620" s="20" t="s">
        <v>80</v>
      </c>
      <c r="AA620" s="20" t="s">
        <v>81</v>
      </c>
      <c r="AB620" s="20" t="s">
        <v>82</v>
      </c>
      <c r="AC620" s="28">
        <v>559.48</v>
      </c>
      <c r="AD620" s="28">
        <f>SUM(BASE[[#This Row],[MONTO DE RENTA ]]*1.16)</f>
        <v>648.99680000000001</v>
      </c>
      <c r="AE620" s="28" t="s">
        <v>83</v>
      </c>
      <c r="AF620" s="28">
        <v>559.48275862068965</v>
      </c>
      <c r="AG620" s="28">
        <v>649</v>
      </c>
      <c r="AH620" s="22" t="s">
        <v>64</v>
      </c>
      <c r="AI620" s="63">
        <v>45703</v>
      </c>
      <c r="AJ620" s="63">
        <v>46433</v>
      </c>
      <c r="AK6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0" s="30"/>
      <c r="AN620" s="20" t="s">
        <v>65</v>
      </c>
      <c r="AP620" s="20" t="s">
        <v>84</v>
      </c>
    </row>
    <row r="621" spans="1:43" ht="15">
      <c r="A621" s="20">
        <v>4442334960</v>
      </c>
      <c r="B621">
        <v>1033232</v>
      </c>
      <c r="C621" s="20" t="s">
        <v>1147</v>
      </c>
      <c r="D621" s="20" t="s">
        <v>3014</v>
      </c>
      <c r="E621" s="20" t="s">
        <v>870</v>
      </c>
      <c r="F621" s="20" t="s">
        <v>104</v>
      </c>
      <c r="G621" s="20" t="s">
        <v>104</v>
      </c>
      <c r="H621" s="20" t="s">
        <v>48</v>
      </c>
      <c r="I621" s="20" t="s">
        <v>104</v>
      </c>
      <c r="J621" s="32" t="s">
        <v>3015</v>
      </c>
      <c r="K621" s="32" t="s">
        <v>3015</v>
      </c>
      <c r="L621" s="23" t="s">
        <v>2992</v>
      </c>
      <c r="M621" s="24" t="s">
        <v>7743</v>
      </c>
      <c r="N621" s="23">
        <v>18707000</v>
      </c>
      <c r="O621" s="25" t="s">
        <v>93</v>
      </c>
      <c r="P621" s="25" t="s">
        <v>53</v>
      </c>
      <c r="Q621" s="20" t="s">
        <v>3016</v>
      </c>
      <c r="R621" s="20">
        <v>62144775</v>
      </c>
      <c r="S621" s="25" t="s">
        <v>3017</v>
      </c>
      <c r="T621" s="26" t="s">
        <v>57</v>
      </c>
      <c r="U621" s="23">
        <v>860478064811562</v>
      </c>
      <c r="V621" s="45" t="s">
        <v>110</v>
      </c>
      <c r="W621" s="20" t="s">
        <v>302</v>
      </c>
      <c r="X621" s="20" t="s">
        <v>303</v>
      </c>
      <c r="Y621" s="20" t="s">
        <v>303</v>
      </c>
      <c r="Z621" s="20" t="s">
        <v>60</v>
      </c>
      <c r="AA621" s="20" t="s">
        <v>61</v>
      </c>
      <c r="AB621" s="20" t="s">
        <v>96</v>
      </c>
      <c r="AC621" s="28">
        <v>369.83</v>
      </c>
      <c r="AD621" s="28">
        <f>SUM(BASE[[#This Row],[MONTO DE RENTA ]]*1.16)</f>
        <v>429.00279999999998</v>
      </c>
      <c r="AE621" s="28" t="s">
        <v>97</v>
      </c>
      <c r="AF621" s="28">
        <v>473.27586206896552</v>
      </c>
      <c r="AG621" s="28">
        <v>549</v>
      </c>
      <c r="AH621" s="22" t="s">
        <v>64</v>
      </c>
      <c r="AI621" s="63">
        <v>45703</v>
      </c>
      <c r="AJ621" s="63">
        <v>46433</v>
      </c>
      <c r="AK6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1" s="30"/>
      <c r="AN621" s="20" t="s">
        <v>65</v>
      </c>
      <c r="AP621" s="20" t="s">
        <v>66</v>
      </c>
    </row>
    <row r="622" spans="1:43" ht="16">
      <c r="A622" s="20">
        <v>4441714917</v>
      </c>
      <c r="B622" s="49">
        <v>1025128</v>
      </c>
      <c r="C622" s="20" t="s">
        <v>3018</v>
      </c>
      <c r="D622" s="20" t="s">
        <v>1281</v>
      </c>
      <c r="E622" s="20" t="s">
        <v>657</v>
      </c>
      <c r="F622" s="20" t="s">
        <v>451</v>
      </c>
      <c r="G622" s="20" t="s">
        <v>122</v>
      </c>
      <c r="H622" s="20" t="s">
        <v>48</v>
      </c>
      <c r="I622" s="20" t="s">
        <v>451</v>
      </c>
      <c r="J622" s="22" t="s">
        <v>3019</v>
      </c>
      <c r="K622" s="22" t="s">
        <v>3020</v>
      </c>
      <c r="L622" s="23" t="s">
        <v>2992</v>
      </c>
      <c r="M622" s="24" t="s">
        <v>7743</v>
      </c>
      <c r="N622" s="23">
        <v>18707000</v>
      </c>
      <c r="O622" s="25" t="s">
        <v>93</v>
      </c>
      <c r="P622" s="25" t="s">
        <v>53</v>
      </c>
      <c r="Q622" s="20" t="s">
        <v>3021</v>
      </c>
      <c r="R622" s="20">
        <v>62427979</v>
      </c>
      <c r="S622" s="25" t="s">
        <v>55</v>
      </c>
      <c r="T622" s="26" t="s">
        <v>56</v>
      </c>
      <c r="U622" s="23">
        <v>865356065672941</v>
      </c>
      <c r="V622" s="27" t="s">
        <v>183</v>
      </c>
      <c r="W622" s="20" t="s">
        <v>129</v>
      </c>
      <c r="X622" s="20" t="s">
        <v>130</v>
      </c>
      <c r="Y622" s="20" t="s">
        <v>130</v>
      </c>
      <c r="Z622" s="20" t="s">
        <v>60</v>
      </c>
      <c r="AA622" s="20" t="s">
        <v>61</v>
      </c>
      <c r="AB622" s="20" t="s">
        <v>96</v>
      </c>
      <c r="AC622" s="28">
        <v>369.83</v>
      </c>
      <c r="AD622" s="28">
        <f>SUM(BASE[[#This Row],[MONTO DE RENTA ]]*1.16)</f>
        <v>429.00279999999998</v>
      </c>
      <c r="AE622" s="28" t="s">
        <v>63</v>
      </c>
      <c r="AF622" s="28">
        <v>369.82758620689657</v>
      </c>
      <c r="AG622" s="28">
        <v>429</v>
      </c>
      <c r="AI622" s="63">
        <v>44937</v>
      </c>
      <c r="AJ622" s="73">
        <v>46043</v>
      </c>
      <c r="AK62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22" s="30"/>
      <c r="AN622" s="20" t="s">
        <v>99</v>
      </c>
      <c r="AP622" s="20" t="s">
        <v>84</v>
      </c>
      <c r="AQ622" s="20" t="s">
        <v>100</v>
      </c>
    </row>
    <row r="623" spans="1:43" ht="16">
      <c r="A623" s="20">
        <v>4445054501</v>
      </c>
      <c r="B623" s="49">
        <v>160091</v>
      </c>
      <c r="C623" s="20" t="s">
        <v>2102</v>
      </c>
      <c r="D623" s="20" t="s">
        <v>1633</v>
      </c>
      <c r="E623" s="20" t="s">
        <v>3022</v>
      </c>
      <c r="F623" s="20" t="s">
        <v>70</v>
      </c>
      <c r="G623" s="20" t="s">
        <v>70</v>
      </c>
      <c r="H623" s="20" t="s">
        <v>48</v>
      </c>
      <c r="I623" s="20" t="s">
        <v>70</v>
      </c>
      <c r="J623" s="32" t="s">
        <v>3023</v>
      </c>
      <c r="K623" s="32" t="s">
        <v>3023</v>
      </c>
      <c r="L623" s="23" t="s">
        <v>2992</v>
      </c>
      <c r="M623" s="24" t="s">
        <v>7743</v>
      </c>
      <c r="N623" s="23">
        <v>18707000</v>
      </c>
      <c r="O623" s="25" t="s">
        <v>93</v>
      </c>
      <c r="P623" s="25" t="s">
        <v>53</v>
      </c>
      <c r="Q623" s="20" t="s">
        <v>3024</v>
      </c>
      <c r="R623" s="20">
        <v>62025786</v>
      </c>
      <c r="S623" s="25" t="s">
        <v>55</v>
      </c>
      <c r="T623" s="26" t="s">
        <v>56</v>
      </c>
      <c r="U623" s="23">
        <v>357894929480817</v>
      </c>
      <c r="V623" s="27" t="s">
        <v>78</v>
      </c>
      <c r="W623" s="20" t="s">
        <v>95</v>
      </c>
      <c r="X623" s="20" t="s">
        <v>95</v>
      </c>
      <c r="Y623" s="20" t="s">
        <v>95</v>
      </c>
      <c r="Z623" s="20" t="s">
        <v>60</v>
      </c>
      <c r="AA623" s="20" t="s">
        <v>61</v>
      </c>
      <c r="AB623" s="20" t="s">
        <v>82</v>
      </c>
      <c r="AC623" s="28">
        <v>559.48</v>
      </c>
      <c r="AD623" s="28">
        <f>SUM(BASE[[#This Row],[MONTO DE RENTA ]]*1.16)</f>
        <v>648.99680000000001</v>
      </c>
      <c r="AE623" s="28" t="s">
        <v>83</v>
      </c>
      <c r="AF623" s="28">
        <v>559.48275862068965</v>
      </c>
      <c r="AG623" s="28">
        <v>649</v>
      </c>
      <c r="AI623" s="63">
        <v>44937</v>
      </c>
      <c r="AJ623" s="73">
        <v>46043</v>
      </c>
      <c r="AK62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23" s="30"/>
      <c r="AN623" s="20" t="s">
        <v>99</v>
      </c>
      <c r="AP623" s="20" t="s">
        <v>84</v>
      </c>
      <c r="AQ623" s="20" t="s">
        <v>100</v>
      </c>
    </row>
    <row r="624" spans="1:43" ht="16">
      <c r="A624" s="20">
        <v>6671552859</v>
      </c>
      <c r="B624" s="21">
        <v>80646</v>
      </c>
      <c r="C624" s="20" t="s">
        <v>3025</v>
      </c>
      <c r="D624" s="20" t="s">
        <v>507</v>
      </c>
      <c r="E624" s="20" t="s">
        <v>143</v>
      </c>
      <c r="F624" s="20" t="s">
        <v>483</v>
      </c>
      <c r="G624" s="20" t="s">
        <v>47</v>
      </c>
      <c r="H624" s="20" t="s">
        <v>48</v>
      </c>
      <c r="I624" s="20" t="s">
        <v>483</v>
      </c>
      <c r="J624" s="22" t="s">
        <v>3026</v>
      </c>
      <c r="K624" s="22" t="s">
        <v>3026</v>
      </c>
      <c r="L624" s="23" t="s">
        <v>2934</v>
      </c>
      <c r="M624" s="24" t="s">
        <v>7740</v>
      </c>
      <c r="N624" s="23">
        <v>18670000</v>
      </c>
      <c r="O624" s="25" t="s">
        <v>866</v>
      </c>
      <c r="P624" s="25" t="s">
        <v>53</v>
      </c>
      <c r="Q624" s="20" t="s">
        <v>3027</v>
      </c>
      <c r="R624" s="20">
        <v>22031374</v>
      </c>
      <c r="S624" s="25" t="s">
        <v>3028</v>
      </c>
      <c r="T624" s="26" t="s">
        <v>57</v>
      </c>
      <c r="U624" s="23">
        <v>860900062735816</v>
      </c>
      <c r="V624" s="27" t="s">
        <v>57</v>
      </c>
      <c r="W624" s="20" t="s">
        <v>58</v>
      </c>
      <c r="X624" s="20" t="s">
        <v>59</v>
      </c>
      <c r="Y624" s="20" t="s">
        <v>59</v>
      </c>
      <c r="Z624" s="20" t="s">
        <v>131</v>
      </c>
      <c r="AA624" s="20" t="s">
        <v>132</v>
      </c>
      <c r="AB624" s="20" t="s">
        <v>96</v>
      </c>
      <c r="AC624" s="28">
        <v>369.83</v>
      </c>
      <c r="AD624" s="28">
        <f>SUM(BASE[[#This Row],[MONTO DE RENTA ]]*1.16)</f>
        <v>429.00279999999998</v>
      </c>
      <c r="AE624" s="28" t="s">
        <v>63</v>
      </c>
      <c r="AF624" s="28">
        <v>369.82758620689657</v>
      </c>
      <c r="AG624" s="28">
        <v>429</v>
      </c>
      <c r="AH624" s="22" t="s">
        <v>64</v>
      </c>
      <c r="AI624" s="63">
        <v>45703</v>
      </c>
      <c r="AJ624" s="63">
        <v>46433</v>
      </c>
      <c r="AK6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4" s="30"/>
      <c r="AN624" s="20" t="s">
        <v>65</v>
      </c>
      <c r="AP624" s="20" t="s">
        <v>84</v>
      </c>
    </row>
    <row r="625" spans="1:43" ht="16" customHeight="1">
      <c r="A625" s="20">
        <v>6671348659</v>
      </c>
      <c r="B625" s="21">
        <v>1003073</v>
      </c>
      <c r="C625" s="20" t="s">
        <v>3029</v>
      </c>
      <c r="D625" s="20" t="s">
        <v>1680</v>
      </c>
      <c r="E625" s="20" t="s">
        <v>3030</v>
      </c>
      <c r="F625" s="20" t="s">
        <v>3031</v>
      </c>
      <c r="G625" s="20" t="s">
        <v>248</v>
      </c>
      <c r="H625" s="20" t="s">
        <v>48</v>
      </c>
      <c r="I625" s="20" t="s">
        <v>3031</v>
      </c>
      <c r="J625" s="22" t="s">
        <v>3032</v>
      </c>
      <c r="K625" s="22" t="s">
        <v>3032</v>
      </c>
      <c r="L625" s="23" t="s">
        <v>2934</v>
      </c>
      <c r="M625" s="24" t="s">
        <v>7740</v>
      </c>
      <c r="N625" s="23">
        <v>18708000</v>
      </c>
      <c r="O625" s="25" t="s">
        <v>866</v>
      </c>
      <c r="P625" s="25" t="s">
        <v>53</v>
      </c>
      <c r="Q625" s="20" t="s">
        <v>3033</v>
      </c>
      <c r="R625" s="20">
        <v>22020393</v>
      </c>
      <c r="S625" s="25" t="s">
        <v>3034</v>
      </c>
      <c r="T625" s="26" t="s">
        <v>57</v>
      </c>
      <c r="U625" s="23">
        <v>860900062735758</v>
      </c>
      <c r="V625" s="27" t="s">
        <v>57</v>
      </c>
      <c r="W625" s="20" t="s">
        <v>58</v>
      </c>
      <c r="X625" s="20" t="s">
        <v>59</v>
      </c>
      <c r="Y625" s="20" t="s">
        <v>59</v>
      </c>
      <c r="Z625" s="20" t="s">
        <v>131</v>
      </c>
      <c r="AA625" s="20" t="s">
        <v>132</v>
      </c>
      <c r="AB625" s="20" t="s">
        <v>96</v>
      </c>
      <c r="AC625" s="28">
        <v>369.83</v>
      </c>
      <c r="AD625" s="28">
        <f>SUM(BASE[[#This Row],[MONTO DE RENTA ]]*1.16)</f>
        <v>429.00279999999998</v>
      </c>
      <c r="AE625" s="28" t="s">
        <v>63</v>
      </c>
      <c r="AF625" s="28">
        <v>369.82758620689657</v>
      </c>
      <c r="AG625" s="28">
        <v>429</v>
      </c>
      <c r="AH625" s="22" t="s">
        <v>64</v>
      </c>
      <c r="AI625" s="63">
        <v>45703</v>
      </c>
      <c r="AJ625" s="63">
        <v>46433</v>
      </c>
      <c r="AK6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5" s="30"/>
      <c r="AN625" s="20" t="s">
        <v>65</v>
      </c>
      <c r="AP625" s="20" t="s">
        <v>84</v>
      </c>
    </row>
    <row r="626" spans="1:43" ht="16">
      <c r="A626" s="20">
        <v>6671341790</v>
      </c>
      <c r="B626" s="21">
        <v>1005940</v>
      </c>
      <c r="C626" s="20" t="s">
        <v>3035</v>
      </c>
      <c r="D626" s="20" t="s">
        <v>657</v>
      </c>
      <c r="E626" s="20" t="s">
        <v>3036</v>
      </c>
      <c r="F626" s="20" t="s">
        <v>257</v>
      </c>
      <c r="G626" s="20" t="s">
        <v>104</v>
      </c>
      <c r="H626" s="20" t="s">
        <v>48</v>
      </c>
      <c r="I626" s="20" t="s">
        <v>257</v>
      </c>
      <c r="J626" s="22" t="s">
        <v>3037</v>
      </c>
      <c r="K626" s="22" t="s">
        <v>3037</v>
      </c>
      <c r="L626" s="23" t="s">
        <v>2934</v>
      </c>
      <c r="M626" s="24" t="s">
        <v>7740</v>
      </c>
      <c r="N626" s="23">
        <v>18664000</v>
      </c>
      <c r="O626" s="25" t="s">
        <v>866</v>
      </c>
      <c r="P626" s="25" t="s">
        <v>53</v>
      </c>
      <c r="Q626" s="20" t="s">
        <v>3038</v>
      </c>
      <c r="R626" s="20">
        <v>21986495</v>
      </c>
      <c r="S626" s="25" t="s">
        <v>3039</v>
      </c>
      <c r="T626" s="26" t="s">
        <v>57</v>
      </c>
      <c r="U626" s="23">
        <v>860478064845271</v>
      </c>
      <c r="V626" s="45" t="s">
        <v>110</v>
      </c>
      <c r="W626" s="20" t="s">
        <v>302</v>
      </c>
      <c r="X626" s="20" t="s">
        <v>303</v>
      </c>
      <c r="Y626" s="20" t="s">
        <v>303</v>
      </c>
      <c r="Z626" s="20" t="s">
        <v>131</v>
      </c>
      <c r="AA626" s="20" t="s">
        <v>132</v>
      </c>
      <c r="AB626" s="20" t="s">
        <v>96</v>
      </c>
      <c r="AC626" s="28">
        <v>369.83</v>
      </c>
      <c r="AD626" s="28">
        <f>SUM(BASE[[#This Row],[MONTO DE RENTA ]]*1.16)</f>
        <v>429.00279999999998</v>
      </c>
      <c r="AE626" s="28" t="s">
        <v>97</v>
      </c>
      <c r="AF626" s="28">
        <v>473.27586206896552</v>
      </c>
      <c r="AG626" s="28">
        <v>549</v>
      </c>
      <c r="AH626" s="22" t="s">
        <v>64</v>
      </c>
      <c r="AI626" s="29">
        <v>45703</v>
      </c>
      <c r="AJ626" s="29">
        <v>46433</v>
      </c>
      <c r="AK6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6" s="30"/>
      <c r="AN626" s="20" t="s">
        <v>65</v>
      </c>
      <c r="AP626" s="20" t="s">
        <v>66</v>
      </c>
    </row>
    <row r="627" spans="1:43" ht="15" customHeight="1">
      <c r="A627" s="20">
        <v>6671297018</v>
      </c>
      <c r="B627" s="21">
        <v>1005940</v>
      </c>
      <c r="C627" s="20" t="s">
        <v>3035</v>
      </c>
      <c r="D627" s="20" t="s">
        <v>657</v>
      </c>
      <c r="E627" s="20" t="s">
        <v>3036</v>
      </c>
      <c r="F627" s="20" t="s">
        <v>257</v>
      </c>
      <c r="G627" s="20" t="s">
        <v>104</v>
      </c>
      <c r="H627" s="20" t="s">
        <v>48</v>
      </c>
      <c r="I627" s="20" t="s">
        <v>257</v>
      </c>
      <c r="J627" s="22" t="s">
        <v>3040</v>
      </c>
      <c r="K627" s="22" t="s">
        <v>3040</v>
      </c>
      <c r="L627" s="23" t="s">
        <v>2934</v>
      </c>
      <c r="M627" s="24" t="s">
        <v>7740</v>
      </c>
      <c r="N627" s="23">
        <v>18664000</v>
      </c>
      <c r="O627" s="25" t="s">
        <v>866</v>
      </c>
      <c r="P627" s="25" t="s">
        <v>53</v>
      </c>
      <c r="Q627" s="20" t="s">
        <v>3041</v>
      </c>
      <c r="R627" s="20">
        <v>22026190</v>
      </c>
      <c r="S627" s="25" t="s">
        <v>3042</v>
      </c>
      <c r="T627" s="26" t="s">
        <v>57</v>
      </c>
      <c r="U627" s="23">
        <v>860478060199244</v>
      </c>
      <c r="V627" s="45" t="s">
        <v>110</v>
      </c>
      <c r="W627" s="20" t="s">
        <v>302</v>
      </c>
      <c r="X627" s="20" t="s">
        <v>303</v>
      </c>
      <c r="Y627" s="20" t="s">
        <v>303</v>
      </c>
      <c r="Z627" s="20" t="s">
        <v>131</v>
      </c>
      <c r="AA627" s="20" t="s">
        <v>132</v>
      </c>
      <c r="AB627" s="20" t="s">
        <v>82</v>
      </c>
      <c r="AC627" s="28">
        <v>559.48</v>
      </c>
      <c r="AD627" s="28">
        <f>SUM(BASE[[#This Row],[MONTO DE RENTA ]]*1.16)</f>
        <v>648.99680000000001</v>
      </c>
      <c r="AE627" s="28" t="s">
        <v>83</v>
      </c>
      <c r="AF627" s="28">
        <v>559.48275862068965</v>
      </c>
      <c r="AG627" s="28">
        <v>649</v>
      </c>
      <c r="AH627" s="22" t="s">
        <v>64</v>
      </c>
      <c r="AI627" s="29">
        <v>45703</v>
      </c>
      <c r="AJ627" s="29">
        <v>46433</v>
      </c>
      <c r="AK6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27" s="30"/>
      <c r="AN627" s="20" t="s">
        <v>65</v>
      </c>
      <c r="AP627" s="20" t="s">
        <v>84</v>
      </c>
    </row>
    <row r="628" spans="1:43" s="69" customFormat="1" ht="16">
      <c r="A628" s="20">
        <v>6671295534</v>
      </c>
      <c r="B628" s="21">
        <v>80851</v>
      </c>
      <c r="C628" s="20" t="s">
        <v>1862</v>
      </c>
      <c r="D628" s="20" t="s">
        <v>1694</v>
      </c>
      <c r="E628" s="20" t="s">
        <v>818</v>
      </c>
      <c r="F628" s="20" t="s">
        <v>104</v>
      </c>
      <c r="G628" s="20" t="s">
        <v>104</v>
      </c>
      <c r="H628" s="20" t="s">
        <v>48</v>
      </c>
      <c r="I628" s="20" t="s">
        <v>104</v>
      </c>
      <c r="J628" s="22" t="s">
        <v>3043</v>
      </c>
      <c r="K628" s="22" t="s">
        <v>3043</v>
      </c>
      <c r="L628" s="23" t="s">
        <v>2934</v>
      </c>
      <c r="M628" s="24" t="s">
        <v>7740</v>
      </c>
      <c r="N628" s="23">
        <v>18708000</v>
      </c>
      <c r="O628" s="25" t="s">
        <v>866</v>
      </c>
      <c r="P628" s="25" t="s">
        <v>53</v>
      </c>
      <c r="Q628" s="20" t="s">
        <v>3044</v>
      </c>
      <c r="R628" s="20">
        <v>22026187</v>
      </c>
      <c r="S628" s="25" t="s">
        <v>3045</v>
      </c>
      <c r="T628" s="26" t="s">
        <v>57</v>
      </c>
      <c r="U628" s="23">
        <v>860478062352452</v>
      </c>
      <c r="V628" s="45" t="s">
        <v>110</v>
      </c>
      <c r="W628" s="20" t="s">
        <v>302</v>
      </c>
      <c r="X628" s="20" t="s">
        <v>303</v>
      </c>
      <c r="Y628" s="20" t="s">
        <v>303</v>
      </c>
      <c r="Z628" s="20" t="s">
        <v>131</v>
      </c>
      <c r="AA628" s="20" t="s">
        <v>132</v>
      </c>
      <c r="AB628" s="20" t="s">
        <v>82</v>
      </c>
      <c r="AC628" s="28">
        <v>559.48</v>
      </c>
      <c r="AD628" s="28">
        <f>SUM(BASE[[#This Row],[MONTO DE RENTA ]]*1.16)</f>
        <v>648.99680000000001</v>
      </c>
      <c r="AE628" s="28" t="s">
        <v>83</v>
      </c>
      <c r="AF628" s="28">
        <v>559.48275862068965</v>
      </c>
      <c r="AG628" s="28">
        <v>649</v>
      </c>
      <c r="AH628" s="22" t="s">
        <v>64</v>
      </c>
      <c r="AI628" s="63">
        <v>45703</v>
      </c>
      <c r="AJ628" s="63">
        <v>46433</v>
      </c>
      <c r="AK6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628" s="20"/>
      <c r="AM628" s="30"/>
      <c r="AN628" s="20" t="s">
        <v>65</v>
      </c>
      <c r="AO628" s="20"/>
      <c r="AP628" s="20" t="s">
        <v>84</v>
      </c>
      <c r="AQ628" s="20"/>
    </row>
    <row r="629" spans="1:43" ht="16">
      <c r="A629" s="20">
        <v>6672368969</v>
      </c>
      <c r="B629" s="49">
        <v>80852</v>
      </c>
      <c r="C629" s="20" t="s">
        <v>1648</v>
      </c>
      <c r="D629" s="20" t="s">
        <v>437</v>
      </c>
      <c r="E629" s="20" t="s">
        <v>519</v>
      </c>
      <c r="F629" s="20" t="s">
        <v>104</v>
      </c>
      <c r="G629" s="20" t="s">
        <v>104</v>
      </c>
      <c r="H629" s="20" t="s">
        <v>48</v>
      </c>
      <c r="I629" s="20" t="s">
        <v>104</v>
      </c>
      <c r="J629" s="22" t="s">
        <v>3046</v>
      </c>
      <c r="K629" s="22" t="s">
        <v>3046</v>
      </c>
      <c r="L629" s="23" t="s">
        <v>2934</v>
      </c>
      <c r="M629" s="24" t="s">
        <v>7740</v>
      </c>
      <c r="N629" s="23">
        <v>18708000</v>
      </c>
      <c r="O629" s="25" t="s">
        <v>866</v>
      </c>
      <c r="P629" s="25" t="s">
        <v>53</v>
      </c>
      <c r="Q629" s="20" t="s">
        <v>3047</v>
      </c>
      <c r="R629" s="20">
        <v>22771648</v>
      </c>
      <c r="S629" s="25" t="s">
        <v>55</v>
      </c>
      <c r="T629" s="26" t="s">
        <v>56</v>
      </c>
      <c r="U629" s="23">
        <v>867353050207765</v>
      </c>
      <c r="V629" s="45" t="s">
        <v>110</v>
      </c>
      <c r="W629" s="20" t="s">
        <v>149</v>
      </c>
      <c r="X629" s="20" t="s">
        <v>150</v>
      </c>
      <c r="Y629" s="20" t="s">
        <v>150</v>
      </c>
      <c r="Z629" s="20" t="s">
        <v>60</v>
      </c>
      <c r="AA629" s="20" t="s">
        <v>61</v>
      </c>
      <c r="AB629" s="20" t="s">
        <v>96</v>
      </c>
      <c r="AC629" s="28">
        <v>369.83</v>
      </c>
      <c r="AD629" s="28">
        <f>SUM(BASE[[#This Row],[MONTO DE RENTA ]]*1.16)</f>
        <v>429.00279999999998</v>
      </c>
      <c r="AE629" s="28" t="s">
        <v>97</v>
      </c>
      <c r="AF629" s="28">
        <v>473.27586206896552</v>
      </c>
      <c r="AG629" s="28">
        <v>549</v>
      </c>
      <c r="AI629" s="63">
        <v>44937</v>
      </c>
      <c r="AJ629" s="73">
        <v>46043</v>
      </c>
      <c r="AK62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29" s="30"/>
      <c r="AN629" s="20" t="s">
        <v>99</v>
      </c>
      <c r="AP629" s="20" t="s">
        <v>66</v>
      </c>
      <c r="AQ629" s="20" t="s">
        <v>100</v>
      </c>
    </row>
    <row r="630" spans="1:43" ht="16">
      <c r="A630" s="20">
        <v>6671307256</v>
      </c>
      <c r="B630" s="21">
        <v>80524</v>
      </c>
      <c r="C630" s="20" t="s">
        <v>3048</v>
      </c>
      <c r="D630" s="20" t="s">
        <v>1694</v>
      </c>
      <c r="E630" s="20" t="s">
        <v>657</v>
      </c>
      <c r="F630" s="20" t="s">
        <v>104</v>
      </c>
      <c r="G630" s="20" t="s">
        <v>104</v>
      </c>
      <c r="H630" s="20" t="s">
        <v>48</v>
      </c>
      <c r="I630" s="20" t="s">
        <v>104</v>
      </c>
      <c r="J630" s="54" t="s">
        <v>3049</v>
      </c>
      <c r="K630" s="54" t="s">
        <v>3049</v>
      </c>
      <c r="L630" s="23" t="s">
        <v>2934</v>
      </c>
      <c r="M630" s="24" t="s">
        <v>7740</v>
      </c>
      <c r="N630" s="23">
        <v>18708000</v>
      </c>
      <c r="O630" s="25" t="s">
        <v>866</v>
      </c>
      <c r="P630" s="25" t="s">
        <v>53</v>
      </c>
      <c r="Q630" s="20" t="s">
        <v>3050</v>
      </c>
      <c r="R630" s="20">
        <v>22005761</v>
      </c>
      <c r="S630" s="25" t="s">
        <v>3051</v>
      </c>
      <c r="T630" s="81" t="s">
        <v>57</v>
      </c>
      <c r="U630" s="23">
        <v>860796063913018</v>
      </c>
      <c r="V630" s="45" t="s">
        <v>110</v>
      </c>
      <c r="W630" s="20" t="s">
        <v>353</v>
      </c>
      <c r="X630" s="20" t="s">
        <v>354</v>
      </c>
      <c r="Y630" s="20" t="s">
        <v>354</v>
      </c>
      <c r="Z630" s="20" t="s">
        <v>131</v>
      </c>
      <c r="AA630" s="20" t="s">
        <v>132</v>
      </c>
      <c r="AB630" s="20" t="s">
        <v>82</v>
      </c>
      <c r="AC630" s="28">
        <v>559.48</v>
      </c>
      <c r="AD630" s="28">
        <f>SUM(BASE[[#This Row],[MONTO DE RENTA ]]*1.16)</f>
        <v>648.99680000000001</v>
      </c>
      <c r="AE630" s="28" t="s">
        <v>83</v>
      </c>
      <c r="AF630" s="28">
        <v>559.48275862068965</v>
      </c>
      <c r="AG630" s="28">
        <v>649</v>
      </c>
      <c r="AI630" s="63">
        <v>45377</v>
      </c>
      <c r="AJ630" s="63">
        <v>46107</v>
      </c>
      <c r="AK630" s="30">
        <f ca="1">IFERROR(IF(BASE[[#This Row],[FECHA DE RENOVACION ]]&gt;TODAY(), DATEDIF(TODAY(),BASE[[#This Row],[FECHA DE RENOVACION ]],"M"), -DATEDIF(BASE[[#This Row],[FECHA DE RENOVACION ]],TODAY(),"M")), "Sin fecha")</f>
        <v>0</v>
      </c>
      <c r="AM630" s="30"/>
      <c r="AN630" s="20" t="s">
        <v>99</v>
      </c>
      <c r="AP630" s="20" t="s">
        <v>84</v>
      </c>
      <c r="AQ630" s="20" t="s">
        <v>100</v>
      </c>
    </row>
    <row r="631" spans="1:43" ht="16">
      <c r="A631" s="20">
        <v>6674311394</v>
      </c>
      <c r="B631" s="21">
        <v>80896</v>
      </c>
      <c r="C631" s="20" t="s">
        <v>3052</v>
      </c>
      <c r="D631" s="20" t="s">
        <v>1433</v>
      </c>
      <c r="E631" s="20" t="s">
        <v>2161</v>
      </c>
      <c r="F631" s="20" t="s">
        <v>104</v>
      </c>
      <c r="G631" s="20" t="s">
        <v>122</v>
      </c>
      <c r="H631" s="20" t="s">
        <v>48</v>
      </c>
      <c r="I631" s="20" t="s">
        <v>104</v>
      </c>
      <c r="J631" s="32" t="s">
        <v>3053</v>
      </c>
      <c r="K631" s="32" t="s">
        <v>3053</v>
      </c>
      <c r="L631" s="23" t="s">
        <v>2934</v>
      </c>
      <c r="M631" s="24" t="s">
        <v>7740</v>
      </c>
      <c r="N631" s="23">
        <v>18708000</v>
      </c>
      <c r="O631" s="25" t="s">
        <v>866</v>
      </c>
      <c r="P631" s="25" t="s">
        <v>53</v>
      </c>
      <c r="Q631" s="20" t="s">
        <v>3054</v>
      </c>
      <c r="R631" s="20">
        <v>22098886</v>
      </c>
      <c r="S631" s="25" t="s">
        <v>3055</v>
      </c>
      <c r="T631" s="26" t="s">
        <v>57</v>
      </c>
      <c r="U631" s="23">
        <v>860900062731963</v>
      </c>
      <c r="V631" s="27" t="s">
        <v>57</v>
      </c>
      <c r="W631" s="20" t="s">
        <v>58</v>
      </c>
      <c r="X631" s="20" t="s">
        <v>59</v>
      </c>
      <c r="Y631" s="20" t="s">
        <v>59</v>
      </c>
      <c r="Z631" s="20" t="s">
        <v>131</v>
      </c>
      <c r="AA631" s="20" t="s">
        <v>132</v>
      </c>
      <c r="AB631" s="20" t="s">
        <v>96</v>
      </c>
      <c r="AC631" s="28">
        <v>369.83</v>
      </c>
      <c r="AD631" s="28">
        <f>SUM(BASE[[#This Row],[MONTO DE RENTA ]]*1.16)</f>
        <v>429.00279999999998</v>
      </c>
      <c r="AE631" s="28" t="s">
        <v>63</v>
      </c>
      <c r="AF631" s="28">
        <v>369.82758620689657</v>
      </c>
      <c r="AG631" s="28">
        <v>429</v>
      </c>
      <c r="AH631" s="22" t="s">
        <v>64</v>
      </c>
      <c r="AI631" s="63">
        <v>45703</v>
      </c>
      <c r="AJ631" s="63">
        <v>46433</v>
      </c>
      <c r="AK6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1" s="30"/>
      <c r="AN631" s="20" t="s">
        <v>65</v>
      </c>
      <c r="AP631" s="20" t="s">
        <v>84</v>
      </c>
    </row>
    <row r="632" spans="1:43" ht="16">
      <c r="A632" s="20">
        <v>8116697455</v>
      </c>
      <c r="B632" s="21">
        <v>100484</v>
      </c>
      <c r="C632" s="20" t="s">
        <v>263</v>
      </c>
      <c r="D632" s="20" t="s">
        <v>358</v>
      </c>
      <c r="E632" s="20" t="s">
        <v>3056</v>
      </c>
      <c r="F632" s="20" t="s">
        <v>3057</v>
      </c>
      <c r="G632" s="20" t="s">
        <v>104</v>
      </c>
      <c r="H632" s="20" t="s">
        <v>48</v>
      </c>
      <c r="I632" s="20" t="s">
        <v>3057</v>
      </c>
      <c r="J632" s="32" t="s">
        <v>3058</v>
      </c>
      <c r="K632" s="32" t="s">
        <v>3058</v>
      </c>
      <c r="L632" s="23" t="s">
        <v>3059</v>
      </c>
      <c r="M632" s="24" t="s">
        <v>7737</v>
      </c>
      <c r="N632" s="23">
        <v>18710000</v>
      </c>
      <c r="O632" s="25" t="s">
        <v>74</v>
      </c>
      <c r="P632" s="25" t="s">
        <v>53</v>
      </c>
      <c r="Q632" s="20" t="s">
        <v>3060</v>
      </c>
      <c r="R632" s="20">
        <v>43090257</v>
      </c>
      <c r="S632" s="25" t="s">
        <v>3061</v>
      </c>
      <c r="T632" s="26" t="s">
        <v>57</v>
      </c>
      <c r="U632" s="23">
        <v>860478060660773</v>
      </c>
      <c r="V632" s="45" t="s">
        <v>110</v>
      </c>
      <c r="W632" s="20" t="s">
        <v>302</v>
      </c>
      <c r="X632" s="20" t="s">
        <v>303</v>
      </c>
      <c r="Y632" s="20" t="s">
        <v>303</v>
      </c>
      <c r="Z632" s="20" t="s">
        <v>80</v>
      </c>
      <c r="AA632" s="20" t="s">
        <v>81</v>
      </c>
      <c r="AB632" s="20" t="s">
        <v>82</v>
      </c>
      <c r="AC632" s="28">
        <v>559.48</v>
      </c>
      <c r="AD632" s="28">
        <f>SUM(BASE[[#This Row],[MONTO DE RENTA ]]*1.16)</f>
        <v>648.99680000000001</v>
      </c>
      <c r="AE632" s="28" t="s">
        <v>83</v>
      </c>
      <c r="AF632" s="28">
        <v>559.48275862068965</v>
      </c>
      <c r="AG632" s="28">
        <v>649</v>
      </c>
      <c r="AH632" s="22" t="s">
        <v>64</v>
      </c>
      <c r="AI632" s="63">
        <v>45703</v>
      </c>
      <c r="AJ632" s="63">
        <v>46433</v>
      </c>
      <c r="AK6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2" s="30"/>
      <c r="AN632" s="20" t="s">
        <v>65</v>
      </c>
      <c r="AP632" s="20" t="s">
        <v>84</v>
      </c>
    </row>
    <row r="633" spans="1:43" ht="16">
      <c r="A633" s="34">
        <v>6672515502</v>
      </c>
      <c r="B633" s="76">
        <v>11517</v>
      </c>
      <c r="C633" s="34" t="s">
        <v>410</v>
      </c>
      <c r="D633" s="34" t="s">
        <v>462</v>
      </c>
      <c r="E633" s="34" t="s">
        <v>3062</v>
      </c>
      <c r="F633" s="34" t="s">
        <v>70</v>
      </c>
      <c r="G633" s="20" t="s">
        <v>70</v>
      </c>
      <c r="H633" s="34" t="s">
        <v>48</v>
      </c>
      <c r="I633" s="34" t="s">
        <v>70</v>
      </c>
      <c r="J633" s="36" t="s">
        <v>3063</v>
      </c>
      <c r="K633" s="36" t="s">
        <v>3063</v>
      </c>
      <c r="L633" s="38" t="s">
        <v>2934</v>
      </c>
      <c r="M633" s="77" t="s">
        <v>7740</v>
      </c>
      <c r="N633" s="38">
        <v>18708000</v>
      </c>
      <c r="O633" s="110" t="s">
        <v>866</v>
      </c>
      <c r="P633" s="25" t="s">
        <v>53</v>
      </c>
      <c r="Q633" s="34" t="s">
        <v>3064</v>
      </c>
      <c r="R633" s="34">
        <v>21913989</v>
      </c>
      <c r="S633" s="110" t="s">
        <v>55</v>
      </c>
      <c r="T633" s="39" t="s">
        <v>56</v>
      </c>
      <c r="U633" s="38">
        <v>357894928320121</v>
      </c>
      <c r="V633" s="60" t="s">
        <v>78</v>
      </c>
      <c r="W633" s="34" t="s">
        <v>95</v>
      </c>
      <c r="X633" s="20" t="s">
        <v>95</v>
      </c>
      <c r="Y633" s="20" t="s">
        <v>95</v>
      </c>
      <c r="Z633" s="34" t="s">
        <v>60</v>
      </c>
      <c r="AA633" s="34" t="s">
        <v>61</v>
      </c>
      <c r="AB633" s="34" t="s">
        <v>82</v>
      </c>
      <c r="AC633" s="111">
        <v>559.48</v>
      </c>
      <c r="AD633" s="111">
        <f>SUM(BASE[[#This Row],[MONTO DE RENTA ]]*1.16)</f>
        <v>648.99680000000001</v>
      </c>
      <c r="AE633" s="111" t="s">
        <v>83</v>
      </c>
      <c r="AF633" s="111">
        <v>559.48275862068965</v>
      </c>
      <c r="AG633" s="111">
        <v>649</v>
      </c>
      <c r="AH633" s="36" t="s">
        <v>64</v>
      </c>
      <c r="AI633" s="84">
        <v>45323</v>
      </c>
      <c r="AJ633" s="84">
        <v>46054</v>
      </c>
      <c r="AK633" s="42">
        <f ca="1">IFERROR(IF(BASE[[#This Row],[FECHA DE RENOVACION ]]&gt;TODAY(), DATEDIF(TODAY(),BASE[[#This Row],[FECHA DE RENOVACION ]],"M"), -DATEDIF(BASE[[#This Row],[FECHA DE RENOVACION ]],TODAY(),"M")), "Sin fecha")</f>
        <v>-1</v>
      </c>
      <c r="AL633" s="34"/>
      <c r="AM633" s="42"/>
      <c r="AN633" s="20" t="s">
        <v>99</v>
      </c>
      <c r="AP633" s="20" t="s">
        <v>84</v>
      </c>
      <c r="AQ633" s="20" t="s">
        <v>100</v>
      </c>
    </row>
    <row r="634" spans="1:43" ht="16">
      <c r="A634" s="20">
        <v>8111717834</v>
      </c>
      <c r="B634" s="21">
        <v>30099</v>
      </c>
      <c r="C634" s="20" t="s">
        <v>3065</v>
      </c>
      <c r="D634" s="20" t="s">
        <v>45</v>
      </c>
      <c r="E634" s="20" t="s">
        <v>1166</v>
      </c>
      <c r="F634" s="20" t="s">
        <v>451</v>
      </c>
      <c r="G634" s="20" t="s">
        <v>47</v>
      </c>
      <c r="H634" s="20" t="s">
        <v>48</v>
      </c>
      <c r="I634" s="20" t="s">
        <v>451</v>
      </c>
      <c r="J634" s="22" t="s">
        <v>3066</v>
      </c>
      <c r="K634" s="22" t="s">
        <v>3066</v>
      </c>
      <c r="L634" s="23" t="s">
        <v>3059</v>
      </c>
      <c r="M634" s="24" t="s">
        <v>7737</v>
      </c>
      <c r="N634" s="23">
        <v>18710000</v>
      </c>
      <c r="O634" s="25" t="s">
        <v>74</v>
      </c>
      <c r="P634" s="25" t="s">
        <v>53</v>
      </c>
      <c r="Q634" s="20" t="s">
        <v>3067</v>
      </c>
      <c r="R634" s="20">
        <v>43141235</v>
      </c>
      <c r="S634" s="25" t="s">
        <v>3068</v>
      </c>
      <c r="T634" s="26" t="s">
        <v>57</v>
      </c>
      <c r="U634" s="23">
        <v>860900062334743</v>
      </c>
      <c r="V634" s="27" t="s">
        <v>57</v>
      </c>
      <c r="W634" s="20" t="s">
        <v>58</v>
      </c>
      <c r="X634" s="20" t="s">
        <v>59</v>
      </c>
      <c r="Y634" s="20" t="s">
        <v>59</v>
      </c>
      <c r="Z634" s="20" t="s">
        <v>167</v>
      </c>
      <c r="AA634" s="20" t="s">
        <v>168</v>
      </c>
      <c r="AB634" s="20" t="s">
        <v>96</v>
      </c>
      <c r="AC634" s="28">
        <v>369.83</v>
      </c>
      <c r="AD634" s="28">
        <f>SUM(BASE[[#This Row],[MONTO DE RENTA ]]*1.16)</f>
        <v>429.00279999999998</v>
      </c>
      <c r="AE634" s="28" t="s">
        <v>63</v>
      </c>
      <c r="AF634" s="28">
        <v>369.82758620689657</v>
      </c>
      <c r="AG634" s="28">
        <v>429</v>
      </c>
      <c r="AH634" s="22" t="s">
        <v>64</v>
      </c>
      <c r="AI634" s="63">
        <v>45703</v>
      </c>
      <c r="AJ634" s="63">
        <v>46433</v>
      </c>
      <c r="AK6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4" s="30"/>
      <c r="AN634" s="20" t="s">
        <v>65</v>
      </c>
      <c r="AP634" s="20" t="s">
        <v>84</v>
      </c>
    </row>
    <row r="635" spans="1:43" ht="16">
      <c r="A635" s="20">
        <v>8113963441</v>
      </c>
      <c r="B635" s="190">
        <v>1030269</v>
      </c>
      <c r="C635" s="20" t="s">
        <v>3069</v>
      </c>
      <c r="D635" s="20" t="s">
        <v>347</v>
      </c>
      <c r="E635" s="20" t="s">
        <v>749</v>
      </c>
      <c r="F635" s="20" t="s">
        <v>509</v>
      </c>
      <c r="G635" s="20" t="s">
        <v>248</v>
      </c>
      <c r="H635" s="20" t="s">
        <v>48</v>
      </c>
      <c r="I635" s="20" t="s">
        <v>509</v>
      </c>
      <c r="J635" s="22" t="s">
        <v>3070</v>
      </c>
      <c r="K635" s="22" t="s">
        <v>3070</v>
      </c>
      <c r="L635" s="23" t="s">
        <v>3059</v>
      </c>
      <c r="M635" s="24" t="s">
        <v>7737</v>
      </c>
      <c r="N635" s="23">
        <v>18861000</v>
      </c>
      <c r="O635" s="25" t="s">
        <v>74</v>
      </c>
      <c r="P635" s="25" t="s">
        <v>53</v>
      </c>
      <c r="Q635" s="20" t="s">
        <v>3071</v>
      </c>
      <c r="R635" s="20">
        <v>43121138</v>
      </c>
      <c r="S635" s="25" t="s">
        <v>3072</v>
      </c>
      <c r="T635" s="26" t="s">
        <v>57</v>
      </c>
      <c r="U635" s="23">
        <v>860900062335021</v>
      </c>
      <c r="V635" s="27" t="s">
        <v>57</v>
      </c>
      <c r="W635" s="20" t="s">
        <v>58</v>
      </c>
      <c r="X635" s="20" t="s">
        <v>59</v>
      </c>
      <c r="Y635" s="20" t="s">
        <v>59</v>
      </c>
      <c r="Z635" s="20" t="s">
        <v>167</v>
      </c>
      <c r="AA635" s="20" t="s">
        <v>168</v>
      </c>
      <c r="AB635" s="20" t="s">
        <v>96</v>
      </c>
      <c r="AC635" s="28">
        <v>369.83</v>
      </c>
      <c r="AD635" s="28">
        <f>SUM(BASE[[#This Row],[MONTO DE RENTA ]]*1.16)</f>
        <v>429.00279999999998</v>
      </c>
      <c r="AE635" s="28" t="s">
        <v>63</v>
      </c>
      <c r="AF635" s="28">
        <v>369.82758620689657</v>
      </c>
      <c r="AG635" s="28">
        <v>429</v>
      </c>
      <c r="AH635" s="22" t="s">
        <v>64</v>
      </c>
      <c r="AI635" s="63">
        <v>45703</v>
      </c>
      <c r="AJ635" s="63">
        <v>46433</v>
      </c>
      <c r="AK6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5" s="30"/>
      <c r="AN635" s="20" t="s">
        <v>65</v>
      </c>
      <c r="AP635" s="20" t="s">
        <v>84</v>
      </c>
    </row>
    <row r="636" spans="1:43" ht="16">
      <c r="A636" s="20">
        <v>8112177201</v>
      </c>
      <c r="B636" s="21">
        <v>40081</v>
      </c>
      <c r="C636" s="20" t="s">
        <v>3073</v>
      </c>
      <c r="D636" s="20" t="s">
        <v>3074</v>
      </c>
      <c r="E636" s="20" t="s">
        <v>45</v>
      </c>
      <c r="F636" s="20" t="s">
        <v>257</v>
      </c>
      <c r="G636" s="20" t="s">
        <v>257</v>
      </c>
      <c r="H636" s="20" t="s">
        <v>48</v>
      </c>
      <c r="I636" s="20" t="s">
        <v>257</v>
      </c>
      <c r="J636" s="22" t="s">
        <v>3075</v>
      </c>
      <c r="K636" s="22" t="s">
        <v>3075</v>
      </c>
      <c r="L636" s="23" t="s">
        <v>3059</v>
      </c>
      <c r="M636" s="24" t="s">
        <v>7737</v>
      </c>
      <c r="N636" s="23">
        <v>18710000</v>
      </c>
      <c r="O636" s="25" t="s">
        <v>74</v>
      </c>
      <c r="P636" s="25" t="s">
        <v>53</v>
      </c>
      <c r="Q636" s="20" t="s">
        <v>3076</v>
      </c>
      <c r="R636" s="20">
        <v>43090386</v>
      </c>
      <c r="S636" s="25" t="s">
        <v>3077</v>
      </c>
      <c r="T636" s="26" t="s">
        <v>57</v>
      </c>
      <c r="U636" s="23">
        <v>867353050254825</v>
      </c>
      <c r="V636" s="45" t="s">
        <v>110</v>
      </c>
      <c r="W636" s="20" t="s">
        <v>149</v>
      </c>
      <c r="X636" s="20" t="s">
        <v>150</v>
      </c>
      <c r="Y636" s="20" t="s">
        <v>150</v>
      </c>
      <c r="Z636" s="20" t="s">
        <v>80</v>
      </c>
      <c r="AA636" s="20" t="s">
        <v>81</v>
      </c>
      <c r="AB636" s="20" t="s">
        <v>82</v>
      </c>
      <c r="AC636" s="28">
        <v>559.48</v>
      </c>
      <c r="AD636" s="28">
        <f>SUM(BASE[[#This Row],[MONTO DE RENTA ]]*1.16)</f>
        <v>648.99680000000001</v>
      </c>
      <c r="AE636" s="28" t="s">
        <v>83</v>
      </c>
      <c r="AF636" s="28">
        <v>559.48275862068965</v>
      </c>
      <c r="AG636" s="28">
        <v>649</v>
      </c>
      <c r="AI636" s="63">
        <v>45213</v>
      </c>
      <c r="AJ636" s="63">
        <v>45213</v>
      </c>
      <c r="AK636" s="30">
        <f ca="1">IFERROR(IF(BASE[[#This Row],[FECHA DE RENOVACION ]]&gt;TODAY(), DATEDIF(TODAY(),BASE[[#This Row],[FECHA DE RENOVACION ]],"M"), -DATEDIF(BASE[[#This Row],[FECHA DE RENOVACION ]],TODAY(),"M")), "Sin fecha")</f>
        <v>-28</v>
      </c>
      <c r="AM636" s="30"/>
      <c r="AN636" s="20" t="s">
        <v>65</v>
      </c>
      <c r="AP636" s="20" t="s">
        <v>84</v>
      </c>
    </row>
    <row r="637" spans="1:43" ht="16">
      <c r="A637" s="20">
        <v>8112645121</v>
      </c>
      <c r="B637" s="190">
        <v>1034819</v>
      </c>
      <c r="C637" s="20" t="s">
        <v>3078</v>
      </c>
      <c r="D637" s="20" t="s">
        <v>2022</v>
      </c>
      <c r="E637" s="20" t="s">
        <v>1607</v>
      </c>
      <c r="F637" s="20" t="s">
        <v>384</v>
      </c>
      <c r="G637" s="20" t="s">
        <v>104</v>
      </c>
      <c r="H637" s="20" t="s">
        <v>48</v>
      </c>
      <c r="I637" s="20" t="s">
        <v>384</v>
      </c>
      <c r="J637" s="32" t="s">
        <v>3079</v>
      </c>
      <c r="K637" s="32" t="s">
        <v>3080</v>
      </c>
      <c r="L637" s="23" t="s">
        <v>3059</v>
      </c>
      <c r="M637" s="24" t="s">
        <v>7737</v>
      </c>
      <c r="N637" s="23">
        <v>18710000</v>
      </c>
      <c r="O637" s="25" t="s">
        <v>74</v>
      </c>
      <c r="P637" s="25" t="s">
        <v>53</v>
      </c>
      <c r="Q637" s="20" t="s">
        <v>3081</v>
      </c>
      <c r="R637" s="20">
        <v>43090331</v>
      </c>
      <c r="S637" s="25" t="s">
        <v>3082</v>
      </c>
      <c r="T637" s="26" t="s">
        <v>57</v>
      </c>
      <c r="U637" s="23">
        <v>860478062096505</v>
      </c>
      <c r="V637" s="45" t="s">
        <v>110</v>
      </c>
      <c r="W637" s="20" t="s">
        <v>302</v>
      </c>
      <c r="X637" s="20" t="s">
        <v>303</v>
      </c>
      <c r="Y637" s="20" t="s">
        <v>303</v>
      </c>
      <c r="Z637" s="20" t="s">
        <v>80</v>
      </c>
      <c r="AA637" s="20" t="s">
        <v>81</v>
      </c>
      <c r="AB637" s="20" t="s">
        <v>82</v>
      </c>
      <c r="AC637" s="28">
        <v>559.48</v>
      </c>
      <c r="AD637" s="28">
        <f>SUM(BASE[[#This Row],[MONTO DE RENTA ]]*1.16)</f>
        <v>648.99680000000001</v>
      </c>
      <c r="AE637" s="28" t="s">
        <v>83</v>
      </c>
      <c r="AF637" s="28">
        <v>559.48275862068965</v>
      </c>
      <c r="AG637" s="28">
        <v>649</v>
      </c>
      <c r="AH637" s="22" t="s">
        <v>64</v>
      </c>
      <c r="AI637" s="63">
        <v>45703</v>
      </c>
      <c r="AJ637" s="63">
        <v>46433</v>
      </c>
      <c r="AK6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37" s="30"/>
      <c r="AN637" s="20" t="s">
        <v>65</v>
      </c>
      <c r="AP637" s="20" t="s">
        <v>84</v>
      </c>
    </row>
    <row r="638" spans="1:43" ht="16">
      <c r="A638" s="34">
        <v>8120367234</v>
      </c>
      <c r="B638" s="76">
        <v>100484</v>
      </c>
      <c r="C638" s="20" t="s">
        <v>263</v>
      </c>
      <c r="D638" s="20" t="s">
        <v>358</v>
      </c>
      <c r="E638" s="20" t="s">
        <v>3056</v>
      </c>
      <c r="F638" s="20" t="s">
        <v>3057</v>
      </c>
      <c r="G638" s="20" t="s">
        <v>3057</v>
      </c>
      <c r="H638" s="20" t="s">
        <v>48</v>
      </c>
      <c r="I638" s="20" t="s">
        <v>3057</v>
      </c>
      <c r="J638" s="197" t="s">
        <v>3083</v>
      </c>
      <c r="K638" s="37" t="s">
        <v>3083</v>
      </c>
      <c r="L638" s="38" t="s">
        <v>3059</v>
      </c>
      <c r="M638" s="24" t="s">
        <v>7737</v>
      </c>
      <c r="N638" s="23">
        <v>18710000</v>
      </c>
      <c r="O638" s="25" t="s">
        <v>74</v>
      </c>
      <c r="P638" s="25" t="s">
        <v>53</v>
      </c>
      <c r="Q638" s="20" t="s">
        <v>3084</v>
      </c>
      <c r="R638" s="20">
        <v>45530612</v>
      </c>
      <c r="S638" s="25" t="s">
        <v>55</v>
      </c>
      <c r="T638" s="39" t="s">
        <v>56</v>
      </c>
      <c r="U638" s="23">
        <v>860900062336789</v>
      </c>
      <c r="V638" s="60" t="s">
        <v>183</v>
      </c>
      <c r="W638" s="20" t="s">
        <v>58</v>
      </c>
      <c r="X638" s="20" t="s">
        <v>59</v>
      </c>
      <c r="Y638" s="20" t="s">
        <v>59</v>
      </c>
      <c r="Z638" s="20" t="s">
        <v>3085</v>
      </c>
      <c r="AA638" s="20" t="s">
        <v>3086</v>
      </c>
      <c r="AB638" s="20" t="s">
        <v>244</v>
      </c>
      <c r="AC638" s="28">
        <v>473.28</v>
      </c>
      <c r="AD638" s="28">
        <f>SUM(BASE[[#This Row],[MONTO DE RENTA ]]*1.16)</f>
        <v>549.00479999999993</v>
      </c>
      <c r="AE638" s="28" t="s">
        <v>63</v>
      </c>
      <c r="AF638" s="28">
        <v>369.82758620689657</v>
      </c>
      <c r="AG638" s="28">
        <v>429</v>
      </c>
      <c r="AH638" s="36" t="s">
        <v>116</v>
      </c>
      <c r="AI638" s="84">
        <v>45918</v>
      </c>
      <c r="AJ638" s="84">
        <v>46648</v>
      </c>
      <c r="AK638" s="30">
        <f ca="1">IFERROR(IF(BASE[[#This Row],[FECHA DE RENOVACION ]]&gt;TODAY(), DATEDIF(TODAY(),BASE[[#This Row],[FECHA DE RENOVACION ]],"M"), -DATEDIF(BASE[[#This Row],[FECHA DE RENOVACION ]],TODAY(),"M")), "Sin fecha")</f>
        <v>18</v>
      </c>
      <c r="AL638" s="34"/>
      <c r="AM638" s="42"/>
      <c r="AN638" s="20" t="s">
        <v>65</v>
      </c>
      <c r="AP638" s="20" t="s">
        <v>118</v>
      </c>
    </row>
    <row r="639" spans="1:43" ht="16">
      <c r="A639" s="20">
        <v>8120296261</v>
      </c>
      <c r="B639" s="49">
        <v>10475</v>
      </c>
      <c r="C639" s="20" t="s">
        <v>3087</v>
      </c>
      <c r="D639" s="20" t="s">
        <v>3088</v>
      </c>
      <c r="E639" s="20" t="s">
        <v>1828</v>
      </c>
      <c r="F639" s="20" t="s">
        <v>122</v>
      </c>
      <c r="G639" s="20" t="s">
        <v>122</v>
      </c>
      <c r="H639" s="20" t="s">
        <v>48</v>
      </c>
      <c r="I639" s="20" t="s">
        <v>122</v>
      </c>
      <c r="J639" s="32" t="s">
        <v>3089</v>
      </c>
      <c r="K639" s="32" t="s">
        <v>3089</v>
      </c>
      <c r="L639" s="23" t="s">
        <v>3059</v>
      </c>
      <c r="M639" s="24" t="s">
        <v>7737</v>
      </c>
      <c r="N639" s="23">
        <v>18710000</v>
      </c>
      <c r="O639" s="25" t="s">
        <v>74</v>
      </c>
      <c r="P639" s="25" t="s">
        <v>53</v>
      </c>
      <c r="Q639" s="20" t="s">
        <v>3090</v>
      </c>
      <c r="R639" s="20">
        <v>43539132</v>
      </c>
      <c r="S639" s="25" t="s">
        <v>55</v>
      </c>
      <c r="T639" s="26" t="s">
        <v>56</v>
      </c>
      <c r="U639" s="23">
        <v>865356065715906</v>
      </c>
      <c r="V639" s="27" t="s">
        <v>183</v>
      </c>
      <c r="W639" s="20" t="s">
        <v>129</v>
      </c>
      <c r="X639" s="20" t="s">
        <v>130</v>
      </c>
      <c r="Y639" s="20" t="s">
        <v>130</v>
      </c>
      <c r="Z639" s="20" t="s">
        <v>60</v>
      </c>
      <c r="AA639" s="20" t="s">
        <v>61</v>
      </c>
      <c r="AB639" s="20" t="s">
        <v>96</v>
      </c>
      <c r="AC639" s="28">
        <v>369.83</v>
      </c>
      <c r="AD639" s="28">
        <f>SUM(BASE[[#This Row],[MONTO DE RENTA ]]*1.16)</f>
        <v>429.00279999999998</v>
      </c>
      <c r="AE639" s="28" t="s">
        <v>63</v>
      </c>
      <c r="AF639" s="28">
        <v>369.82758620689657</v>
      </c>
      <c r="AG639" s="28">
        <v>429</v>
      </c>
      <c r="AI639" s="63">
        <v>44937</v>
      </c>
      <c r="AJ639" s="73">
        <v>46043</v>
      </c>
      <c r="AK63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39" s="30"/>
      <c r="AN639" s="20" t="s">
        <v>99</v>
      </c>
      <c r="AP639" s="20" t="s">
        <v>84</v>
      </c>
      <c r="AQ639" s="20" t="s">
        <v>100</v>
      </c>
    </row>
    <row r="640" spans="1:43" ht="16">
      <c r="A640" s="20">
        <v>8119760288</v>
      </c>
      <c r="B640" s="49">
        <v>100087</v>
      </c>
      <c r="C640" s="20" t="s">
        <v>2210</v>
      </c>
      <c r="D640" s="20" t="s">
        <v>1886</v>
      </c>
      <c r="E640" s="20" t="s">
        <v>3091</v>
      </c>
      <c r="F640" s="20" t="s">
        <v>70</v>
      </c>
      <c r="G640" s="20" t="s">
        <v>70</v>
      </c>
      <c r="H640" s="20" t="s">
        <v>48</v>
      </c>
      <c r="I640" s="20" t="s">
        <v>70</v>
      </c>
      <c r="J640" s="22" t="s">
        <v>3092</v>
      </c>
      <c r="K640" s="22" t="s">
        <v>3092</v>
      </c>
      <c r="L640" s="23" t="s">
        <v>3059</v>
      </c>
      <c r="M640" s="24" t="s">
        <v>7737</v>
      </c>
      <c r="N640" s="23">
        <v>18710000</v>
      </c>
      <c r="O640" s="25" t="s">
        <v>74</v>
      </c>
      <c r="P640" s="25" t="s">
        <v>53</v>
      </c>
      <c r="Q640" s="20" t="s">
        <v>3093</v>
      </c>
      <c r="R640" s="20">
        <v>42977397</v>
      </c>
      <c r="S640" s="25" t="s">
        <v>55</v>
      </c>
      <c r="T640" s="26" t="s">
        <v>56</v>
      </c>
      <c r="U640" s="23">
        <v>357654179681302</v>
      </c>
      <c r="V640" s="27" t="s">
        <v>78</v>
      </c>
      <c r="W640" s="20" t="s">
        <v>95</v>
      </c>
      <c r="X640" s="20" t="s">
        <v>95</v>
      </c>
      <c r="Y640" s="20" t="s">
        <v>95</v>
      </c>
      <c r="Z640" s="20" t="s">
        <v>60</v>
      </c>
      <c r="AA640" s="20" t="s">
        <v>61</v>
      </c>
      <c r="AB640" s="20" t="s">
        <v>82</v>
      </c>
      <c r="AC640" s="28">
        <v>559.48</v>
      </c>
      <c r="AD640" s="28">
        <f>SUM(BASE[[#This Row],[MONTO DE RENTA ]]*1.16)</f>
        <v>648.99680000000001</v>
      </c>
      <c r="AE640" s="28" t="s">
        <v>83</v>
      </c>
      <c r="AF640" s="28">
        <v>559.48275862068965</v>
      </c>
      <c r="AG640" s="28">
        <v>649</v>
      </c>
      <c r="AI640" s="63">
        <v>44937</v>
      </c>
      <c r="AJ640" s="73">
        <v>46043</v>
      </c>
      <c r="AK64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40" s="30"/>
      <c r="AN640" s="20" t="s">
        <v>99</v>
      </c>
      <c r="AP640" s="20" t="s">
        <v>84</v>
      </c>
      <c r="AQ640" s="20" t="s">
        <v>100</v>
      </c>
    </row>
    <row r="641" spans="1:43" ht="16">
      <c r="A641" s="20">
        <v>6561888447</v>
      </c>
      <c r="B641" s="49">
        <v>660646</v>
      </c>
      <c r="C641" s="20" t="s">
        <v>3094</v>
      </c>
      <c r="D641" s="20" t="s">
        <v>3095</v>
      </c>
      <c r="E641" s="20" t="s">
        <v>3096</v>
      </c>
      <c r="F641" s="20" t="s">
        <v>70</v>
      </c>
      <c r="G641" s="20" t="s">
        <v>70</v>
      </c>
      <c r="H641" s="20" t="s">
        <v>48</v>
      </c>
      <c r="I641" s="20" t="s">
        <v>70</v>
      </c>
      <c r="J641" s="22" t="s">
        <v>3097</v>
      </c>
      <c r="K641" s="22" t="s">
        <v>3097</v>
      </c>
      <c r="L641" s="23" t="s">
        <v>3098</v>
      </c>
      <c r="M641" s="24" t="s">
        <v>7744</v>
      </c>
      <c r="N641" s="23">
        <v>18719000</v>
      </c>
      <c r="O641" s="25" t="s">
        <v>362</v>
      </c>
      <c r="P641" s="25" t="s">
        <v>53</v>
      </c>
      <c r="Q641" s="20" t="s">
        <v>3099</v>
      </c>
      <c r="R641" s="20">
        <v>31744403</v>
      </c>
      <c r="S641" s="25" t="s">
        <v>55</v>
      </c>
      <c r="T641" s="26" t="s">
        <v>56</v>
      </c>
      <c r="U641" s="23">
        <v>357654178124098</v>
      </c>
      <c r="V641" s="27" t="s">
        <v>78</v>
      </c>
      <c r="W641" s="20" t="s">
        <v>95</v>
      </c>
      <c r="X641" s="20" t="s">
        <v>95</v>
      </c>
      <c r="Y641" s="20" t="s">
        <v>95</v>
      </c>
      <c r="Z641" s="20" t="s">
        <v>60</v>
      </c>
      <c r="AA641" s="20" t="s">
        <v>61</v>
      </c>
      <c r="AB641" s="20" t="s">
        <v>82</v>
      </c>
      <c r="AC641" s="28">
        <v>559.48</v>
      </c>
      <c r="AD641" s="28">
        <f>SUM(BASE[[#This Row],[MONTO DE RENTA ]]*1.16)</f>
        <v>648.99680000000001</v>
      </c>
      <c r="AE641" s="28" t="s">
        <v>83</v>
      </c>
      <c r="AF641" s="28">
        <v>559.48275862068965</v>
      </c>
      <c r="AG641" s="28">
        <v>649</v>
      </c>
      <c r="AI641" s="63">
        <v>44937</v>
      </c>
      <c r="AJ641" s="73">
        <v>46043</v>
      </c>
      <c r="AK6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641" s="198"/>
      <c r="AM641" s="30"/>
      <c r="AN641" s="20" t="s">
        <v>99</v>
      </c>
      <c r="AP641" s="20" t="s">
        <v>84</v>
      </c>
      <c r="AQ641" s="20" t="s">
        <v>100</v>
      </c>
    </row>
    <row r="642" spans="1:43" ht="16">
      <c r="A642" s="20">
        <v>6562568401</v>
      </c>
      <c r="B642" s="21">
        <v>113351</v>
      </c>
      <c r="C642" s="20" t="s">
        <v>3100</v>
      </c>
      <c r="D642" s="20" t="s">
        <v>186</v>
      </c>
      <c r="E642" s="20" t="s">
        <v>3101</v>
      </c>
      <c r="F642" s="20" t="s">
        <v>46</v>
      </c>
      <c r="G642" s="20" t="s">
        <v>248</v>
      </c>
      <c r="H642" s="20" t="s">
        <v>48</v>
      </c>
      <c r="I642" s="20" t="s">
        <v>46</v>
      </c>
      <c r="J642" s="22" t="s">
        <v>3102</v>
      </c>
      <c r="K642" s="22" t="s">
        <v>3102</v>
      </c>
      <c r="L642" s="23" t="s">
        <v>3098</v>
      </c>
      <c r="M642" s="24" t="s">
        <v>7744</v>
      </c>
      <c r="N642" s="23">
        <v>18713000</v>
      </c>
      <c r="O642" s="25" t="s">
        <v>362</v>
      </c>
      <c r="P642" s="25" t="s">
        <v>53</v>
      </c>
      <c r="Q642" s="20" t="s">
        <v>3103</v>
      </c>
      <c r="R642" s="20">
        <v>31848337</v>
      </c>
      <c r="S642" s="25" t="s">
        <v>3104</v>
      </c>
      <c r="T642" s="26" t="s">
        <v>57</v>
      </c>
      <c r="U642" s="23">
        <v>860900062257290</v>
      </c>
      <c r="V642" s="27" t="s">
        <v>57</v>
      </c>
      <c r="W642" s="20" t="s">
        <v>58</v>
      </c>
      <c r="X642" s="20" t="s">
        <v>59</v>
      </c>
      <c r="Y642" s="20" t="s">
        <v>59</v>
      </c>
      <c r="Z642" s="20" t="s">
        <v>80</v>
      </c>
      <c r="AA642" s="20" t="s">
        <v>81</v>
      </c>
      <c r="AB642" s="20" t="s">
        <v>96</v>
      </c>
      <c r="AC642" s="28">
        <v>369.83</v>
      </c>
      <c r="AD642" s="28">
        <f>SUM(BASE[[#This Row],[MONTO DE RENTA ]]*1.16)</f>
        <v>429.00279999999998</v>
      </c>
      <c r="AE642" s="28" t="s">
        <v>63</v>
      </c>
      <c r="AF642" s="28">
        <v>369.82758620689657</v>
      </c>
      <c r="AG642" s="28">
        <v>429</v>
      </c>
      <c r="AH642" s="22" t="s">
        <v>64</v>
      </c>
      <c r="AI642" s="63">
        <v>45703</v>
      </c>
      <c r="AJ642" s="63">
        <v>46433</v>
      </c>
      <c r="AK6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2" s="30"/>
      <c r="AN642" s="20" t="s">
        <v>65</v>
      </c>
      <c r="AP642" s="20" t="s">
        <v>84</v>
      </c>
    </row>
    <row r="643" spans="1:43" s="171" customFormat="1" ht="16">
      <c r="A643" s="20">
        <v>6563641781</v>
      </c>
      <c r="B643" s="21">
        <v>142718</v>
      </c>
      <c r="C643" s="20" t="s">
        <v>2476</v>
      </c>
      <c r="D643" s="20" t="s">
        <v>853</v>
      </c>
      <c r="E643" s="20" t="s">
        <v>3105</v>
      </c>
      <c r="F643" s="20" t="s">
        <v>257</v>
      </c>
      <c r="G643" s="20" t="s">
        <v>257</v>
      </c>
      <c r="H643" s="20" t="s">
        <v>48</v>
      </c>
      <c r="I643" s="20" t="s">
        <v>257</v>
      </c>
      <c r="J643" s="22" t="s">
        <v>3106</v>
      </c>
      <c r="K643" s="22" t="s">
        <v>3106</v>
      </c>
      <c r="L643" s="23" t="s">
        <v>3098</v>
      </c>
      <c r="M643" s="24" t="s">
        <v>7744</v>
      </c>
      <c r="N643" s="23">
        <v>18723000</v>
      </c>
      <c r="O643" s="25" t="s">
        <v>362</v>
      </c>
      <c r="P643" s="25" t="s">
        <v>53</v>
      </c>
      <c r="Q643" s="20" t="s">
        <v>3107</v>
      </c>
      <c r="R643" s="20">
        <v>31854476</v>
      </c>
      <c r="S643" s="25" t="s">
        <v>3108</v>
      </c>
      <c r="T643" s="26" t="s">
        <v>57</v>
      </c>
      <c r="U643" s="23">
        <v>860478064844985</v>
      </c>
      <c r="V643" s="45" t="s">
        <v>110</v>
      </c>
      <c r="W643" s="20" t="s">
        <v>302</v>
      </c>
      <c r="X643" s="20" t="s">
        <v>303</v>
      </c>
      <c r="Y643" s="20" t="s">
        <v>303</v>
      </c>
      <c r="Z643" s="20" t="s">
        <v>80</v>
      </c>
      <c r="AA643" s="20" t="s">
        <v>81</v>
      </c>
      <c r="AB643" s="20" t="s">
        <v>82</v>
      </c>
      <c r="AC643" s="28">
        <v>559.48</v>
      </c>
      <c r="AD643" s="28">
        <f>SUM(BASE[[#This Row],[MONTO DE RENTA ]]*1.16)</f>
        <v>648.99680000000001</v>
      </c>
      <c r="AE643" s="28" t="s">
        <v>83</v>
      </c>
      <c r="AF643" s="28">
        <v>559.48275862068965</v>
      </c>
      <c r="AG643" s="28">
        <v>649</v>
      </c>
      <c r="AH643" s="22" t="s">
        <v>64</v>
      </c>
      <c r="AI643" s="29">
        <v>45703</v>
      </c>
      <c r="AJ643" s="29">
        <v>46433</v>
      </c>
      <c r="AK6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643" s="20"/>
      <c r="AM643" s="30"/>
      <c r="AN643" s="20" t="s">
        <v>65</v>
      </c>
      <c r="AO643" s="20"/>
      <c r="AP643" s="20" t="s">
        <v>84</v>
      </c>
      <c r="AQ643" s="20"/>
    </row>
    <row r="644" spans="1:43" ht="16">
      <c r="A644" s="20">
        <v>6563641784</v>
      </c>
      <c r="B644" s="21">
        <v>1013331</v>
      </c>
      <c r="C644" s="20" t="s">
        <v>3109</v>
      </c>
      <c r="D644" s="20" t="s">
        <v>885</v>
      </c>
      <c r="E644" s="20" t="s">
        <v>3110</v>
      </c>
      <c r="F644" s="20" t="s">
        <v>104</v>
      </c>
      <c r="G644" s="20" t="s">
        <v>104</v>
      </c>
      <c r="H644" s="20" t="s">
        <v>48</v>
      </c>
      <c r="I644" s="20" t="s">
        <v>104</v>
      </c>
      <c r="J644" s="32" t="s">
        <v>3111</v>
      </c>
      <c r="K644" s="32" t="s">
        <v>3111</v>
      </c>
      <c r="L644" s="23" t="s">
        <v>3098</v>
      </c>
      <c r="M644" s="24" t="s">
        <v>7744</v>
      </c>
      <c r="N644" s="23">
        <v>18713000</v>
      </c>
      <c r="O644" s="25" t="s">
        <v>362</v>
      </c>
      <c r="P644" s="25" t="s">
        <v>53</v>
      </c>
      <c r="Q644" s="20" t="s">
        <v>3112</v>
      </c>
      <c r="R644" s="20">
        <v>31854479</v>
      </c>
      <c r="S644" s="25" t="s">
        <v>3113</v>
      </c>
      <c r="T644" s="26" t="s">
        <v>57</v>
      </c>
      <c r="U644" s="23">
        <v>860478064857540</v>
      </c>
      <c r="V644" s="45" t="s">
        <v>110</v>
      </c>
      <c r="W644" s="20" t="s">
        <v>302</v>
      </c>
      <c r="X644" s="20" t="s">
        <v>303</v>
      </c>
      <c r="Y644" s="20" t="s">
        <v>303</v>
      </c>
      <c r="Z644" s="20" t="s">
        <v>80</v>
      </c>
      <c r="AA644" s="20" t="s">
        <v>81</v>
      </c>
      <c r="AB644" s="20" t="s">
        <v>82</v>
      </c>
      <c r="AC644" s="28">
        <v>559.48</v>
      </c>
      <c r="AD644" s="28">
        <f>SUM(BASE[[#This Row],[MONTO DE RENTA ]]*1.16)</f>
        <v>648.99680000000001</v>
      </c>
      <c r="AE644" s="28" t="s">
        <v>83</v>
      </c>
      <c r="AF644" s="28">
        <v>559.48275862068965</v>
      </c>
      <c r="AG644" s="28">
        <v>649</v>
      </c>
      <c r="AH644" s="22" t="s">
        <v>64</v>
      </c>
      <c r="AI644" s="29">
        <v>45703</v>
      </c>
      <c r="AJ644" s="29">
        <v>46433</v>
      </c>
      <c r="AK6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4" s="30"/>
      <c r="AN644" s="20" t="s">
        <v>65</v>
      </c>
      <c r="AP644" s="20" t="s">
        <v>84</v>
      </c>
    </row>
    <row r="645" spans="1:43" ht="16">
      <c r="A645" s="20">
        <v>6563641789</v>
      </c>
      <c r="B645" s="21">
        <v>113143</v>
      </c>
      <c r="C645" s="20" t="s">
        <v>3114</v>
      </c>
      <c r="D645" s="20" t="s">
        <v>405</v>
      </c>
      <c r="E645" s="20" t="s">
        <v>937</v>
      </c>
      <c r="F645" s="20" t="s">
        <v>104</v>
      </c>
      <c r="G645" s="20" t="s">
        <v>104</v>
      </c>
      <c r="H645" s="20" t="s">
        <v>48</v>
      </c>
      <c r="I645" s="20" t="s">
        <v>104</v>
      </c>
      <c r="J645" s="22" t="s">
        <v>3115</v>
      </c>
      <c r="K645" s="22" t="s">
        <v>3115</v>
      </c>
      <c r="L645" s="23" t="s">
        <v>3098</v>
      </c>
      <c r="M645" s="24" t="s">
        <v>7744</v>
      </c>
      <c r="N645" s="23">
        <v>18713000</v>
      </c>
      <c r="O645" s="25" t="s">
        <v>362</v>
      </c>
      <c r="P645" s="25" t="s">
        <v>53</v>
      </c>
      <c r="Q645" s="20" t="s">
        <v>3116</v>
      </c>
      <c r="R645" s="20">
        <v>31854478</v>
      </c>
      <c r="S645" s="25" t="s">
        <v>3117</v>
      </c>
      <c r="T645" s="26" t="s">
        <v>57</v>
      </c>
      <c r="U645" s="23">
        <v>860478064858852</v>
      </c>
      <c r="V645" s="45" t="s">
        <v>110</v>
      </c>
      <c r="W645" s="20" t="s">
        <v>302</v>
      </c>
      <c r="X645" s="20" t="s">
        <v>303</v>
      </c>
      <c r="Y645" s="20" t="s">
        <v>303</v>
      </c>
      <c r="Z645" s="20" t="s">
        <v>80</v>
      </c>
      <c r="AA645" s="20" t="s">
        <v>81</v>
      </c>
      <c r="AB645" s="20" t="s">
        <v>82</v>
      </c>
      <c r="AC645" s="28">
        <v>559.48</v>
      </c>
      <c r="AD645" s="28">
        <f>SUM(BASE[[#This Row],[MONTO DE RENTA ]]*1.16)</f>
        <v>648.99680000000001</v>
      </c>
      <c r="AE645" s="28" t="s">
        <v>83</v>
      </c>
      <c r="AF645" s="28">
        <v>559.48275862068965</v>
      </c>
      <c r="AG645" s="28">
        <v>649</v>
      </c>
      <c r="AH645" s="22" t="s">
        <v>64</v>
      </c>
      <c r="AI645" s="63">
        <v>45703</v>
      </c>
      <c r="AJ645" s="63">
        <v>46433</v>
      </c>
      <c r="AK6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5" s="30"/>
      <c r="AN645" s="20" t="s">
        <v>65</v>
      </c>
      <c r="AP645" s="20" t="s">
        <v>84</v>
      </c>
    </row>
    <row r="646" spans="1:43" ht="16">
      <c r="A646" s="20">
        <v>6563590483</v>
      </c>
      <c r="B646" s="49">
        <v>1037671</v>
      </c>
      <c r="C646" s="20" t="s">
        <v>3118</v>
      </c>
      <c r="D646" s="20" t="s">
        <v>3119</v>
      </c>
      <c r="E646" s="20" t="s">
        <v>1432</v>
      </c>
      <c r="F646" s="20" t="s">
        <v>122</v>
      </c>
      <c r="G646" s="20" t="s">
        <v>122</v>
      </c>
      <c r="H646" s="20" t="s">
        <v>48</v>
      </c>
      <c r="I646" s="20" t="s">
        <v>122</v>
      </c>
      <c r="J646" s="32" t="s">
        <v>3120</v>
      </c>
      <c r="K646" s="22" t="s">
        <v>3121</v>
      </c>
      <c r="L646" s="23" t="s">
        <v>3098</v>
      </c>
      <c r="M646" s="24" t="s">
        <v>7744</v>
      </c>
      <c r="N646" s="23">
        <v>18713000</v>
      </c>
      <c r="O646" s="25" t="s">
        <v>362</v>
      </c>
      <c r="P646" s="25" t="s">
        <v>53</v>
      </c>
      <c r="Q646" s="20" t="s">
        <v>3122</v>
      </c>
      <c r="R646" s="20">
        <v>32168128</v>
      </c>
      <c r="S646" s="25" t="s">
        <v>3123</v>
      </c>
      <c r="T646" s="26" t="s">
        <v>57</v>
      </c>
      <c r="U646" s="23">
        <v>860900062238506</v>
      </c>
      <c r="V646" s="27" t="s">
        <v>57</v>
      </c>
      <c r="W646" s="20" t="s">
        <v>58</v>
      </c>
      <c r="X646" s="20" t="s">
        <v>59</v>
      </c>
      <c r="Y646" s="20" t="s">
        <v>59</v>
      </c>
      <c r="Z646" s="20" t="s">
        <v>60</v>
      </c>
      <c r="AA646" s="20" t="s">
        <v>61</v>
      </c>
      <c r="AB646" s="20" t="s">
        <v>96</v>
      </c>
      <c r="AC646" s="28">
        <v>369.83</v>
      </c>
      <c r="AD646" s="28">
        <f>SUM(BASE[[#This Row],[MONTO DE RENTA ]]*1.16)</f>
        <v>429.00279999999998</v>
      </c>
      <c r="AE646" s="28" t="s">
        <v>63</v>
      </c>
      <c r="AF646" s="28">
        <v>369.82758620689657</v>
      </c>
      <c r="AG646" s="28">
        <v>429</v>
      </c>
      <c r="AH646" s="22" t="s">
        <v>448</v>
      </c>
      <c r="AI646" s="29">
        <v>45813</v>
      </c>
      <c r="AJ646" s="29">
        <v>46543</v>
      </c>
      <c r="AK646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646" s="20">
        <v>18713000</v>
      </c>
      <c r="AM646" s="30"/>
      <c r="AN646" s="20" t="s">
        <v>65</v>
      </c>
      <c r="AP646" s="20" t="s">
        <v>84</v>
      </c>
    </row>
    <row r="647" spans="1:43" ht="16">
      <c r="A647" s="20">
        <v>6563641788</v>
      </c>
      <c r="B647" s="21">
        <v>230547</v>
      </c>
      <c r="C647" s="20" t="s">
        <v>2960</v>
      </c>
      <c r="D647" s="20" t="s">
        <v>1277</v>
      </c>
      <c r="E647" s="20" t="s">
        <v>1433</v>
      </c>
      <c r="F647" s="20" t="s">
        <v>104</v>
      </c>
      <c r="G647" s="20" t="s">
        <v>104</v>
      </c>
      <c r="H647" s="20" t="s">
        <v>48</v>
      </c>
      <c r="I647" s="20" t="s">
        <v>104</v>
      </c>
      <c r="J647" s="22" t="s">
        <v>3124</v>
      </c>
      <c r="K647" s="22" t="s">
        <v>3125</v>
      </c>
      <c r="L647" s="23" t="s">
        <v>3098</v>
      </c>
      <c r="M647" s="24" t="s">
        <v>7744</v>
      </c>
      <c r="N647" s="23">
        <v>18713000</v>
      </c>
      <c r="O647" s="25" t="s">
        <v>362</v>
      </c>
      <c r="P647" s="25" t="s">
        <v>53</v>
      </c>
      <c r="Q647" s="20" t="s">
        <v>3126</v>
      </c>
      <c r="R647" s="20">
        <v>31854475</v>
      </c>
      <c r="S647" s="25" t="s">
        <v>3127</v>
      </c>
      <c r="T647" s="26" t="s">
        <v>57</v>
      </c>
      <c r="U647" s="23">
        <v>860478064874909</v>
      </c>
      <c r="V647" s="45" t="s">
        <v>110</v>
      </c>
      <c r="W647" s="20" t="s">
        <v>302</v>
      </c>
      <c r="X647" s="20" t="s">
        <v>303</v>
      </c>
      <c r="Y647" s="20" t="s">
        <v>303</v>
      </c>
      <c r="Z647" s="20" t="s">
        <v>80</v>
      </c>
      <c r="AA647" s="20" t="s">
        <v>81</v>
      </c>
      <c r="AB647" s="20" t="s">
        <v>82</v>
      </c>
      <c r="AC647" s="28">
        <v>559.48</v>
      </c>
      <c r="AD647" s="28">
        <f>SUM(BASE[[#This Row],[MONTO DE RENTA ]]*1.16)</f>
        <v>648.99680000000001</v>
      </c>
      <c r="AE647" s="28" t="s">
        <v>83</v>
      </c>
      <c r="AF647" s="28">
        <v>559.48275862068965</v>
      </c>
      <c r="AG647" s="28">
        <v>649</v>
      </c>
      <c r="AH647" s="22" t="s">
        <v>64</v>
      </c>
      <c r="AI647" s="63">
        <v>45703</v>
      </c>
      <c r="AJ647" s="63">
        <v>46433</v>
      </c>
      <c r="AK6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7" s="30"/>
      <c r="AN647" s="20" t="s">
        <v>65</v>
      </c>
      <c r="AP647" s="20" t="s">
        <v>84</v>
      </c>
    </row>
    <row r="648" spans="1:43" ht="16">
      <c r="A648" s="20">
        <v>4773576532</v>
      </c>
      <c r="B648" s="21">
        <v>1011676</v>
      </c>
      <c r="C648" s="20" t="s">
        <v>3128</v>
      </c>
      <c r="D648" s="20" t="s">
        <v>818</v>
      </c>
      <c r="E648" s="20" t="s">
        <v>2814</v>
      </c>
      <c r="F648" s="20" t="s">
        <v>104</v>
      </c>
      <c r="G648" s="20" t="s">
        <v>104</v>
      </c>
      <c r="H648" s="20" t="s">
        <v>48</v>
      </c>
      <c r="I648" s="20" t="s">
        <v>104</v>
      </c>
      <c r="J648" s="22" t="s">
        <v>3129</v>
      </c>
      <c r="K648" s="22" t="s">
        <v>3129</v>
      </c>
      <c r="L648" s="23" t="s">
        <v>3130</v>
      </c>
      <c r="M648" s="24" t="s">
        <v>7743</v>
      </c>
      <c r="N648" s="23">
        <v>18716000</v>
      </c>
      <c r="O648" s="25" t="s">
        <v>93</v>
      </c>
      <c r="P648" s="25" t="s">
        <v>53</v>
      </c>
      <c r="Q648" s="20" t="s">
        <v>3131</v>
      </c>
      <c r="R648" s="20">
        <v>62123070</v>
      </c>
      <c r="S648" s="25" t="s">
        <v>3132</v>
      </c>
      <c r="T648" s="26" t="s">
        <v>57</v>
      </c>
      <c r="U648" s="23">
        <v>860478064953026</v>
      </c>
      <c r="V648" s="45" t="s">
        <v>110</v>
      </c>
      <c r="W648" s="20" t="s">
        <v>302</v>
      </c>
      <c r="X648" s="20" t="s">
        <v>303</v>
      </c>
      <c r="Y648" s="20" t="s">
        <v>303</v>
      </c>
      <c r="Z648" s="20" t="s">
        <v>80</v>
      </c>
      <c r="AA648" s="20" t="s">
        <v>81</v>
      </c>
      <c r="AB648" s="20" t="s">
        <v>82</v>
      </c>
      <c r="AC648" s="28">
        <v>559.48</v>
      </c>
      <c r="AD648" s="28">
        <f>SUM(BASE[[#This Row],[MONTO DE RENTA ]]*1.16)</f>
        <v>648.99680000000001</v>
      </c>
      <c r="AE648" s="28" t="s">
        <v>83</v>
      </c>
      <c r="AF648" s="28">
        <v>559.48275862068965</v>
      </c>
      <c r="AG648" s="28">
        <v>649</v>
      </c>
      <c r="AH648" s="22" t="s">
        <v>64</v>
      </c>
      <c r="AI648" s="63">
        <v>45703</v>
      </c>
      <c r="AJ648" s="63">
        <v>46433</v>
      </c>
      <c r="AK6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8" s="30"/>
      <c r="AN648" s="20" t="s">
        <v>65</v>
      </c>
      <c r="AP648" s="20" t="s">
        <v>84</v>
      </c>
    </row>
    <row r="649" spans="1:43" ht="16">
      <c r="A649" s="20">
        <v>6561945030</v>
      </c>
      <c r="B649" s="21">
        <v>142965</v>
      </c>
      <c r="C649" s="20" t="s">
        <v>3133</v>
      </c>
      <c r="D649" s="20" t="s">
        <v>45</v>
      </c>
      <c r="E649" s="20" t="s">
        <v>3134</v>
      </c>
      <c r="F649" s="20" t="s">
        <v>451</v>
      </c>
      <c r="G649" s="20" t="s">
        <v>47</v>
      </c>
      <c r="H649" s="20" t="s">
        <v>48</v>
      </c>
      <c r="I649" s="20" t="s">
        <v>451</v>
      </c>
      <c r="J649" s="22" t="s">
        <v>3135</v>
      </c>
      <c r="K649" s="22" t="s">
        <v>3135</v>
      </c>
      <c r="L649" s="23" t="s">
        <v>3136</v>
      </c>
      <c r="M649" s="24" t="s">
        <v>7744</v>
      </c>
      <c r="N649" s="23">
        <v>18723000</v>
      </c>
      <c r="O649" s="25" t="s">
        <v>362</v>
      </c>
      <c r="P649" s="25" t="s">
        <v>53</v>
      </c>
      <c r="Q649" s="20" t="s">
        <v>3137</v>
      </c>
      <c r="R649" s="20">
        <v>31831558</v>
      </c>
      <c r="S649" s="25" t="s">
        <v>3138</v>
      </c>
      <c r="T649" s="26" t="s">
        <v>57</v>
      </c>
      <c r="U649" s="23">
        <v>860900062255401</v>
      </c>
      <c r="V649" s="27" t="s">
        <v>57</v>
      </c>
      <c r="W649" s="20" t="s">
        <v>58</v>
      </c>
      <c r="X649" s="20" t="s">
        <v>59</v>
      </c>
      <c r="Y649" s="20" t="s">
        <v>59</v>
      </c>
      <c r="Z649" s="20" t="s">
        <v>80</v>
      </c>
      <c r="AA649" s="20" t="s">
        <v>81</v>
      </c>
      <c r="AB649" s="20" t="s">
        <v>96</v>
      </c>
      <c r="AC649" s="28">
        <v>369.83</v>
      </c>
      <c r="AD649" s="28">
        <f>SUM(BASE[[#This Row],[MONTO DE RENTA ]]*1.16)</f>
        <v>429.00279999999998</v>
      </c>
      <c r="AE649" s="28" t="s">
        <v>63</v>
      </c>
      <c r="AF649" s="28">
        <v>369.82758620689657</v>
      </c>
      <c r="AG649" s="28">
        <v>429</v>
      </c>
      <c r="AH649" s="22" t="s">
        <v>64</v>
      </c>
      <c r="AI649" s="63">
        <v>45703</v>
      </c>
      <c r="AJ649" s="63">
        <v>46433</v>
      </c>
      <c r="AK6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49" s="30"/>
      <c r="AN649" s="20" t="s">
        <v>65</v>
      </c>
      <c r="AP649" s="20" t="s">
        <v>84</v>
      </c>
    </row>
    <row r="650" spans="1:43" ht="16">
      <c r="A650" s="20">
        <v>6563623918</v>
      </c>
      <c r="B650" s="21">
        <v>230458</v>
      </c>
      <c r="C650" s="20" t="s">
        <v>3139</v>
      </c>
      <c r="D650" s="20" t="s">
        <v>1807</v>
      </c>
      <c r="E650" s="20" t="s">
        <v>3140</v>
      </c>
      <c r="F650" s="20" t="s">
        <v>451</v>
      </c>
      <c r="G650" s="20" t="s">
        <v>248</v>
      </c>
      <c r="H650" s="20" t="s">
        <v>48</v>
      </c>
      <c r="I650" s="20" t="s">
        <v>451</v>
      </c>
      <c r="J650" s="22" t="s">
        <v>3141</v>
      </c>
      <c r="K650" s="22" t="s">
        <v>3141</v>
      </c>
      <c r="L650" s="23" t="s">
        <v>3136</v>
      </c>
      <c r="M650" s="24" t="s">
        <v>7744</v>
      </c>
      <c r="N650" s="23">
        <v>18713000</v>
      </c>
      <c r="O650" s="25" t="s">
        <v>362</v>
      </c>
      <c r="P650" s="25" t="s">
        <v>53</v>
      </c>
      <c r="Q650" s="20" t="s">
        <v>3142</v>
      </c>
      <c r="R650" s="20">
        <v>31848340</v>
      </c>
      <c r="S650" s="25" t="s">
        <v>3143</v>
      </c>
      <c r="T650" s="26" t="s">
        <v>57</v>
      </c>
      <c r="U650" s="23">
        <v>860900062257316</v>
      </c>
      <c r="V650" s="27" t="s">
        <v>57</v>
      </c>
      <c r="W650" s="20" t="s">
        <v>58</v>
      </c>
      <c r="X650" s="20" t="s">
        <v>59</v>
      </c>
      <c r="Y650" s="20" t="s">
        <v>59</v>
      </c>
      <c r="Z650" s="20" t="s">
        <v>80</v>
      </c>
      <c r="AA650" s="20" t="s">
        <v>81</v>
      </c>
      <c r="AB650" s="20" t="s">
        <v>96</v>
      </c>
      <c r="AC650" s="28">
        <v>369.83</v>
      </c>
      <c r="AD650" s="28">
        <f>SUM(BASE[[#This Row],[MONTO DE RENTA ]]*1.16)</f>
        <v>429.00279999999998</v>
      </c>
      <c r="AE650" s="28" t="s">
        <v>63</v>
      </c>
      <c r="AF650" s="28">
        <v>369.82758620689657</v>
      </c>
      <c r="AG650" s="28">
        <v>429</v>
      </c>
      <c r="AH650" s="22" t="s">
        <v>64</v>
      </c>
      <c r="AI650" s="63">
        <v>45703</v>
      </c>
      <c r="AJ650" s="63">
        <v>46433</v>
      </c>
      <c r="AK65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0" s="30"/>
      <c r="AN650" s="20" t="s">
        <v>65</v>
      </c>
      <c r="AP650" s="20" t="s">
        <v>84</v>
      </c>
    </row>
    <row r="651" spans="1:43" ht="16">
      <c r="A651" s="20">
        <v>6563641790</v>
      </c>
      <c r="B651" s="21">
        <v>135536</v>
      </c>
      <c r="C651" s="20" t="s">
        <v>3144</v>
      </c>
      <c r="D651" s="20" t="s">
        <v>937</v>
      </c>
      <c r="E651" s="20" t="s">
        <v>376</v>
      </c>
      <c r="F651" s="20" t="s">
        <v>257</v>
      </c>
      <c r="G651" s="20" t="s">
        <v>257</v>
      </c>
      <c r="H651" s="20" t="s">
        <v>48</v>
      </c>
      <c r="I651" s="20" t="s">
        <v>257</v>
      </c>
      <c r="J651" s="32" t="s">
        <v>3145</v>
      </c>
      <c r="K651" s="32" t="s">
        <v>3145</v>
      </c>
      <c r="L651" s="23" t="s">
        <v>3136</v>
      </c>
      <c r="M651" s="24" t="s">
        <v>7744</v>
      </c>
      <c r="N651" s="23">
        <v>18713000</v>
      </c>
      <c r="O651" s="25" t="s">
        <v>362</v>
      </c>
      <c r="P651" s="25" t="s">
        <v>53</v>
      </c>
      <c r="Q651" s="20" t="s">
        <v>3146</v>
      </c>
      <c r="R651" s="20">
        <v>31812714</v>
      </c>
      <c r="S651" s="25" t="s">
        <v>3147</v>
      </c>
      <c r="T651" s="26" t="s">
        <v>57</v>
      </c>
      <c r="U651" s="23">
        <v>860478064953190</v>
      </c>
      <c r="V651" s="45" t="s">
        <v>110</v>
      </c>
      <c r="W651" s="20" t="s">
        <v>302</v>
      </c>
      <c r="X651" s="20" t="s">
        <v>303</v>
      </c>
      <c r="Y651" s="20" t="s">
        <v>303</v>
      </c>
      <c r="Z651" s="20" t="s">
        <v>80</v>
      </c>
      <c r="AA651" s="20" t="s">
        <v>81</v>
      </c>
      <c r="AB651" s="20" t="s">
        <v>82</v>
      </c>
      <c r="AC651" s="28">
        <v>559.48</v>
      </c>
      <c r="AD651" s="28">
        <f>SUM(BASE[[#This Row],[MONTO DE RENTA ]]*1.16)</f>
        <v>648.99680000000001</v>
      </c>
      <c r="AE651" s="28" t="s">
        <v>83</v>
      </c>
      <c r="AF651" s="28">
        <v>559.48275862068965</v>
      </c>
      <c r="AG651" s="28">
        <v>649</v>
      </c>
      <c r="AH651" s="22" t="s">
        <v>64</v>
      </c>
      <c r="AI651" s="29">
        <v>45703</v>
      </c>
      <c r="AJ651" s="29">
        <v>46433</v>
      </c>
      <c r="AK6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1" s="30"/>
      <c r="AN651" s="20" t="s">
        <v>65</v>
      </c>
      <c r="AP651" s="20" t="s">
        <v>84</v>
      </c>
    </row>
    <row r="652" spans="1:43" ht="16">
      <c r="A652" s="20">
        <v>6563641787</v>
      </c>
      <c r="B652" s="21">
        <v>112730</v>
      </c>
      <c r="C652" s="20" t="s">
        <v>1793</v>
      </c>
      <c r="D652" s="20" t="s">
        <v>172</v>
      </c>
      <c r="E652" s="20" t="s">
        <v>657</v>
      </c>
      <c r="F652" s="20" t="s">
        <v>104</v>
      </c>
      <c r="G652" s="20" t="s">
        <v>104</v>
      </c>
      <c r="H652" s="20" t="s">
        <v>48</v>
      </c>
      <c r="I652" s="20" t="s">
        <v>104</v>
      </c>
      <c r="J652" s="32" t="s">
        <v>3148</v>
      </c>
      <c r="K652" s="32" t="s">
        <v>3148</v>
      </c>
      <c r="L652" s="23" t="s">
        <v>3136</v>
      </c>
      <c r="M652" s="24" t="s">
        <v>7744</v>
      </c>
      <c r="N652" s="23">
        <v>18714000</v>
      </c>
      <c r="O652" s="25" t="s">
        <v>362</v>
      </c>
      <c r="P652" s="25" t="s">
        <v>53</v>
      </c>
      <c r="Q652" s="20" t="s">
        <v>3149</v>
      </c>
      <c r="R652" s="20">
        <v>31831736</v>
      </c>
      <c r="S652" s="25" t="s">
        <v>3150</v>
      </c>
      <c r="T652" s="26" t="s">
        <v>57</v>
      </c>
      <c r="U652" s="23">
        <v>860478060031819</v>
      </c>
      <c r="V652" s="45" t="s">
        <v>110</v>
      </c>
      <c r="W652" s="20" t="s">
        <v>302</v>
      </c>
      <c r="X652" s="20" t="s">
        <v>303</v>
      </c>
      <c r="Y652" s="20" t="s">
        <v>303</v>
      </c>
      <c r="Z652" s="20" t="s">
        <v>80</v>
      </c>
      <c r="AA652" s="20" t="s">
        <v>81</v>
      </c>
      <c r="AB652" s="20" t="s">
        <v>82</v>
      </c>
      <c r="AC652" s="28">
        <v>559.48</v>
      </c>
      <c r="AD652" s="28">
        <f>SUM(BASE[[#This Row],[MONTO DE RENTA ]]*1.16)</f>
        <v>648.99680000000001</v>
      </c>
      <c r="AE652" s="28" t="s">
        <v>83</v>
      </c>
      <c r="AF652" s="28">
        <v>559.48275862068965</v>
      </c>
      <c r="AG652" s="28">
        <v>649</v>
      </c>
      <c r="AH652" s="22" t="s">
        <v>64</v>
      </c>
      <c r="AI652" s="63">
        <v>45703</v>
      </c>
      <c r="AJ652" s="63">
        <v>46433</v>
      </c>
      <c r="AK6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2" s="30"/>
      <c r="AN652" s="20" t="s">
        <v>65</v>
      </c>
      <c r="AP652" s="20" t="s">
        <v>84</v>
      </c>
    </row>
    <row r="653" spans="1:43" ht="16">
      <c r="A653" s="20">
        <v>6566264732</v>
      </c>
      <c r="B653" s="86">
        <v>146072</v>
      </c>
      <c r="C653" s="20" t="s">
        <v>3151</v>
      </c>
      <c r="D653" s="20" t="s">
        <v>3152</v>
      </c>
      <c r="E653" s="20" t="s">
        <v>1204</v>
      </c>
      <c r="F653" s="20" t="s">
        <v>122</v>
      </c>
      <c r="G653" s="20" t="s">
        <v>122</v>
      </c>
      <c r="H653" s="20" t="s">
        <v>48</v>
      </c>
      <c r="I653" s="20" t="s">
        <v>122</v>
      </c>
      <c r="J653" s="22" t="s">
        <v>3153</v>
      </c>
      <c r="K653" s="22" t="s">
        <v>3154</v>
      </c>
      <c r="L653" s="23" t="s">
        <v>3136</v>
      </c>
      <c r="M653" s="24" t="s">
        <v>7744</v>
      </c>
      <c r="N653" s="23">
        <v>18714000</v>
      </c>
      <c r="O653" s="25" t="s">
        <v>362</v>
      </c>
      <c r="P653" s="25" t="s">
        <v>53</v>
      </c>
      <c r="Q653" s="20" t="s">
        <v>3155</v>
      </c>
      <c r="R653" s="20">
        <v>32095184</v>
      </c>
      <c r="S653" s="25" t="s">
        <v>55</v>
      </c>
      <c r="T653" s="26" t="s">
        <v>56</v>
      </c>
      <c r="U653" s="23">
        <v>865356065728842</v>
      </c>
      <c r="V653" s="27" t="s">
        <v>183</v>
      </c>
      <c r="W653" s="20" t="s">
        <v>129</v>
      </c>
      <c r="X653" s="20" t="s">
        <v>130</v>
      </c>
      <c r="Y653" s="20" t="s">
        <v>130</v>
      </c>
      <c r="Z653" s="20" t="s">
        <v>60</v>
      </c>
      <c r="AA653" s="20" t="s">
        <v>61</v>
      </c>
      <c r="AB653" s="20" t="s">
        <v>96</v>
      </c>
      <c r="AC653" s="28">
        <v>369.83</v>
      </c>
      <c r="AD653" s="28">
        <f>SUM(BASE[[#This Row],[MONTO DE RENTA ]]*1.16)</f>
        <v>429.00279999999998</v>
      </c>
      <c r="AE653" s="28" t="s">
        <v>63</v>
      </c>
      <c r="AF653" s="28">
        <v>369.82758620689657</v>
      </c>
      <c r="AG653" s="28">
        <v>429</v>
      </c>
      <c r="AI653" s="63">
        <v>44937</v>
      </c>
      <c r="AJ653" s="73">
        <v>46043</v>
      </c>
      <c r="AK65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53" s="30"/>
      <c r="AN653" s="20" t="s">
        <v>99</v>
      </c>
      <c r="AP653" s="20" t="s">
        <v>84</v>
      </c>
      <c r="AQ653" s="20" t="s">
        <v>100</v>
      </c>
    </row>
    <row r="654" spans="1:43" ht="16">
      <c r="A654" s="20">
        <v>6563641780</v>
      </c>
      <c r="B654" s="21">
        <v>1034241</v>
      </c>
      <c r="C654" s="20" t="s">
        <v>3156</v>
      </c>
      <c r="D654" s="20" t="s">
        <v>3157</v>
      </c>
      <c r="E654" s="20" t="s">
        <v>3158</v>
      </c>
      <c r="F654" s="20" t="s">
        <v>104</v>
      </c>
      <c r="G654" s="20" t="s">
        <v>104</v>
      </c>
      <c r="H654" s="20" t="s">
        <v>48</v>
      </c>
      <c r="I654" s="20" t="s">
        <v>104</v>
      </c>
      <c r="J654" s="22" t="s">
        <v>3159</v>
      </c>
      <c r="K654" s="22" t="s">
        <v>3160</v>
      </c>
      <c r="L654" s="23" t="s">
        <v>3136</v>
      </c>
      <c r="M654" s="24" t="s">
        <v>7744</v>
      </c>
      <c r="N654" s="23">
        <v>18714000</v>
      </c>
      <c r="O654" s="25" t="s">
        <v>362</v>
      </c>
      <c r="P654" s="25" t="s">
        <v>53</v>
      </c>
      <c r="Q654" s="20" t="s">
        <v>3161</v>
      </c>
      <c r="R654" s="20">
        <v>31812717</v>
      </c>
      <c r="S654" s="25" t="s">
        <v>3162</v>
      </c>
      <c r="T654" s="26" t="s">
        <v>57</v>
      </c>
      <c r="U654" s="23">
        <v>860478064949370</v>
      </c>
      <c r="V654" s="45" t="s">
        <v>110</v>
      </c>
      <c r="W654" s="20" t="s">
        <v>302</v>
      </c>
      <c r="X654" s="20" t="s">
        <v>303</v>
      </c>
      <c r="Y654" s="20" t="s">
        <v>303</v>
      </c>
      <c r="Z654" s="20" t="s">
        <v>80</v>
      </c>
      <c r="AA654" s="20" t="s">
        <v>81</v>
      </c>
      <c r="AB654" s="20" t="s">
        <v>82</v>
      </c>
      <c r="AC654" s="28">
        <v>559.48</v>
      </c>
      <c r="AD654" s="28">
        <f>SUM(BASE[[#This Row],[MONTO DE RENTA ]]*1.16)</f>
        <v>648.99680000000001</v>
      </c>
      <c r="AE654" s="28" t="s">
        <v>83</v>
      </c>
      <c r="AF654" s="28">
        <v>559.48275862068965</v>
      </c>
      <c r="AG654" s="28">
        <v>649</v>
      </c>
      <c r="AH654" s="22" t="s">
        <v>64</v>
      </c>
      <c r="AI654" s="63">
        <v>45703</v>
      </c>
      <c r="AJ654" s="63">
        <v>46433</v>
      </c>
      <c r="AK6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4" s="30"/>
      <c r="AN654" s="20" t="s">
        <v>65</v>
      </c>
      <c r="AP654" s="20" t="s">
        <v>84</v>
      </c>
    </row>
    <row r="655" spans="1:43" ht="16" customHeight="1">
      <c r="A655" s="20">
        <v>6561888101</v>
      </c>
      <c r="B655" s="147">
        <v>60933</v>
      </c>
      <c r="C655" s="20" t="s">
        <v>3163</v>
      </c>
      <c r="D655" s="20" t="s">
        <v>160</v>
      </c>
      <c r="E655" s="20" t="s">
        <v>143</v>
      </c>
      <c r="F655" s="20" t="s">
        <v>70</v>
      </c>
      <c r="G655" s="20" t="s">
        <v>70</v>
      </c>
      <c r="H655" s="20" t="s">
        <v>48</v>
      </c>
      <c r="I655" s="20" t="s">
        <v>70</v>
      </c>
      <c r="J655" s="22" t="s">
        <v>3164</v>
      </c>
      <c r="K655" s="22" t="s">
        <v>3164</v>
      </c>
      <c r="L655" s="23" t="s">
        <v>3136</v>
      </c>
      <c r="M655" s="24" t="s">
        <v>7744</v>
      </c>
      <c r="N655" s="23">
        <v>18714000</v>
      </c>
      <c r="O655" s="25" t="s">
        <v>362</v>
      </c>
      <c r="P655" s="25" t="s">
        <v>53</v>
      </c>
      <c r="Q655" s="20" t="s">
        <v>3165</v>
      </c>
      <c r="R655" s="20">
        <v>31744407</v>
      </c>
      <c r="S655" s="25" t="s">
        <v>55</v>
      </c>
      <c r="T655" s="26" t="s">
        <v>56</v>
      </c>
      <c r="U655" s="23">
        <v>357654178762764</v>
      </c>
      <c r="V655" s="27" t="s">
        <v>78</v>
      </c>
      <c r="W655" s="20" t="s">
        <v>95</v>
      </c>
      <c r="X655" s="20" t="s">
        <v>95</v>
      </c>
      <c r="Y655" s="20" t="s">
        <v>95</v>
      </c>
      <c r="Z655" s="20" t="s">
        <v>60</v>
      </c>
      <c r="AA655" s="20" t="s">
        <v>61</v>
      </c>
      <c r="AB655" s="20" t="s">
        <v>82</v>
      </c>
      <c r="AC655" s="28">
        <v>559.48</v>
      </c>
      <c r="AD655" s="28">
        <f>SUM(BASE[[#This Row],[MONTO DE RENTA ]]*1.16)</f>
        <v>648.99680000000001</v>
      </c>
      <c r="AE655" s="28" t="s">
        <v>83</v>
      </c>
      <c r="AF655" s="28">
        <v>559.48275862068965</v>
      </c>
      <c r="AG655" s="28">
        <v>649</v>
      </c>
      <c r="AI655" s="63">
        <v>44937</v>
      </c>
      <c r="AJ655" s="73">
        <v>46043</v>
      </c>
      <c r="AK6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55" s="30"/>
      <c r="AN655" s="20" t="s">
        <v>99</v>
      </c>
      <c r="AP655" s="20" t="s">
        <v>84</v>
      </c>
      <c r="AQ655" s="20" t="s">
        <v>100</v>
      </c>
    </row>
    <row r="656" spans="1:43" ht="16">
      <c r="A656" s="20">
        <v>4777008675</v>
      </c>
      <c r="B656" s="21">
        <v>160288</v>
      </c>
      <c r="C656" s="20" t="s">
        <v>1855</v>
      </c>
      <c r="D656" s="20" t="s">
        <v>171</v>
      </c>
      <c r="E656" s="20" t="s">
        <v>2795</v>
      </c>
      <c r="F656" s="20" t="s">
        <v>587</v>
      </c>
      <c r="G656" s="20" t="s">
        <v>47</v>
      </c>
      <c r="H656" s="20" t="s">
        <v>48</v>
      </c>
      <c r="I656" s="20" t="s">
        <v>587</v>
      </c>
      <c r="J656" s="22" t="s">
        <v>3166</v>
      </c>
      <c r="K656" s="22" t="s">
        <v>3166</v>
      </c>
      <c r="L656" s="23" t="s">
        <v>3130</v>
      </c>
      <c r="M656" s="24" t="s">
        <v>7743</v>
      </c>
      <c r="N656" s="23">
        <v>18716000</v>
      </c>
      <c r="O656" s="25" t="s">
        <v>93</v>
      </c>
      <c r="P656" s="25" t="s">
        <v>53</v>
      </c>
      <c r="Q656" s="20" t="s">
        <v>3167</v>
      </c>
      <c r="R656" s="20">
        <v>62303336</v>
      </c>
      <c r="S656" s="25" t="s">
        <v>3168</v>
      </c>
      <c r="T656" s="26" t="s">
        <v>57</v>
      </c>
      <c r="U656" s="23">
        <v>860900062338181</v>
      </c>
      <c r="V656" s="27" t="s">
        <v>57</v>
      </c>
      <c r="W656" s="20" t="s">
        <v>58</v>
      </c>
      <c r="X656" s="20" t="s">
        <v>59</v>
      </c>
      <c r="Y656" s="20" t="s">
        <v>59</v>
      </c>
      <c r="Z656" s="20" t="s">
        <v>60</v>
      </c>
      <c r="AA656" s="20" t="s">
        <v>61</v>
      </c>
      <c r="AB656" s="20" t="s">
        <v>96</v>
      </c>
      <c r="AC656" s="28">
        <v>369.83</v>
      </c>
      <c r="AD656" s="28">
        <f>SUM(BASE[[#This Row],[MONTO DE RENTA ]]*1.16)</f>
        <v>429.00279999999998</v>
      </c>
      <c r="AE656" s="28" t="s">
        <v>63</v>
      </c>
      <c r="AF656" s="28">
        <v>369.82758620689657</v>
      </c>
      <c r="AG656" s="28">
        <v>429</v>
      </c>
      <c r="AH656" s="22" t="s">
        <v>64</v>
      </c>
      <c r="AI656" s="63">
        <v>45703</v>
      </c>
      <c r="AJ656" s="63">
        <v>46433</v>
      </c>
      <c r="AK6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6" s="30"/>
      <c r="AN656" s="20" t="s">
        <v>65</v>
      </c>
      <c r="AP656" s="20" t="s">
        <v>84</v>
      </c>
    </row>
    <row r="657" spans="1:43" ht="16">
      <c r="A657" s="20">
        <v>4773157539</v>
      </c>
      <c r="B657" s="21">
        <v>160428</v>
      </c>
      <c r="C657" s="20" t="s">
        <v>3169</v>
      </c>
      <c r="D657" s="20" t="s">
        <v>3170</v>
      </c>
      <c r="E657" s="20" t="s">
        <v>3171</v>
      </c>
      <c r="F657" s="20" t="s">
        <v>359</v>
      </c>
      <c r="G657" s="20" t="s">
        <v>248</v>
      </c>
      <c r="H657" s="20" t="s">
        <v>48</v>
      </c>
      <c r="I657" s="20" t="s">
        <v>359</v>
      </c>
      <c r="J657" s="22" t="s">
        <v>3172</v>
      </c>
      <c r="K657" s="22" t="s">
        <v>3172</v>
      </c>
      <c r="L657" s="23" t="s">
        <v>3130</v>
      </c>
      <c r="M657" s="24" t="s">
        <v>7743</v>
      </c>
      <c r="N657" s="23">
        <v>18716000</v>
      </c>
      <c r="O657" s="25" t="s">
        <v>93</v>
      </c>
      <c r="P657" s="25" t="s">
        <v>53</v>
      </c>
      <c r="Q657" s="20" t="s">
        <v>3173</v>
      </c>
      <c r="R657" s="20">
        <v>62116043</v>
      </c>
      <c r="S657" s="25" t="s">
        <v>3174</v>
      </c>
      <c r="T657" s="26" t="s">
        <v>57</v>
      </c>
      <c r="U657" s="23">
        <v>860900062338009</v>
      </c>
      <c r="V657" s="27" t="s">
        <v>57</v>
      </c>
      <c r="W657" s="20" t="s">
        <v>58</v>
      </c>
      <c r="X657" s="20" t="s">
        <v>59</v>
      </c>
      <c r="Y657" s="20" t="s">
        <v>59</v>
      </c>
      <c r="Z657" s="20" t="s">
        <v>60</v>
      </c>
      <c r="AA657" s="20" t="s">
        <v>61</v>
      </c>
      <c r="AB657" s="20" t="s">
        <v>96</v>
      </c>
      <c r="AC657" s="28">
        <v>369.83</v>
      </c>
      <c r="AD657" s="28">
        <f>SUM(BASE[[#This Row],[MONTO DE RENTA ]]*1.16)</f>
        <v>429.00279999999998</v>
      </c>
      <c r="AE657" s="28" t="s">
        <v>63</v>
      </c>
      <c r="AF657" s="28">
        <v>369.82758620689657</v>
      </c>
      <c r="AG657" s="28">
        <v>429</v>
      </c>
      <c r="AH657" s="22" t="s">
        <v>64</v>
      </c>
      <c r="AI657" s="63">
        <v>45703</v>
      </c>
      <c r="AJ657" s="63">
        <v>46433</v>
      </c>
      <c r="AK6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57" s="30"/>
      <c r="AN657" s="20" t="s">
        <v>65</v>
      </c>
      <c r="AP657" s="20" t="s">
        <v>84</v>
      </c>
    </row>
    <row r="658" spans="1:43" ht="16">
      <c r="A658" s="20">
        <v>4772858035</v>
      </c>
      <c r="B658" s="49">
        <v>160097</v>
      </c>
      <c r="C658" s="20" t="s">
        <v>1862</v>
      </c>
      <c r="D658" s="20" t="s">
        <v>3175</v>
      </c>
      <c r="E658" s="20" t="s">
        <v>952</v>
      </c>
      <c r="F658" s="20" t="s">
        <v>122</v>
      </c>
      <c r="G658" s="20" t="s">
        <v>122</v>
      </c>
      <c r="H658" s="20" t="s">
        <v>48</v>
      </c>
      <c r="I658" s="20" t="s">
        <v>122</v>
      </c>
      <c r="J658" s="22" t="s">
        <v>3176</v>
      </c>
      <c r="K658" s="22" t="s">
        <v>3176</v>
      </c>
      <c r="L658" s="23" t="s">
        <v>3130</v>
      </c>
      <c r="M658" s="24" t="s">
        <v>7743</v>
      </c>
      <c r="N658" s="23">
        <v>18716000</v>
      </c>
      <c r="O658" s="25" t="s">
        <v>93</v>
      </c>
      <c r="P658" s="25" t="s">
        <v>53</v>
      </c>
      <c r="Q658" s="20" t="s">
        <v>3177</v>
      </c>
      <c r="R658" s="20">
        <v>61935646</v>
      </c>
      <c r="S658" s="25" t="s">
        <v>55</v>
      </c>
      <c r="T658" s="26" t="s">
        <v>56</v>
      </c>
      <c r="U658" s="23">
        <v>865356065668402</v>
      </c>
      <c r="V658" s="27" t="s">
        <v>183</v>
      </c>
      <c r="W658" s="20" t="s">
        <v>129</v>
      </c>
      <c r="X658" s="20" t="s">
        <v>130</v>
      </c>
      <c r="Y658" s="20" t="s">
        <v>130</v>
      </c>
      <c r="Z658" s="20" t="s">
        <v>60</v>
      </c>
      <c r="AA658" s="20" t="s">
        <v>61</v>
      </c>
      <c r="AB658" s="20" t="s">
        <v>96</v>
      </c>
      <c r="AC658" s="28">
        <v>369.83</v>
      </c>
      <c r="AD658" s="28">
        <f>SUM(BASE[[#This Row],[MONTO DE RENTA ]]*1.16)</f>
        <v>429.00279999999998</v>
      </c>
      <c r="AE658" s="28" t="s">
        <v>63</v>
      </c>
      <c r="AF658" s="28">
        <v>369.82758620689657</v>
      </c>
      <c r="AG658" s="28">
        <v>429</v>
      </c>
      <c r="AI658" s="63">
        <v>44937</v>
      </c>
      <c r="AJ658" s="73">
        <v>46043</v>
      </c>
      <c r="AK6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58" s="30"/>
      <c r="AN658" s="20" t="s">
        <v>99</v>
      </c>
      <c r="AP658" s="20" t="s">
        <v>84</v>
      </c>
      <c r="AQ658" s="20" t="s">
        <v>100</v>
      </c>
    </row>
    <row r="659" spans="1:43" ht="16">
      <c r="A659" s="20">
        <v>4773575504</v>
      </c>
      <c r="B659" s="21">
        <v>770021</v>
      </c>
      <c r="C659" s="20" t="s">
        <v>3178</v>
      </c>
      <c r="D659" s="20" t="s">
        <v>627</v>
      </c>
      <c r="E659" s="20" t="s">
        <v>437</v>
      </c>
      <c r="F659" s="20" t="s">
        <v>257</v>
      </c>
      <c r="G659" s="20" t="s">
        <v>257</v>
      </c>
      <c r="H659" s="20" t="s">
        <v>48</v>
      </c>
      <c r="I659" s="20" t="s">
        <v>257</v>
      </c>
      <c r="J659" s="22" t="s">
        <v>3179</v>
      </c>
      <c r="K659" s="22" t="s">
        <v>3179</v>
      </c>
      <c r="L659" s="23" t="s">
        <v>3130</v>
      </c>
      <c r="M659" s="24" t="s">
        <v>7743</v>
      </c>
      <c r="N659" s="23">
        <v>18716000</v>
      </c>
      <c r="O659" s="25" t="s">
        <v>93</v>
      </c>
      <c r="P659" s="25" t="s">
        <v>53</v>
      </c>
      <c r="Q659" s="20" t="s">
        <v>3180</v>
      </c>
      <c r="R659" s="20">
        <v>62123067</v>
      </c>
      <c r="S659" s="25" t="s">
        <v>3181</v>
      </c>
      <c r="T659" s="26" t="s">
        <v>57</v>
      </c>
      <c r="U659" s="23">
        <v>867353050232557</v>
      </c>
      <c r="V659" s="45" t="s">
        <v>110</v>
      </c>
      <c r="W659" s="20" t="s">
        <v>149</v>
      </c>
      <c r="X659" s="20" t="s">
        <v>150</v>
      </c>
      <c r="Y659" s="20" t="s">
        <v>150</v>
      </c>
      <c r="Z659" s="20" t="s">
        <v>80</v>
      </c>
      <c r="AA659" s="20" t="s">
        <v>81</v>
      </c>
      <c r="AB659" s="20" t="s">
        <v>82</v>
      </c>
      <c r="AC659" s="28">
        <v>559.48</v>
      </c>
      <c r="AD659" s="28">
        <f>SUM(BASE[[#This Row],[MONTO DE RENTA ]]*1.16)</f>
        <v>648.99680000000001</v>
      </c>
      <c r="AE659" s="28" t="s">
        <v>83</v>
      </c>
      <c r="AF659" s="28">
        <v>559.48275862068965</v>
      </c>
      <c r="AG659" s="28">
        <v>649</v>
      </c>
      <c r="AI659" s="63">
        <v>45213</v>
      </c>
      <c r="AJ659" s="63">
        <v>45944</v>
      </c>
      <c r="AK659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659" s="30"/>
      <c r="AN659" s="20" t="s">
        <v>99</v>
      </c>
      <c r="AP659" s="20" t="s">
        <v>84</v>
      </c>
      <c r="AQ659" s="20" t="s">
        <v>100</v>
      </c>
    </row>
    <row r="660" spans="1:43" ht="16">
      <c r="A660" s="20">
        <v>4773576872</v>
      </c>
      <c r="B660" s="21">
        <v>1011676</v>
      </c>
      <c r="C660" s="20" t="s">
        <v>3128</v>
      </c>
      <c r="D660" s="20" t="s">
        <v>818</v>
      </c>
      <c r="E660" s="20" t="s">
        <v>2814</v>
      </c>
      <c r="F660" s="20" t="s">
        <v>104</v>
      </c>
      <c r="G660" s="20" t="s">
        <v>104</v>
      </c>
      <c r="H660" s="20" t="s">
        <v>48</v>
      </c>
      <c r="I660" s="20" t="s">
        <v>104</v>
      </c>
      <c r="J660" s="22" t="s">
        <v>3182</v>
      </c>
      <c r="K660" s="32" t="s">
        <v>3182</v>
      </c>
      <c r="L660" s="23" t="s">
        <v>3130</v>
      </c>
      <c r="M660" s="24" t="s">
        <v>7743</v>
      </c>
      <c r="N660" s="23">
        <v>18716000</v>
      </c>
      <c r="O660" s="25" t="s">
        <v>93</v>
      </c>
      <c r="P660" s="25" t="s">
        <v>53</v>
      </c>
      <c r="Q660" s="20" t="s">
        <v>3183</v>
      </c>
      <c r="R660" s="20">
        <v>62123074</v>
      </c>
      <c r="S660" s="25" t="s">
        <v>3184</v>
      </c>
      <c r="T660" s="26" t="s">
        <v>57</v>
      </c>
      <c r="U660" s="23">
        <v>860478064953026</v>
      </c>
      <c r="V660" s="45" t="s">
        <v>110</v>
      </c>
      <c r="W660" s="20" t="s">
        <v>302</v>
      </c>
      <c r="X660" s="20" t="s">
        <v>303</v>
      </c>
      <c r="Y660" s="20" t="s">
        <v>303</v>
      </c>
      <c r="Z660" s="20" t="s">
        <v>60</v>
      </c>
      <c r="AA660" s="20" t="s">
        <v>61</v>
      </c>
      <c r="AB660" s="20" t="s">
        <v>96</v>
      </c>
      <c r="AC660" s="28">
        <v>369.83</v>
      </c>
      <c r="AD660" s="28">
        <f>SUM(BASE[[#This Row],[MONTO DE RENTA ]]*1.16)</f>
        <v>429.00279999999998</v>
      </c>
      <c r="AE660" s="28" t="s">
        <v>97</v>
      </c>
      <c r="AF660" s="28">
        <v>473.27586206896552</v>
      </c>
      <c r="AG660" s="28">
        <v>549</v>
      </c>
      <c r="AH660" s="22" t="s">
        <v>64</v>
      </c>
      <c r="AI660" s="63">
        <v>45703</v>
      </c>
      <c r="AJ660" s="63">
        <v>46433</v>
      </c>
      <c r="AK6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0" s="30"/>
      <c r="AN660" s="20" t="s">
        <v>65</v>
      </c>
      <c r="AP660" s="20" t="s">
        <v>66</v>
      </c>
    </row>
    <row r="661" spans="1:43" ht="16">
      <c r="A661" s="20">
        <v>4773576873</v>
      </c>
      <c r="B661" s="59">
        <v>1011676</v>
      </c>
      <c r="C661" s="20" t="s">
        <v>3128</v>
      </c>
      <c r="D661" s="20" t="s">
        <v>818</v>
      </c>
      <c r="E661" s="20" t="s">
        <v>2814</v>
      </c>
      <c r="F661" s="20" t="s">
        <v>104</v>
      </c>
      <c r="G661" s="20" t="s">
        <v>104</v>
      </c>
      <c r="H661" s="20" t="s">
        <v>48</v>
      </c>
      <c r="I661" s="20" t="s">
        <v>104</v>
      </c>
      <c r="J661" s="22" t="s">
        <v>3185</v>
      </c>
      <c r="K661" s="22" t="s">
        <v>3185</v>
      </c>
      <c r="L661" s="23" t="s">
        <v>3130</v>
      </c>
      <c r="M661" s="24" t="s">
        <v>7743</v>
      </c>
      <c r="N661" s="23">
        <v>18716000</v>
      </c>
      <c r="O661" s="25" t="s">
        <v>93</v>
      </c>
      <c r="P661" s="25" t="s">
        <v>53</v>
      </c>
      <c r="Q661" s="20" t="s">
        <v>3186</v>
      </c>
      <c r="R661" s="20">
        <v>62123075</v>
      </c>
      <c r="S661" s="25" t="s">
        <v>3187</v>
      </c>
      <c r="T661" s="26" t="s">
        <v>57</v>
      </c>
      <c r="U661" s="23">
        <v>867353050222517</v>
      </c>
      <c r="V661" s="45" t="s">
        <v>110</v>
      </c>
      <c r="W661" s="20" t="s">
        <v>149</v>
      </c>
      <c r="X661" s="20" t="s">
        <v>150</v>
      </c>
      <c r="Y661" s="20" t="s">
        <v>150</v>
      </c>
      <c r="Z661" s="20" t="s">
        <v>80</v>
      </c>
      <c r="AA661" s="20" t="s">
        <v>81</v>
      </c>
      <c r="AB661" s="20" t="s">
        <v>82</v>
      </c>
      <c r="AC661" s="28">
        <v>559.48</v>
      </c>
      <c r="AD661" s="28">
        <f>SUM(BASE[[#This Row],[MONTO DE RENTA ]]*1.16)</f>
        <v>648.99680000000001</v>
      </c>
      <c r="AE661" s="28" t="s">
        <v>83</v>
      </c>
      <c r="AF661" s="28">
        <v>559.48275862068965</v>
      </c>
      <c r="AG661" s="28">
        <v>649</v>
      </c>
      <c r="AI661" s="63">
        <v>45213</v>
      </c>
      <c r="AJ661" s="63">
        <v>45944</v>
      </c>
      <c r="AK661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661" s="30"/>
      <c r="AN661" s="20" t="s">
        <v>99</v>
      </c>
      <c r="AP661" s="20" t="s">
        <v>84</v>
      </c>
      <c r="AQ661" s="20" t="s">
        <v>100</v>
      </c>
    </row>
    <row r="662" spans="1:43" ht="16">
      <c r="A662" s="20">
        <v>4773576874</v>
      </c>
      <c r="B662" s="21">
        <v>160636</v>
      </c>
      <c r="C662" s="20" t="s">
        <v>3188</v>
      </c>
      <c r="D662" s="20" t="s">
        <v>3189</v>
      </c>
      <c r="E662" s="20" t="s">
        <v>999</v>
      </c>
      <c r="F662" s="20" t="s">
        <v>104</v>
      </c>
      <c r="G662" s="20" t="s">
        <v>104</v>
      </c>
      <c r="H662" s="20" t="s">
        <v>48</v>
      </c>
      <c r="I662" s="20" t="s">
        <v>104</v>
      </c>
      <c r="J662" s="22" t="s">
        <v>3190</v>
      </c>
      <c r="K662" s="22" t="s">
        <v>3190</v>
      </c>
      <c r="L662" s="25" t="s">
        <v>3130</v>
      </c>
      <c r="M662" s="24" t="s">
        <v>7743</v>
      </c>
      <c r="N662" s="23">
        <v>18716000</v>
      </c>
      <c r="O662" s="25" t="s">
        <v>93</v>
      </c>
      <c r="P662" s="25" t="s">
        <v>53</v>
      </c>
      <c r="Q662" s="20" t="s">
        <v>3191</v>
      </c>
      <c r="R662" s="20">
        <v>62123076</v>
      </c>
      <c r="S662" s="25" t="s">
        <v>3192</v>
      </c>
      <c r="T662" s="26" t="s">
        <v>57</v>
      </c>
      <c r="U662" s="23">
        <v>860478064952598</v>
      </c>
      <c r="V662" s="45" t="s">
        <v>110</v>
      </c>
      <c r="W662" s="20" t="s">
        <v>302</v>
      </c>
      <c r="X662" s="20" t="s">
        <v>303</v>
      </c>
      <c r="Y662" s="20" t="s">
        <v>303</v>
      </c>
      <c r="Z662" s="20" t="s">
        <v>80</v>
      </c>
      <c r="AA662" s="20" t="s">
        <v>81</v>
      </c>
      <c r="AB662" s="20" t="s">
        <v>82</v>
      </c>
      <c r="AC662" s="28">
        <v>559.48</v>
      </c>
      <c r="AD662" s="28">
        <f>SUM(BASE[[#This Row],[MONTO DE RENTA ]]*1.16)</f>
        <v>648.99680000000001</v>
      </c>
      <c r="AE662" s="28" t="s">
        <v>83</v>
      </c>
      <c r="AF662" s="28">
        <v>559.48275862068965</v>
      </c>
      <c r="AG662" s="28">
        <v>649</v>
      </c>
      <c r="AH662" s="22" t="s">
        <v>64</v>
      </c>
      <c r="AI662" s="63">
        <v>45703</v>
      </c>
      <c r="AJ662" s="63">
        <v>46433</v>
      </c>
      <c r="AK6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2" s="30"/>
      <c r="AN662" s="20" t="s">
        <v>65</v>
      </c>
      <c r="AP662" s="20" t="s">
        <v>84</v>
      </c>
    </row>
    <row r="663" spans="1:43" ht="16">
      <c r="A663" s="20">
        <v>6141723150</v>
      </c>
      <c r="B663" s="21">
        <v>191123</v>
      </c>
      <c r="C663" s="20" t="s">
        <v>1648</v>
      </c>
      <c r="D663" s="20" t="s">
        <v>2987</v>
      </c>
      <c r="E663" s="20" t="s">
        <v>45</v>
      </c>
      <c r="F663" s="20" t="s">
        <v>104</v>
      </c>
      <c r="G663" s="20" t="s">
        <v>104</v>
      </c>
      <c r="H663" s="20" t="s">
        <v>48</v>
      </c>
      <c r="I663" s="20" t="s">
        <v>104</v>
      </c>
      <c r="J663" s="22" t="s">
        <v>3193</v>
      </c>
      <c r="K663" s="32" t="s">
        <v>3193</v>
      </c>
      <c r="L663" s="23" t="s">
        <v>3194</v>
      </c>
      <c r="M663" s="24" t="s">
        <v>7744</v>
      </c>
      <c r="N663" s="23">
        <v>18719000</v>
      </c>
      <c r="O663" s="25" t="s">
        <v>362</v>
      </c>
      <c r="P663" s="25" t="s">
        <v>53</v>
      </c>
      <c r="Q663" s="20" t="s">
        <v>3195</v>
      </c>
      <c r="R663" s="20">
        <v>31854473</v>
      </c>
      <c r="S663" s="25" t="s">
        <v>3196</v>
      </c>
      <c r="T663" s="26" t="s">
        <v>57</v>
      </c>
      <c r="U663" s="23">
        <v>860478064859389</v>
      </c>
      <c r="V663" s="45" t="s">
        <v>110</v>
      </c>
      <c r="W663" s="20" t="s">
        <v>302</v>
      </c>
      <c r="X663" s="20" t="s">
        <v>303</v>
      </c>
      <c r="Y663" s="20" t="s">
        <v>303</v>
      </c>
      <c r="Z663" s="20" t="s">
        <v>80</v>
      </c>
      <c r="AA663" s="20" t="s">
        <v>81</v>
      </c>
      <c r="AB663" s="20" t="s">
        <v>82</v>
      </c>
      <c r="AC663" s="28">
        <v>559.48</v>
      </c>
      <c r="AD663" s="28">
        <f>SUM(BASE[[#This Row],[MONTO DE RENTA ]]*1.16)</f>
        <v>648.99680000000001</v>
      </c>
      <c r="AE663" s="28" t="s">
        <v>83</v>
      </c>
      <c r="AF663" s="28">
        <v>559.48275862068965</v>
      </c>
      <c r="AG663" s="28">
        <v>649</v>
      </c>
      <c r="AH663" s="22" t="s">
        <v>64</v>
      </c>
      <c r="AI663" s="63">
        <v>45703</v>
      </c>
      <c r="AJ663" s="63">
        <v>46433</v>
      </c>
      <c r="AK6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3" s="30"/>
      <c r="AN663" s="20" t="s">
        <v>65</v>
      </c>
      <c r="AP663" s="20" t="s">
        <v>84</v>
      </c>
    </row>
    <row r="664" spans="1:43" s="69" customFormat="1" ht="16">
      <c r="A664" s="20">
        <v>4771562985</v>
      </c>
      <c r="B664" s="49">
        <v>160025</v>
      </c>
      <c r="C664" s="20" t="s">
        <v>3197</v>
      </c>
      <c r="D664" s="20" t="s">
        <v>102</v>
      </c>
      <c r="E664" s="20" t="s">
        <v>1367</v>
      </c>
      <c r="F664" s="20" t="s">
        <v>70</v>
      </c>
      <c r="G664" s="20" t="s">
        <v>70</v>
      </c>
      <c r="H664" s="20" t="s">
        <v>48</v>
      </c>
      <c r="I664" s="20" t="s">
        <v>70</v>
      </c>
      <c r="J664" s="22" t="s">
        <v>3198</v>
      </c>
      <c r="K664" s="22" t="s">
        <v>3198</v>
      </c>
      <c r="L664" s="23" t="s">
        <v>3130</v>
      </c>
      <c r="M664" s="24" t="s">
        <v>7743</v>
      </c>
      <c r="N664" s="23">
        <v>18716000</v>
      </c>
      <c r="O664" s="25" t="s">
        <v>93</v>
      </c>
      <c r="P664" s="25" t="s">
        <v>53</v>
      </c>
      <c r="Q664" s="20" t="s">
        <v>3199</v>
      </c>
      <c r="R664" s="20">
        <v>62025817</v>
      </c>
      <c r="S664" s="25" t="s">
        <v>55</v>
      </c>
      <c r="T664" s="26" t="s">
        <v>56</v>
      </c>
      <c r="U664" s="23">
        <v>357894929815517</v>
      </c>
      <c r="V664" s="27" t="s">
        <v>78</v>
      </c>
      <c r="W664" s="20" t="s">
        <v>95</v>
      </c>
      <c r="X664" s="20" t="s">
        <v>95</v>
      </c>
      <c r="Y664" s="20" t="s">
        <v>95</v>
      </c>
      <c r="Z664" s="20" t="s">
        <v>60</v>
      </c>
      <c r="AA664" s="20" t="s">
        <v>61</v>
      </c>
      <c r="AB664" s="20" t="s">
        <v>82</v>
      </c>
      <c r="AC664" s="28">
        <v>559.48</v>
      </c>
      <c r="AD664" s="28">
        <f>SUM(BASE[[#This Row],[MONTO DE RENTA ]]*1.16)</f>
        <v>648.99680000000001</v>
      </c>
      <c r="AE664" s="28" t="s">
        <v>83</v>
      </c>
      <c r="AF664" s="28">
        <v>559.48275862068965</v>
      </c>
      <c r="AG664" s="28">
        <v>649</v>
      </c>
      <c r="AH664" s="22"/>
      <c r="AI664" s="29">
        <v>44937</v>
      </c>
      <c r="AJ664" s="50">
        <v>46043</v>
      </c>
      <c r="AK66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664" s="20"/>
      <c r="AM664" s="30"/>
      <c r="AN664" s="20" t="s">
        <v>99</v>
      </c>
      <c r="AO664" s="20"/>
      <c r="AP664" s="20" t="s">
        <v>84</v>
      </c>
      <c r="AQ664" s="20" t="s">
        <v>100</v>
      </c>
    </row>
    <row r="665" spans="1:43" ht="16">
      <c r="A665" s="20">
        <v>6141712027</v>
      </c>
      <c r="B665" s="21">
        <v>1047296</v>
      </c>
      <c r="C665" s="20" t="s">
        <v>3200</v>
      </c>
      <c r="D665" s="20" t="s">
        <v>357</v>
      </c>
      <c r="E665" s="20" t="s">
        <v>3201</v>
      </c>
      <c r="F665" s="20" t="s">
        <v>418</v>
      </c>
      <c r="G665" s="20" t="s">
        <v>47</v>
      </c>
      <c r="H665" s="20" t="s">
        <v>48</v>
      </c>
      <c r="I665" s="20" t="s">
        <v>418</v>
      </c>
      <c r="J665" s="22" t="s">
        <v>3202</v>
      </c>
      <c r="K665" s="22" t="s">
        <v>3202</v>
      </c>
      <c r="L665" s="23" t="s">
        <v>3194</v>
      </c>
      <c r="M665" s="24" t="s">
        <v>7744</v>
      </c>
      <c r="N665" s="23">
        <v>18719000</v>
      </c>
      <c r="O665" s="25" t="s">
        <v>362</v>
      </c>
      <c r="P665" s="25" t="s">
        <v>53</v>
      </c>
      <c r="Q665" s="20" t="s">
        <v>3203</v>
      </c>
      <c r="R665" s="20">
        <v>31859634</v>
      </c>
      <c r="S665" s="25" t="s">
        <v>3204</v>
      </c>
      <c r="T665" s="26" t="s">
        <v>57</v>
      </c>
      <c r="U665" s="23">
        <v>860900062257423</v>
      </c>
      <c r="V665" s="27" t="s">
        <v>57</v>
      </c>
      <c r="W665" s="20" t="s">
        <v>58</v>
      </c>
      <c r="X665" s="20" t="s">
        <v>59</v>
      </c>
      <c r="Y665" s="20" t="s">
        <v>59</v>
      </c>
      <c r="Z665" s="20" t="s">
        <v>80</v>
      </c>
      <c r="AA665" s="20" t="s">
        <v>81</v>
      </c>
      <c r="AB665" s="20" t="s">
        <v>96</v>
      </c>
      <c r="AC665" s="28">
        <v>369.83</v>
      </c>
      <c r="AD665" s="28">
        <f>SUM(BASE[[#This Row],[MONTO DE RENTA ]]*1.16)</f>
        <v>429.00279999999998</v>
      </c>
      <c r="AE665" s="28" t="s">
        <v>63</v>
      </c>
      <c r="AF665" s="28">
        <v>369.82758620689657</v>
      </c>
      <c r="AG665" s="28">
        <v>429</v>
      </c>
      <c r="AH665" s="22" t="s">
        <v>64</v>
      </c>
      <c r="AI665" s="29">
        <v>45703</v>
      </c>
      <c r="AJ665" s="29">
        <v>46433</v>
      </c>
      <c r="AK6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5" s="30"/>
      <c r="AN665" s="20" t="s">
        <v>65</v>
      </c>
      <c r="AP665" s="20" t="s">
        <v>84</v>
      </c>
    </row>
    <row r="666" spans="1:43" ht="16">
      <c r="A666" s="20">
        <v>6141726734</v>
      </c>
      <c r="B666" s="21">
        <v>1054103</v>
      </c>
      <c r="C666" s="20" t="s">
        <v>3205</v>
      </c>
      <c r="D666" s="20" t="s">
        <v>172</v>
      </c>
      <c r="E666" s="20" t="s">
        <v>3206</v>
      </c>
      <c r="F666" s="20" t="s">
        <v>451</v>
      </c>
      <c r="G666" s="20" t="s">
        <v>248</v>
      </c>
      <c r="H666" s="20" t="s">
        <v>48</v>
      </c>
      <c r="I666" s="20" t="s">
        <v>451</v>
      </c>
      <c r="J666" s="22" t="s">
        <v>3207</v>
      </c>
      <c r="K666" s="22" t="s">
        <v>3207</v>
      </c>
      <c r="L666" s="23" t="s">
        <v>3194</v>
      </c>
      <c r="M666" s="24" t="s">
        <v>7744</v>
      </c>
      <c r="N666" s="23">
        <v>18719000</v>
      </c>
      <c r="O666" s="25" t="s">
        <v>362</v>
      </c>
      <c r="P666" s="25" t="s">
        <v>53</v>
      </c>
      <c r="Q666" s="20" t="s">
        <v>3208</v>
      </c>
      <c r="R666" s="20">
        <v>31848335</v>
      </c>
      <c r="S666" s="25" t="s">
        <v>3209</v>
      </c>
      <c r="T666" s="26" t="s">
        <v>57</v>
      </c>
      <c r="U666" s="23">
        <v>860900062257225</v>
      </c>
      <c r="V666" s="27" t="s">
        <v>57</v>
      </c>
      <c r="W666" s="20" t="s">
        <v>58</v>
      </c>
      <c r="X666" s="20" t="s">
        <v>59</v>
      </c>
      <c r="Y666" s="20" t="s">
        <v>59</v>
      </c>
      <c r="Z666" s="20" t="s">
        <v>80</v>
      </c>
      <c r="AA666" s="20" t="s">
        <v>81</v>
      </c>
      <c r="AB666" s="20" t="s">
        <v>96</v>
      </c>
      <c r="AC666" s="28">
        <v>369.83</v>
      </c>
      <c r="AD666" s="28">
        <f>SUM(BASE[[#This Row],[MONTO DE RENTA ]]*1.16)</f>
        <v>429.00279999999998</v>
      </c>
      <c r="AE666" s="28" t="s">
        <v>63</v>
      </c>
      <c r="AF666" s="28">
        <v>369.82758620689657</v>
      </c>
      <c r="AG666" s="28">
        <v>429</v>
      </c>
      <c r="AH666" s="22" t="s">
        <v>64</v>
      </c>
      <c r="AI666" s="29">
        <v>45703</v>
      </c>
      <c r="AJ666" s="29">
        <v>46433</v>
      </c>
      <c r="AK6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6" s="30"/>
      <c r="AN666" s="20" t="s">
        <v>65</v>
      </c>
      <c r="AP666" s="20" t="s">
        <v>84</v>
      </c>
    </row>
    <row r="667" spans="1:43" ht="16">
      <c r="A667" s="20">
        <v>6141706993</v>
      </c>
      <c r="B667" s="21">
        <v>997978</v>
      </c>
      <c r="C667" s="20" t="s">
        <v>3210</v>
      </c>
      <c r="D667" s="20" t="s">
        <v>593</v>
      </c>
      <c r="E667" s="20" t="s">
        <v>293</v>
      </c>
      <c r="F667" s="20" t="s">
        <v>257</v>
      </c>
      <c r="G667" s="20" t="s">
        <v>257</v>
      </c>
      <c r="H667" s="20" t="s">
        <v>48</v>
      </c>
      <c r="I667" s="20" t="s">
        <v>257</v>
      </c>
      <c r="J667" s="22" t="s">
        <v>3211</v>
      </c>
      <c r="K667" s="22" t="s">
        <v>3211</v>
      </c>
      <c r="L667" s="23" t="s">
        <v>3194</v>
      </c>
      <c r="M667" s="24" t="s">
        <v>7744</v>
      </c>
      <c r="N667" s="23">
        <v>18719000</v>
      </c>
      <c r="O667" s="25" t="s">
        <v>362</v>
      </c>
      <c r="P667" s="25" t="s">
        <v>53</v>
      </c>
      <c r="Q667" s="20" t="s">
        <v>3212</v>
      </c>
      <c r="R667" s="20">
        <v>31854474</v>
      </c>
      <c r="S667" s="25" t="s">
        <v>3213</v>
      </c>
      <c r="T667" s="26" t="s">
        <v>57</v>
      </c>
      <c r="U667" s="23">
        <v>860478064858845</v>
      </c>
      <c r="V667" s="45" t="s">
        <v>110</v>
      </c>
      <c r="W667" s="20" t="s">
        <v>302</v>
      </c>
      <c r="X667" s="20" t="s">
        <v>303</v>
      </c>
      <c r="Y667" s="20" t="s">
        <v>303</v>
      </c>
      <c r="Z667" s="20" t="s">
        <v>80</v>
      </c>
      <c r="AA667" s="20" t="s">
        <v>81</v>
      </c>
      <c r="AB667" s="20" t="s">
        <v>82</v>
      </c>
      <c r="AC667" s="28">
        <v>559.48</v>
      </c>
      <c r="AD667" s="28">
        <f>SUM(BASE[[#This Row],[MONTO DE RENTA ]]*1.16)</f>
        <v>648.99680000000001</v>
      </c>
      <c r="AE667" s="28" t="s">
        <v>83</v>
      </c>
      <c r="AF667" s="28">
        <v>559.48275862068965</v>
      </c>
      <c r="AG667" s="28">
        <v>649</v>
      </c>
      <c r="AH667" s="22" t="s">
        <v>64</v>
      </c>
      <c r="AI667" s="29">
        <v>45703</v>
      </c>
      <c r="AJ667" s="29">
        <v>46433</v>
      </c>
      <c r="AK6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7" s="30"/>
      <c r="AN667" s="20" t="s">
        <v>65</v>
      </c>
      <c r="AP667" s="20" t="s">
        <v>84</v>
      </c>
    </row>
    <row r="668" spans="1:43" ht="16">
      <c r="A668" s="20">
        <v>6141653408</v>
      </c>
      <c r="B668" s="21">
        <v>1055303</v>
      </c>
      <c r="C668" s="20" t="s">
        <v>3214</v>
      </c>
      <c r="D668" s="20" t="s">
        <v>3215</v>
      </c>
      <c r="E668" s="20" t="s">
        <v>3216</v>
      </c>
      <c r="F668" s="20" t="s">
        <v>104</v>
      </c>
      <c r="G668" s="20" t="s">
        <v>104</v>
      </c>
      <c r="H668" s="20" t="s">
        <v>48</v>
      </c>
      <c r="I668" s="20" t="s">
        <v>104</v>
      </c>
      <c r="J668" s="22" t="s">
        <v>3217</v>
      </c>
      <c r="K668" s="32" t="s">
        <v>3217</v>
      </c>
      <c r="L668" s="23" t="s">
        <v>3194</v>
      </c>
      <c r="M668" s="24" t="s">
        <v>7744</v>
      </c>
      <c r="N668" s="23">
        <v>18719000</v>
      </c>
      <c r="O668" s="25" t="s">
        <v>362</v>
      </c>
      <c r="P668" s="25" t="s">
        <v>53</v>
      </c>
      <c r="Q668" s="20" t="s">
        <v>3218</v>
      </c>
      <c r="R668" s="20">
        <v>31854468</v>
      </c>
      <c r="S668" s="25" t="s">
        <v>3219</v>
      </c>
      <c r="T668" s="26" t="s">
        <v>57</v>
      </c>
      <c r="U668" s="23">
        <v>860478064953174</v>
      </c>
      <c r="V668" s="45" t="s">
        <v>110</v>
      </c>
      <c r="W668" s="20" t="s">
        <v>302</v>
      </c>
      <c r="X668" s="20" t="s">
        <v>303</v>
      </c>
      <c r="Y668" s="20" t="s">
        <v>303</v>
      </c>
      <c r="Z668" s="20" t="s">
        <v>80</v>
      </c>
      <c r="AA668" s="20" t="s">
        <v>81</v>
      </c>
      <c r="AB668" s="20" t="s">
        <v>82</v>
      </c>
      <c r="AC668" s="28">
        <v>559.48</v>
      </c>
      <c r="AD668" s="28">
        <f>SUM(BASE[[#This Row],[MONTO DE RENTA ]]*1.16)</f>
        <v>648.99680000000001</v>
      </c>
      <c r="AE668" s="28" t="s">
        <v>83</v>
      </c>
      <c r="AF668" s="28">
        <v>559.48275862068965</v>
      </c>
      <c r="AG668" s="28">
        <v>649</v>
      </c>
      <c r="AH668" s="22" t="s">
        <v>64</v>
      </c>
      <c r="AI668" s="63">
        <v>45703</v>
      </c>
      <c r="AJ668" s="63">
        <v>46433</v>
      </c>
      <c r="AK6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68" s="30"/>
      <c r="AN668" s="20" t="s">
        <v>65</v>
      </c>
      <c r="AP668" s="20" t="s">
        <v>84</v>
      </c>
    </row>
    <row r="669" spans="1:43" ht="16">
      <c r="A669" s="20">
        <v>6142555615</v>
      </c>
      <c r="B669" s="49">
        <v>191123</v>
      </c>
      <c r="C669" s="20" t="s">
        <v>1648</v>
      </c>
      <c r="D669" s="20" t="s">
        <v>2987</v>
      </c>
      <c r="E669" s="20" t="s">
        <v>45</v>
      </c>
      <c r="F669" s="20" t="s">
        <v>104</v>
      </c>
      <c r="G669" s="20" t="s">
        <v>122</v>
      </c>
      <c r="H669" s="20" t="s">
        <v>48</v>
      </c>
      <c r="I669" s="20" t="s">
        <v>104</v>
      </c>
      <c r="J669" s="22" t="s">
        <v>3220</v>
      </c>
      <c r="K669" s="22" t="s">
        <v>3220</v>
      </c>
      <c r="L669" s="23" t="s">
        <v>3194</v>
      </c>
      <c r="M669" s="24" t="s">
        <v>7744</v>
      </c>
      <c r="N669" s="23">
        <v>18719000</v>
      </c>
      <c r="O669" s="25" t="s">
        <v>362</v>
      </c>
      <c r="P669" s="25" t="s">
        <v>53</v>
      </c>
      <c r="Q669" s="20" t="s">
        <v>3221</v>
      </c>
      <c r="R669" s="20">
        <v>32113010</v>
      </c>
      <c r="S669" s="25" t="s">
        <v>55</v>
      </c>
      <c r="T669" s="44" t="s">
        <v>56</v>
      </c>
      <c r="U669" s="23">
        <v>860900062735824</v>
      </c>
      <c r="V669" s="27" t="s">
        <v>183</v>
      </c>
      <c r="W669" s="20" t="s">
        <v>58</v>
      </c>
      <c r="X669" s="20" t="s">
        <v>59</v>
      </c>
      <c r="Y669" s="20" t="s">
        <v>59</v>
      </c>
      <c r="Z669" s="20" t="s">
        <v>60</v>
      </c>
      <c r="AA669" s="20" t="s">
        <v>61</v>
      </c>
      <c r="AB669" s="20" t="s">
        <v>96</v>
      </c>
      <c r="AC669" s="28">
        <v>369.83</v>
      </c>
      <c r="AD669" s="28">
        <f>SUM(BASE[[#This Row],[MONTO DE RENTA ]]*1.16)</f>
        <v>429.00279999999998</v>
      </c>
      <c r="AE669" s="28" t="s">
        <v>63</v>
      </c>
      <c r="AF669" s="28">
        <v>369.82758620689657</v>
      </c>
      <c r="AG669" s="28">
        <v>429</v>
      </c>
      <c r="AI669" s="63">
        <v>45309</v>
      </c>
      <c r="AJ669" s="63">
        <v>46040</v>
      </c>
      <c r="AK66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69" s="30"/>
      <c r="AN669" s="20" t="s">
        <v>99</v>
      </c>
      <c r="AP669" s="20" t="s">
        <v>84</v>
      </c>
      <c r="AQ669" s="20" t="s">
        <v>100</v>
      </c>
    </row>
    <row r="670" spans="1:43" ht="16">
      <c r="A670" s="20">
        <v>6141706281</v>
      </c>
      <c r="B670" s="21">
        <v>1030532</v>
      </c>
      <c r="C670" s="20" t="s">
        <v>3222</v>
      </c>
      <c r="D670" s="20" t="s">
        <v>298</v>
      </c>
      <c r="E670" s="20" t="s">
        <v>187</v>
      </c>
      <c r="F670" s="20" t="s">
        <v>384</v>
      </c>
      <c r="G670" s="20" t="s">
        <v>104</v>
      </c>
      <c r="H670" s="20" t="s">
        <v>48</v>
      </c>
      <c r="I670" s="20" t="s">
        <v>384</v>
      </c>
      <c r="J670" s="22" t="s">
        <v>3223</v>
      </c>
      <c r="K670" s="22" t="s">
        <v>3223</v>
      </c>
      <c r="L670" s="23" t="s">
        <v>3194</v>
      </c>
      <c r="M670" s="24" t="s">
        <v>7744</v>
      </c>
      <c r="N670" s="23">
        <v>18719000</v>
      </c>
      <c r="O670" s="25" t="s">
        <v>362</v>
      </c>
      <c r="P670" s="25" t="s">
        <v>53</v>
      </c>
      <c r="Q670" s="20" t="s">
        <v>3224</v>
      </c>
      <c r="R670" s="20">
        <v>31854470</v>
      </c>
      <c r="S670" s="25" t="s">
        <v>3225</v>
      </c>
      <c r="T670" s="26" t="s">
        <v>57</v>
      </c>
      <c r="U670" s="23">
        <v>860478064953778</v>
      </c>
      <c r="V670" s="45" t="s">
        <v>110</v>
      </c>
      <c r="W670" s="20" t="s">
        <v>302</v>
      </c>
      <c r="X670" s="20" t="s">
        <v>303</v>
      </c>
      <c r="Y670" s="20" t="s">
        <v>303</v>
      </c>
      <c r="Z670" s="20" t="s">
        <v>80</v>
      </c>
      <c r="AA670" s="20" t="s">
        <v>81</v>
      </c>
      <c r="AB670" s="20" t="s">
        <v>82</v>
      </c>
      <c r="AC670" s="28">
        <v>559.48</v>
      </c>
      <c r="AD670" s="28">
        <f>SUM(BASE[[#This Row],[MONTO DE RENTA ]]*1.16)</f>
        <v>648.99680000000001</v>
      </c>
      <c r="AE670" s="28" t="s">
        <v>83</v>
      </c>
      <c r="AF670" s="28">
        <v>559.48275862068965</v>
      </c>
      <c r="AG670" s="28">
        <v>649</v>
      </c>
      <c r="AH670" s="22" t="s">
        <v>64</v>
      </c>
      <c r="AI670" s="63">
        <v>45703</v>
      </c>
      <c r="AJ670" s="63">
        <v>46433</v>
      </c>
      <c r="AK6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0" s="30"/>
      <c r="AN670" s="20" t="s">
        <v>65</v>
      </c>
      <c r="AP670" s="20" t="s">
        <v>84</v>
      </c>
    </row>
    <row r="671" spans="1:43" ht="16">
      <c r="A671" s="51">
        <v>6141560438</v>
      </c>
      <c r="B671" s="49">
        <v>660646</v>
      </c>
      <c r="C671" s="20" t="s">
        <v>3094</v>
      </c>
      <c r="D671" s="20" t="s">
        <v>3095</v>
      </c>
      <c r="E671" s="20" t="s">
        <v>3096</v>
      </c>
      <c r="F671" s="20" t="s">
        <v>70</v>
      </c>
      <c r="G671" s="20" t="s">
        <v>70</v>
      </c>
      <c r="H671" s="20" t="s">
        <v>48</v>
      </c>
      <c r="I671" s="20" t="s">
        <v>70</v>
      </c>
      <c r="J671" s="56" t="s">
        <v>3226</v>
      </c>
      <c r="K671" s="56" t="s">
        <v>3226</v>
      </c>
      <c r="L671" s="23" t="s">
        <v>3194</v>
      </c>
      <c r="M671" s="24" t="s">
        <v>7744</v>
      </c>
      <c r="N671" s="23">
        <v>18719000</v>
      </c>
      <c r="O671" s="25" t="s">
        <v>362</v>
      </c>
      <c r="P671" s="25" t="s">
        <v>53</v>
      </c>
      <c r="Q671" s="20" t="s">
        <v>3227</v>
      </c>
      <c r="R671" s="20">
        <v>31744416</v>
      </c>
      <c r="S671" s="25" t="s">
        <v>55</v>
      </c>
      <c r="T671" s="199" t="s">
        <v>56</v>
      </c>
      <c r="U671" s="23">
        <v>357894929860067</v>
      </c>
      <c r="V671" s="27" t="s">
        <v>78</v>
      </c>
      <c r="W671" s="20" t="s">
        <v>95</v>
      </c>
      <c r="X671" s="20" t="s">
        <v>95</v>
      </c>
      <c r="Y671" s="20" t="s">
        <v>95</v>
      </c>
      <c r="Z671" s="20" t="s">
        <v>60</v>
      </c>
      <c r="AA671" s="20" t="s">
        <v>61</v>
      </c>
      <c r="AB671" s="20" t="s">
        <v>96</v>
      </c>
      <c r="AC671" s="28">
        <v>369.83</v>
      </c>
      <c r="AD671" s="28">
        <f>SUM(BASE[[#This Row],[MONTO DE RENTA ]]*1.16)</f>
        <v>429.00279999999998</v>
      </c>
      <c r="AE671" s="28" t="s">
        <v>83</v>
      </c>
      <c r="AF671" s="28">
        <v>559.48275862068965</v>
      </c>
      <c r="AG671" s="28">
        <v>649</v>
      </c>
      <c r="AH671" s="56"/>
      <c r="AI671" s="63">
        <v>44937</v>
      </c>
      <c r="AJ671" s="73">
        <v>46043</v>
      </c>
      <c r="AK6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671" s="51"/>
      <c r="AM671" s="58"/>
      <c r="AN671" s="20" t="s">
        <v>99</v>
      </c>
      <c r="AP671" s="20" t="s">
        <v>66</v>
      </c>
      <c r="AQ671" s="20" t="s">
        <v>100</v>
      </c>
    </row>
    <row r="672" spans="1:43" ht="16">
      <c r="A672" s="20">
        <v>6621346220</v>
      </c>
      <c r="B672" s="48">
        <v>1021826</v>
      </c>
      <c r="C672" s="20" t="s">
        <v>1873</v>
      </c>
      <c r="D672" s="20" t="s">
        <v>3228</v>
      </c>
      <c r="E672" s="20" t="s">
        <v>3229</v>
      </c>
      <c r="F672" s="20" t="s">
        <v>359</v>
      </c>
      <c r="G672" s="20" t="s">
        <v>248</v>
      </c>
      <c r="H672" s="20" t="s">
        <v>48</v>
      </c>
      <c r="I672" s="20" t="s">
        <v>359</v>
      </c>
      <c r="J672" s="32" t="s">
        <v>3230</v>
      </c>
      <c r="K672" s="32" t="s">
        <v>3230</v>
      </c>
      <c r="L672" s="23" t="s">
        <v>3231</v>
      </c>
      <c r="M672" s="24" t="s">
        <v>7745</v>
      </c>
      <c r="N672" s="23">
        <v>18720000</v>
      </c>
      <c r="O672" s="25" t="s">
        <v>866</v>
      </c>
      <c r="P672" s="25" t="s">
        <v>53</v>
      </c>
      <c r="Q672" s="20" t="s">
        <v>3232</v>
      </c>
      <c r="R672" s="20">
        <v>22026186</v>
      </c>
      <c r="S672" s="25" t="s">
        <v>3233</v>
      </c>
      <c r="T672" s="26" t="s">
        <v>57</v>
      </c>
      <c r="U672" s="23">
        <v>860900062337373</v>
      </c>
      <c r="V672" s="27" t="s">
        <v>57</v>
      </c>
      <c r="W672" s="20" t="s">
        <v>58</v>
      </c>
      <c r="X672" s="20" t="s">
        <v>59</v>
      </c>
      <c r="Y672" s="20" t="s">
        <v>59</v>
      </c>
      <c r="Z672" s="20" t="s">
        <v>60</v>
      </c>
      <c r="AA672" s="20" t="s">
        <v>61</v>
      </c>
      <c r="AB672" s="20" t="s">
        <v>96</v>
      </c>
      <c r="AC672" s="28">
        <v>369.83</v>
      </c>
      <c r="AD672" s="28">
        <f>SUM(BASE[[#This Row],[MONTO DE RENTA ]]*1.16)</f>
        <v>429.00279999999998</v>
      </c>
      <c r="AE672" s="28" t="s">
        <v>63</v>
      </c>
      <c r="AF672" s="28">
        <v>369.82758620689657</v>
      </c>
      <c r="AG672" s="28">
        <v>429</v>
      </c>
      <c r="AH672" s="22" t="s">
        <v>64</v>
      </c>
      <c r="AI672" s="63">
        <v>45703</v>
      </c>
      <c r="AJ672" s="63">
        <v>46433</v>
      </c>
      <c r="AK6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2" s="30"/>
      <c r="AN672" s="20" t="s">
        <v>65</v>
      </c>
      <c r="AP672" s="20" t="s">
        <v>84</v>
      </c>
    </row>
    <row r="673" spans="1:43" ht="16">
      <c r="A673" s="20">
        <v>6621346047</v>
      </c>
      <c r="B673" s="106">
        <v>1009298</v>
      </c>
      <c r="C673" s="20" t="s">
        <v>3234</v>
      </c>
      <c r="D673" s="20" t="s">
        <v>3235</v>
      </c>
      <c r="E673" s="20" t="s">
        <v>3236</v>
      </c>
      <c r="F673" s="20" t="s">
        <v>418</v>
      </c>
      <c r="G673" s="20" t="s">
        <v>47</v>
      </c>
      <c r="H673" s="20" t="s">
        <v>48</v>
      </c>
      <c r="I673" s="20" t="s">
        <v>418</v>
      </c>
      <c r="J673" s="32" t="s">
        <v>3237</v>
      </c>
      <c r="K673" s="32" t="s">
        <v>3238</v>
      </c>
      <c r="L673" s="23" t="s">
        <v>3231</v>
      </c>
      <c r="M673" s="24" t="s">
        <v>7745</v>
      </c>
      <c r="N673" s="23">
        <v>18720000</v>
      </c>
      <c r="O673" s="25" t="s">
        <v>866</v>
      </c>
      <c r="P673" s="25" t="s">
        <v>53</v>
      </c>
      <c r="Q673" s="20" t="s">
        <v>3239</v>
      </c>
      <c r="R673" s="20">
        <v>21986580</v>
      </c>
      <c r="S673" s="25" t="s">
        <v>3240</v>
      </c>
      <c r="T673" s="26" t="s">
        <v>57</v>
      </c>
      <c r="U673" s="23">
        <v>860900062264007</v>
      </c>
      <c r="V673" s="27" t="s">
        <v>57</v>
      </c>
      <c r="W673" s="20" t="s">
        <v>58</v>
      </c>
      <c r="X673" s="20" t="s">
        <v>59</v>
      </c>
      <c r="Y673" s="20" t="s">
        <v>59</v>
      </c>
      <c r="Z673" s="20" t="s">
        <v>60</v>
      </c>
      <c r="AA673" s="20" t="s">
        <v>61</v>
      </c>
      <c r="AB673" s="20" t="s">
        <v>96</v>
      </c>
      <c r="AC673" s="28">
        <v>369.83</v>
      </c>
      <c r="AD673" s="28">
        <f>SUM(BASE[[#This Row],[MONTO DE RENTA ]]*1.16)</f>
        <v>429.00279999999998</v>
      </c>
      <c r="AE673" s="28" t="s">
        <v>63</v>
      </c>
      <c r="AF673" s="28">
        <v>369.82758620689657</v>
      </c>
      <c r="AG673" s="28">
        <v>429</v>
      </c>
      <c r="AH673" s="22" t="s">
        <v>253</v>
      </c>
      <c r="AI673" s="63">
        <v>45687</v>
      </c>
      <c r="AJ673" s="63">
        <v>46417</v>
      </c>
      <c r="AK67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673" s="20">
        <v>18720000</v>
      </c>
      <c r="AM673" s="200"/>
      <c r="AN673" s="20" t="s">
        <v>65</v>
      </c>
      <c r="AP673" s="20" t="s">
        <v>84</v>
      </c>
    </row>
    <row r="674" spans="1:43" ht="16" customHeight="1">
      <c r="A674" s="20">
        <v>6621444089</v>
      </c>
      <c r="B674" s="21">
        <v>1021826</v>
      </c>
      <c r="C674" s="20" t="s">
        <v>1873</v>
      </c>
      <c r="D674" s="20" t="s">
        <v>3228</v>
      </c>
      <c r="E674" s="20" t="s">
        <v>3229</v>
      </c>
      <c r="F674" s="20" t="s">
        <v>359</v>
      </c>
      <c r="G674" s="20" t="s">
        <v>248</v>
      </c>
      <c r="H674" s="20" t="s">
        <v>48</v>
      </c>
      <c r="I674" s="20" t="s">
        <v>359</v>
      </c>
      <c r="J674" s="22" t="s">
        <v>3241</v>
      </c>
      <c r="K674" s="22" t="s">
        <v>3241</v>
      </c>
      <c r="L674" s="23" t="s">
        <v>3231</v>
      </c>
      <c r="M674" s="24" t="s">
        <v>7745</v>
      </c>
      <c r="N674" s="23">
        <v>18720000</v>
      </c>
      <c r="O674" s="25" t="s">
        <v>866</v>
      </c>
      <c r="P674" s="25" t="s">
        <v>53</v>
      </c>
      <c r="Q674" s="20" t="s">
        <v>3242</v>
      </c>
      <c r="R674" s="20">
        <v>22020389</v>
      </c>
      <c r="S674" s="25" t="s">
        <v>3243</v>
      </c>
      <c r="T674" s="26" t="s">
        <v>57</v>
      </c>
      <c r="U674" s="23">
        <v>860900062337373</v>
      </c>
      <c r="V674" s="27" t="s">
        <v>57</v>
      </c>
      <c r="W674" s="20" t="s">
        <v>58</v>
      </c>
      <c r="X674" s="20" t="s">
        <v>59</v>
      </c>
      <c r="Y674" s="20" t="s">
        <v>59</v>
      </c>
      <c r="Z674" s="20" t="s">
        <v>60</v>
      </c>
      <c r="AA674" s="20" t="s">
        <v>61</v>
      </c>
      <c r="AB674" s="20" t="s">
        <v>96</v>
      </c>
      <c r="AC674" s="28">
        <v>369.83</v>
      </c>
      <c r="AD674" s="28">
        <f>SUM(BASE[[#This Row],[MONTO DE RENTA ]]*1.16)</f>
        <v>429.00279999999998</v>
      </c>
      <c r="AE674" s="28" t="s">
        <v>63</v>
      </c>
      <c r="AF674" s="28">
        <v>369.82758620689657</v>
      </c>
      <c r="AG674" s="28">
        <v>429</v>
      </c>
      <c r="AH674" s="22" t="s">
        <v>64</v>
      </c>
      <c r="AI674" s="29">
        <v>45703</v>
      </c>
      <c r="AJ674" s="29">
        <v>46433</v>
      </c>
      <c r="AK6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4" s="30"/>
      <c r="AN674" s="20" t="s">
        <v>65</v>
      </c>
      <c r="AP674" s="20" t="s">
        <v>84</v>
      </c>
    </row>
    <row r="675" spans="1:43" ht="16">
      <c r="A675" s="20">
        <v>6566615362</v>
      </c>
      <c r="B675" s="21">
        <v>113292</v>
      </c>
      <c r="C675" s="20" t="s">
        <v>3244</v>
      </c>
      <c r="D675" s="20" t="s">
        <v>627</v>
      </c>
      <c r="E675" s="20" t="s">
        <v>3215</v>
      </c>
      <c r="F675" s="20" t="s">
        <v>3245</v>
      </c>
      <c r="G675" s="20" t="s">
        <v>248</v>
      </c>
      <c r="H675" s="20" t="s">
        <v>48</v>
      </c>
      <c r="I675" s="20" t="s">
        <v>3245</v>
      </c>
      <c r="J675" s="22" t="s">
        <v>3246</v>
      </c>
      <c r="K675" s="22" t="s">
        <v>3246</v>
      </c>
      <c r="L675" s="23" t="s">
        <v>3247</v>
      </c>
      <c r="M675" s="24" t="s">
        <v>7744</v>
      </c>
      <c r="N675" s="23">
        <v>18723000</v>
      </c>
      <c r="O675" s="25" t="s">
        <v>362</v>
      </c>
      <c r="P675" s="25" t="s">
        <v>53</v>
      </c>
      <c r="Q675" s="20" t="s">
        <v>3248</v>
      </c>
      <c r="R675" s="20">
        <v>31848593</v>
      </c>
      <c r="S675" s="25" t="s">
        <v>3249</v>
      </c>
      <c r="T675" s="26" t="s">
        <v>57</v>
      </c>
      <c r="U675" s="23">
        <v>860900062257357</v>
      </c>
      <c r="V675" s="27" t="s">
        <v>57</v>
      </c>
      <c r="W675" s="20" t="s">
        <v>58</v>
      </c>
      <c r="X675" s="20" t="s">
        <v>59</v>
      </c>
      <c r="Y675" s="20" t="s">
        <v>59</v>
      </c>
      <c r="Z675" s="20" t="s">
        <v>80</v>
      </c>
      <c r="AA675" s="20" t="s">
        <v>81</v>
      </c>
      <c r="AB675" s="20" t="s">
        <v>96</v>
      </c>
      <c r="AC675" s="28">
        <v>369.83</v>
      </c>
      <c r="AD675" s="28">
        <f>SUM(BASE[[#This Row],[MONTO DE RENTA ]]*1.16)</f>
        <v>429.00279999999998</v>
      </c>
      <c r="AE675" s="28" t="s">
        <v>63</v>
      </c>
      <c r="AF675" s="28">
        <v>369.82758620689657</v>
      </c>
      <c r="AG675" s="28">
        <v>429</v>
      </c>
      <c r="AH675" s="22" t="s">
        <v>64</v>
      </c>
      <c r="AI675" s="63">
        <v>45703</v>
      </c>
      <c r="AJ675" s="63">
        <v>46433</v>
      </c>
      <c r="AK6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5" s="30"/>
      <c r="AN675" s="20" t="s">
        <v>65</v>
      </c>
      <c r="AP675" s="20" t="s">
        <v>84</v>
      </c>
    </row>
    <row r="676" spans="1:43" ht="16">
      <c r="A676" s="20">
        <v>6624306331</v>
      </c>
      <c r="B676" s="21">
        <v>200267</v>
      </c>
      <c r="C676" s="20" t="s">
        <v>3250</v>
      </c>
      <c r="D676" s="20" t="s">
        <v>3251</v>
      </c>
      <c r="E676" s="20" t="s">
        <v>1367</v>
      </c>
      <c r="F676" s="20" t="s">
        <v>122</v>
      </c>
      <c r="G676" s="20" t="s">
        <v>122</v>
      </c>
      <c r="H676" s="20" t="s">
        <v>48</v>
      </c>
      <c r="I676" s="20" t="s">
        <v>122</v>
      </c>
      <c r="J676" s="193" t="s">
        <v>3252</v>
      </c>
      <c r="K676" s="193" t="s">
        <v>3252</v>
      </c>
      <c r="L676" s="23" t="s">
        <v>3231</v>
      </c>
      <c r="M676" s="24" t="s">
        <v>7745</v>
      </c>
      <c r="N676" s="23">
        <v>18720000</v>
      </c>
      <c r="O676" s="25" t="s">
        <v>866</v>
      </c>
      <c r="P676" s="25" t="s">
        <v>53</v>
      </c>
      <c r="Q676" s="20" t="s">
        <v>3253</v>
      </c>
      <c r="R676" s="20">
        <v>22002216</v>
      </c>
      <c r="S676" s="25" t="s">
        <v>3254</v>
      </c>
      <c r="T676" s="26" t="s">
        <v>57</v>
      </c>
      <c r="U676" s="23">
        <v>860900062337225</v>
      </c>
      <c r="V676" s="27" t="s">
        <v>57</v>
      </c>
      <c r="W676" s="20" t="s">
        <v>58</v>
      </c>
      <c r="X676" s="20" t="s">
        <v>59</v>
      </c>
      <c r="Y676" s="20" t="s">
        <v>59</v>
      </c>
      <c r="Z676" s="20" t="s">
        <v>60</v>
      </c>
      <c r="AA676" s="20" t="s">
        <v>61</v>
      </c>
      <c r="AB676" s="20" t="s">
        <v>96</v>
      </c>
      <c r="AC676" s="28">
        <v>369.83</v>
      </c>
      <c r="AD676" s="28">
        <f>SUM(BASE[[#This Row],[MONTO DE RENTA ]]*1.16)</f>
        <v>429.00279999999998</v>
      </c>
      <c r="AE676" s="28" t="s">
        <v>63</v>
      </c>
      <c r="AF676" s="28">
        <v>369.82758620689657</v>
      </c>
      <c r="AG676" s="28">
        <v>429</v>
      </c>
      <c r="AI676" s="63">
        <v>44937</v>
      </c>
      <c r="AJ676" s="84">
        <v>46681</v>
      </c>
      <c r="AK67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676" s="30"/>
      <c r="AN676" s="20" t="s">
        <v>65</v>
      </c>
      <c r="AP676" s="20" t="s">
        <v>84</v>
      </c>
    </row>
    <row r="677" spans="1:43" ht="16">
      <c r="A677" s="20">
        <v>6621346302</v>
      </c>
      <c r="B677" s="21">
        <v>285194</v>
      </c>
      <c r="C677" s="20" t="s">
        <v>1264</v>
      </c>
      <c r="D677" s="20" t="s">
        <v>3255</v>
      </c>
      <c r="E677" s="20" t="s">
        <v>3256</v>
      </c>
      <c r="F677" s="20" t="s">
        <v>257</v>
      </c>
      <c r="G677" s="20" t="s">
        <v>257</v>
      </c>
      <c r="H677" s="20" t="s">
        <v>48</v>
      </c>
      <c r="I677" s="20" t="s">
        <v>257</v>
      </c>
      <c r="J677" s="22" t="s">
        <v>3257</v>
      </c>
      <c r="K677" s="22" t="s">
        <v>3257</v>
      </c>
      <c r="L677" s="23" t="s">
        <v>3231</v>
      </c>
      <c r="M677" s="24" t="s">
        <v>7745</v>
      </c>
      <c r="N677" s="23">
        <v>18720000</v>
      </c>
      <c r="O677" s="25" t="s">
        <v>866</v>
      </c>
      <c r="P677" s="25" t="s">
        <v>53</v>
      </c>
      <c r="Q677" s="20" t="s">
        <v>3258</v>
      </c>
      <c r="R677" s="20">
        <v>22026176</v>
      </c>
      <c r="S677" s="25" t="s">
        <v>3259</v>
      </c>
      <c r="T677" s="26" t="s">
        <v>57</v>
      </c>
      <c r="U677" s="23">
        <v>860478064864124</v>
      </c>
      <c r="V677" s="45" t="s">
        <v>110</v>
      </c>
      <c r="W677" s="20" t="s">
        <v>302</v>
      </c>
      <c r="X677" s="20" t="s">
        <v>303</v>
      </c>
      <c r="Y677" s="20" t="s">
        <v>303</v>
      </c>
      <c r="Z677" s="20" t="s">
        <v>80</v>
      </c>
      <c r="AA677" s="20" t="s">
        <v>81</v>
      </c>
      <c r="AB677" s="20" t="s">
        <v>82</v>
      </c>
      <c r="AC677" s="28">
        <v>559.48</v>
      </c>
      <c r="AD677" s="28">
        <f>SUM(BASE[[#This Row],[MONTO DE RENTA ]]*1.16)</f>
        <v>648.99680000000001</v>
      </c>
      <c r="AE677" s="28" t="s">
        <v>83</v>
      </c>
      <c r="AF677" s="28">
        <v>559.48275862068965</v>
      </c>
      <c r="AG677" s="28">
        <v>649</v>
      </c>
      <c r="AH677" s="22" t="s">
        <v>64</v>
      </c>
      <c r="AI677" s="63">
        <v>45703</v>
      </c>
      <c r="AJ677" s="63">
        <v>46433</v>
      </c>
      <c r="AK6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7" s="30"/>
      <c r="AN677" s="20" t="s">
        <v>65</v>
      </c>
      <c r="AP677" s="20" t="s">
        <v>84</v>
      </c>
    </row>
    <row r="678" spans="1:43" ht="16">
      <c r="A678" s="20">
        <v>6621345634</v>
      </c>
      <c r="B678" s="21">
        <v>1006517</v>
      </c>
      <c r="C678" s="20" t="s">
        <v>3260</v>
      </c>
      <c r="D678" s="20" t="s">
        <v>3261</v>
      </c>
      <c r="E678" s="20" t="s">
        <v>3262</v>
      </c>
      <c r="F678" s="20" t="s">
        <v>104</v>
      </c>
      <c r="G678" s="20" t="s">
        <v>104</v>
      </c>
      <c r="H678" s="20" t="s">
        <v>48</v>
      </c>
      <c r="I678" s="20" t="s">
        <v>104</v>
      </c>
      <c r="J678" s="32" t="s">
        <v>3263</v>
      </c>
      <c r="K678" s="32" t="s">
        <v>3263</v>
      </c>
      <c r="L678" s="23" t="s">
        <v>3231</v>
      </c>
      <c r="M678" s="24" t="s">
        <v>7745</v>
      </c>
      <c r="N678" s="23">
        <v>18720000</v>
      </c>
      <c r="O678" s="25" t="s">
        <v>866</v>
      </c>
      <c r="P678" s="25" t="s">
        <v>53</v>
      </c>
      <c r="Q678" s="20" t="s">
        <v>3264</v>
      </c>
      <c r="R678" s="20">
        <v>22026216</v>
      </c>
      <c r="S678" s="25" t="s">
        <v>3265</v>
      </c>
      <c r="T678" s="26" t="s">
        <v>57</v>
      </c>
      <c r="U678" s="23">
        <v>860478064863126</v>
      </c>
      <c r="V678" s="45" t="s">
        <v>110</v>
      </c>
      <c r="W678" s="20" t="s">
        <v>302</v>
      </c>
      <c r="X678" s="20" t="s">
        <v>303</v>
      </c>
      <c r="Y678" s="20" t="s">
        <v>303</v>
      </c>
      <c r="Z678" s="20" t="s">
        <v>80</v>
      </c>
      <c r="AA678" s="20" t="s">
        <v>81</v>
      </c>
      <c r="AB678" s="20" t="s">
        <v>82</v>
      </c>
      <c r="AC678" s="28">
        <v>559.48</v>
      </c>
      <c r="AD678" s="28">
        <f>SUM(BASE[[#This Row],[MONTO DE RENTA ]]*1.16)</f>
        <v>648.99680000000001</v>
      </c>
      <c r="AE678" s="28" t="s">
        <v>83</v>
      </c>
      <c r="AF678" s="28">
        <v>559.48275862068965</v>
      </c>
      <c r="AG678" s="28">
        <v>649</v>
      </c>
      <c r="AH678" s="22" t="s">
        <v>64</v>
      </c>
      <c r="AI678" s="63">
        <v>45703</v>
      </c>
      <c r="AJ678" s="63">
        <v>46433</v>
      </c>
      <c r="AK6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8" s="30"/>
      <c r="AN678" s="20" t="s">
        <v>65</v>
      </c>
      <c r="AP678" s="20" t="s">
        <v>84</v>
      </c>
    </row>
    <row r="679" spans="1:43" ht="16">
      <c r="A679" s="20">
        <v>6621346491</v>
      </c>
      <c r="B679" s="21">
        <v>200275</v>
      </c>
      <c r="C679" s="20" t="s">
        <v>1023</v>
      </c>
      <c r="D679" s="20" t="s">
        <v>357</v>
      </c>
      <c r="E679" s="20" t="s">
        <v>383</v>
      </c>
      <c r="F679" s="20" t="s">
        <v>104</v>
      </c>
      <c r="G679" s="20" t="s">
        <v>104</v>
      </c>
      <c r="H679" s="20" t="s">
        <v>48</v>
      </c>
      <c r="I679" s="20" t="s">
        <v>104</v>
      </c>
      <c r="J679" s="22" t="s">
        <v>3266</v>
      </c>
      <c r="K679" s="22" t="s">
        <v>3266</v>
      </c>
      <c r="L679" s="23" t="s">
        <v>3231</v>
      </c>
      <c r="M679" s="24" t="s">
        <v>7745</v>
      </c>
      <c r="N679" s="23">
        <v>18720000</v>
      </c>
      <c r="O679" s="25" t="s">
        <v>866</v>
      </c>
      <c r="P679" s="25" t="s">
        <v>53</v>
      </c>
      <c r="Q679" s="20" t="s">
        <v>3267</v>
      </c>
      <c r="R679" s="20">
        <v>22026183</v>
      </c>
      <c r="S679" s="25" t="s">
        <v>3268</v>
      </c>
      <c r="T679" s="26" t="s">
        <v>57</v>
      </c>
      <c r="U679" s="23">
        <v>860478064863555</v>
      </c>
      <c r="V679" s="45" t="s">
        <v>110</v>
      </c>
      <c r="W679" s="20" t="s">
        <v>302</v>
      </c>
      <c r="X679" s="20" t="s">
        <v>303</v>
      </c>
      <c r="Y679" s="20" t="s">
        <v>303</v>
      </c>
      <c r="Z679" s="20" t="s">
        <v>80</v>
      </c>
      <c r="AA679" s="20" t="s">
        <v>81</v>
      </c>
      <c r="AB679" s="20" t="s">
        <v>82</v>
      </c>
      <c r="AC679" s="28">
        <v>559.48</v>
      </c>
      <c r="AD679" s="28">
        <f>SUM(BASE[[#This Row],[MONTO DE RENTA ]]*1.16)</f>
        <v>648.99680000000001</v>
      </c>
      <c r="AE679" s="28" t="s">
        <v>83</v>
      </c>
      <c r="AF679" s="28">
        <v>559.48275862068965</v>
      </c>
      <c r="AG679" s="28">
        <v>649</v>
      </c>
      <c r="AH679" s="22" t="s">
        <v>64</v>
      </c>
      <c r="AI679" s="63">
        <v>45703</v>
      </c>
      <c r="AJ679" s="63">
        <v>46433</v>
      </c>
      <c r="AK6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79" s="30"/>
      <c r="AN679" s="20" t="s">
        <v>65</v>
      </c>
      <c r="AP679" s="20" t="s">
        <v>84</v>
      </c>
    </row>
    <row r="680" spans="1:43" ht="16">
      <c r="A680" s="20">
        <v>6624764332</v>
      </c>
      <c r="B680" s="21">
        <v>200851</v>
      </c>
      <c r="C680" s="20" t="s">
        <v>3269</v>
      </c>
      <c r="D680" s="20" t="s">
        <v>442</v>
      </c>
      <c r="E680" s="20" t="s">
        <v>598</v>
      </c>
      <c r="F680" s="20" t="s">
        <v>122</v>
      </c>
      <c r="G680" s="20" t="s">
        <v>122</v>
      </c>
      <c r="H680" s="20" t="s">
        <v>48</v>
      </c>
      <c r="I680" s="20" t="s">
        <v>122</v>
      </c>
      <c r="J680" s="22" t="s">
        <v>3270</v>
      </c>
      <c r="K680" s="22" t="s">
        <v>3270</v>
      </c>
      <c r="L680" s="23" t="s">
        <v>3231</v>
      </c>
      <c r="M680" s="24" t="s">
        <v>7745</v>
      </c>
      <c r="N680" s="23">
        <v>18720000</v>
      </c>
      <c r="O680" s="25" t="s">
        <v>866</v>
      </c>
      <c r="P680" s="25" t="s">
        <v>53</v>
      </c>
      <c r="Q680" s="20" t="s">
        <v>3271</v>
      </c>
      <c r="R680" s="20">
        <v>22426018</v>
      </c>
      <c r="S680" s="25" t="s">
        <v>3272</v>
      </c>
      <c r="T680" s="26" t="s">
        <v>57</v>
      </c>
      <c r="U680" s="23">
        <v>860900062337225</v>
      </c>
      <c r="V680" s="27" t="s">
        <v>57</v>
      </c>
      <c r="W680" s="20" t="s">
        <v>58</v>
      </c>
      <c r="X680" s="20" t="s">
        <v>59</v>
      </c>
      <c r="Y680" s="20" t="s">
        <v>59</v>
      </c>
      <c r="Z680" s="20" t="s">
        <v>60</v>
      </c>
      <c r="AA680" s="20" t="s">
        <v>61</v>
      </c>
      <c r="AB680" s="20" t="s">
        <v>96</v>
      </c>
      <c r="AC680" s="28">
        <v>369.83</v>
      </c>
      <c r="AD680" s="28">
        <f>SUM(BASE[[#This Row],[MONTO DE RENTA ]]*1.16)</f>
        <v>429.00279999999998</v>
      </c>
      <c r="AE680" s="28" t="s">
        <v>63</v>
      </c>
      <c r="AF680" s="28">
        <v>369.82758620689657</v>
      </c>
      <c r="AG680" s="28">
        <v>429</v>
      </c>
      <c r="AH680" s="22" t="s">
        <v>64</v>
      </c>
      <c r="AI680" s="63">
        <v>45703</v>
      </c>
      <c r="AJ680" s="63">
        <v>46433</v>
      </c>
      <c r="AK6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0" s="30"/>
      <c r="AN680" s="20" t="s">
        <v>65</v>
      </c>
      <c r="AP680" s="20" t="s">
        <v>84</v>
      </c>
    </row>
    <row r="681" spans="1:43" ht="16">
      <c r="A681" s="20">
        <v>6621346541</v>
      </c>
      <c r="B681" s="59">
        <v>996607</v>
      </c>
      <c r="C681" s="20" t="s">
        <v>3273</v>
      </c>
      <c r="D681" s="20" t="s">
        <v>3274</v>
      </c>
      <c r="E681" s="20" t="s">
        <v>324</v>
      </c>
      <c r="F681" s="20" t="s">
        <v>104</v>
      </c>
      <c r="G681" s="20" t="s">
        <v>104</v>
      </c>
      <c r="H681" s="20" t="s">
        <v>48</v>
      </c>
      <c r="I681" s="20" t="s">
        <v>104</v>
      </c>
      <c r="J681" s="22" t="s">
        <v>3275</v>
      </c>
      <c r="K681" s="22" t="s">
        <v>3276</v>
      </c>
      <c r="L681" s="23" t="s">
        <v>3231</v>
      </c>
      <c r="M681" s="24" t="s">
        <v>7745</v>
      </c>
      <c r="N681" s="23">
        <v>18720000</v>
      </c>
      <c r="O681" s="25" t="s">
        <v>866</v>
      </c>
      <c r="P681" s="25" t="s">
        <v>53</v>
      </c>
      <c r="Q681" s="20" t="s">
        <v>3277</v>
      </c>
      <c r="R681" s="20">
        <v>22026184</v>
      </c>
      <c r="S681" s="25" t="s">
        <v>3278</v>
      </c>
      <c r="T681" s="26" t="s">
        <v>57</v>
      </c>
      <c r="U681" s="23">
        <v>860478064863258</v>
      </c>
      <c r="V681" s="45" t="s">
        <v>110</v>
      </c>
      <c r="W681" s="20" t="s">
        <v>302</v>
      </c>
      <c r="X681" s="20" t="s">
        <v>303</v>
      </c>
      <c r="Y681" s="20" t="s">
        <v>303</v>
      </c>
      <c r="Z681" s="20" t="s">
        <v>80</v>
      </c>
      <c r="AA681" s="20" t="s">
        <v>81</v>
      </c>
      <c r="AB681" s="20" t="s">
        <v>82</v>
      </c>
      <c r="AC681" s="28">
        <v>559.48</v>
      </c>
      <c r="AD681" s="28">
        <f>SUM(BASE[[#This Row],[MONTO DE RENTA ]]*1.16)</f>
        <v>648.99680000000001</v>
      </c>
      <c r="AE681" s="28" t="s">
        <v>83</v>
      </c>
      <c r="AF681" s="28">
        <v>559.48275862068965</v>
      </c>
      <c r="AG681" s="28">
        <v>649</v>
      </c>
      <c r="AH681" s="22" t="s">
        <v>64</v>
      </c>
      <c r="AI681" s="29">
        <v>45703</v>
      </c>
      <c r="AJ681" s="29">
        <v>46433</v>
      </c>
      <c r="AK6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1" s="30"/>
      <c r="AN681" s="20" t="s">
        <v>65</v>
      </c>
      <c r="AP681" s="20" t="s">
        <v>84</v>
      </c>
    </row>
    <row r="682" spans="1:43" ht="16">
      <c r="A682" s="20">
        <v>6621602835</v>
      </c>
      <c r="B682" s="49">
        <v>590124</v>
      </c>
      <c r="C682" s="20" t="s">
        <v>3279</v>
      </c>
      <c r="D682" s="20" t="s">
        <v>3280</v>
      </c>
      <c r="E682" s="20" t="s">
        <v>946</v>
      </c>
      <c r="F682" s="20" t="s">
        <v>70</v>
      </c>
      <c r="G682" s="20" t="s">
        <v>70</v>
      </c>
      <c r="H682" s="20" t="s">
        <v>48</v>
      </c>
      <c r="I682" s="20" t="s">
        <v>70</v>
      </c>
      <c r="J682" s="22" t="s">
        <v>3281</v>
      </c>
      <c r="K682" s="22" t="s">
        <v>3281</v>
      </c>
      <c r="L682" s="23" t="s">
        <v>3231</v>
      </c>
      <c r="M682" s="24" t="s">
        <v>7745</v>
      </c>
      <c r="N682" s="23">
        <v>18720000</v>
      </c>
      <c r="O682" s="25" t="s">
        <v>866</v>
      </c>
      <c r="P682" s="25" t="s">
        <v>53</v>
      </c>
      <c r="Q682" s="20" t="s">
        <v>3282</v>
      </c>
      <c r="R682" s="20">
        <v>21913982</v>
      </c>
      <c r="S682" s="25" t="s">
        <v>55</v>
      </c>
      <c r="T682" s="26" t="s">
        <v>56</v>
      </c>
      <c r="U682" s="23">
        <v>357894929797756</v>
      </c>
      <c r="V682" s="27" t="s">
        <v>78</v>
      </c>
      <c r="W682" s="20" t="s">
        <v>95</v>
      </c>
      <c r="X682" s="20" t="s">
        <v>95</v>
      </c>
      <c r="Y682" s="20" t="s">
        <v>95</v>
      </c>
      <c r="Z682" s="20" t="s">
        <v>60</v>
      </c>
      <c r="AA682" s="20" t="s">
        <v>61</v>
      </c>
      <c r="AB682" s="20" t="s">
        <v>82</v>
      </c>
      <c r="AC682" s="28">
        <v>559.48</v>
      </c>
      <c r="AD682" s="28">
        <f>SUM(BASE[[#This Row],[MONTO DE RENTA ]]*1.16)</f>
        <v>648.99680000000001</v>
      </c>
      <c r="AE682" s="28" t="s">
        <v>83</v>
      </c>
      <c r="AF682" s="28">
        <v>559.48275862068965</v>
      </c>
      <c r="AG682" s="28">
        <v>649</v>
      </c>
      <c r="AI682" s="63">
        <v>44937</v>
      </c>
      <c r="AJ682" s="73">
        <v>46043</v>
      </c>
      <c r="AK6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82" s="30"/>
      <c r="AN682" s="20" t="s">
        <v>99</v>
      </c>
      <c r="AP682" s="20" t="s">
        <v>84</v>
      </c>
      <c r="AQ682" s="20" t="s">
        <v>100</v>
      </c>
    </row>
    <row r="683" spans="1:43" ht="16">
      <c r="A683" s="20">
        <v>6142837192</v>
      </c>
      <c r="B683" s="49">
        <v>134210</v>
      </c>
      <c r="C683" s="20" t="s">
        <v>3283</v>
      </c>
      <c r="D683" s="20" t="s">
        <v>3284</v>
      </c>
      <c r="E683" s="20" t="s">
        <v>347</v>
      </c>
      <c r="F683" s="20" t="s">
        <v>557</v>
      </c>
      <c r="G683" s="20" t="s">
        <v>47</v>
      </c>
      <c r="H683" s="20" t="s">
        <v>48</v>
      </c>
      <c r="I683" s="20" t="s">
        <v>557</v>
      </c>
      <c r="J683" s="22" t="s">
        <v>3285</v>
      </c>
      <c r="K683" s="22" t="s">
        <v>3285</v>
      </c>
      <c r="L683" s="23" t="s">
        <v>3247</v>
      </c>
      <c r="M683" s="24" t="s">
        <v>7744</v>
      </c>
      <c r="N683" s="23">
        <v>18713000</v>
      </c>
      <c r="O683" s="25" t="s">
        <v>362</v>
      </c>
      <c r="P683" s="25" t="s">
        <v>53</v>
      </c>
      <c r="Q683" s="20" t="s">
        <v>3286</v>
      </c>
      <c r="R683" s="20">
        <v>32058555</v>
      </c>
      <c r="S683" s="25" t="s">
        <v>55</v>
      </c>
      <c r="T683" s="26" t="s">
        <v>56</v>
      </c>
      <c r="U683" s="23">
        <v>865356065689531</v>
      </c>
      <c r="V683" s="27" t="s">
        <v>183</v>
      </c>
      <c r="W683" s="20" t="s">
        <v>129</v>
      </c>
      <c r="X683" s="20" t="s">
        <v>130</v>
      </c>
      <c r="Y683" s="20" t="s">
        <v>130</v>
      </c>
      <c r="Z683" s="20" t="s">
        <v>60</v>
      </c>
      <c r="AA683" s="20" t="s">
        <v>61</v>
      </c>
      <c r="AB683" s="20" t="s">
        <v>96</v>
      </c>
      <c r="AC683" s="28">
        <v>369.83</v>
      </c>
      <c r="AD683" s="28">
        <f>SUM(BASE[[#This Row],[MONTO DE RENTA ]]*1.16)</f>
        <v>429.00279999999998</v>
      </c>
      <c r="AE683" s="28" t="s">
        <v>63</v>
      </c>
      <c r="AF683" s="28">
        <v>369.82758620689657</v>
      </c>
      <c r="AG683" s="28">
        <v>429</v>
      </c>
      <c r="AH683" s="36" t="s">
        <v>64</v>
      </c>
      <c r="AI683" s="46">
        <v>45323</v>
      </c>
      <c r="AJ683" s="46">
        <v>46054</v>
      </c>
      <c r="AK6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83" s="30"/>
      <c r="AN683" s="20" t="s">
        <v>99</v>
      </c>
      <c r="AP683" s="20" t="s">
        <v>84</v>
      </c>
      <c r="AQ683" s="20" t="s">
        <v>100</v>
      </c>
    </row>
    <row r="684" spans="1:43" ht="16">
      <c r="A684" s="20">
        <v>6562879875</v>
      </c>
      <c r="B684" s="49">
        <v>230063</v>
      </c>
      <c r="C684" s="20" t="s">
        <v>3287</v>
      </c>
      <c r="D684" s="20" t="s">
        <v>357</v>
      </c>
      <c r="E684" s="20" t="s">
        <v>2161</v>
      </c>
      <c r="F684" s="20" t="s">
        <v>1568</v>
      </c>
      <c r="G684" s="20" t="s">
        <v>47</v>
      </c>
      <c r="H684" s="20" t="s">
        <v>48</v>
      </c>
      <c r="I684" s="20" t="s">
        <v>1568</v>
      </c>
      <c r="J684" s="22" t="s">
        <v>3288</v>
      </c>
      <c r="K684" s="22" t="s">
        <v>3288</v>
      </c>
      <c r="L684" s="23" t="s">
        <v>3247</v>
      </c>
      <c r="M684" s="24" t="s">
        <v>7744</v>
      </c>
      <c r="N684" s="23">
        <v>18723000</v>
      </c>
      <c r="O684" s="25" t="s">
        <v>362</v>
      </c>
      <c r="P684" s="25" t="s">
        <v>53</v>
      </c>
      <c r="Q684" s="20" t="s">
        <v>3289</v>
      </c>
      <c r="R684" s="20">
        <v>32994235</v>
      </c>
      <c r="S684" s="25" t="s">
        <v>55</v>
      </c>
      <c r="T684" s="26" t="s">
        <v>56</v>
      </c>
      <c r="U684" s="23">
        <v>865356065689531</v>
      </c>
      <c r="V684" s="27" t="s">
        <v>183</v>
      </c>
      <c r="W684" s="20" t="s">
        <v>129</v>
      </c>
      <c r="X684" s="20" t="s">
        <v>130</v>
      </c>
      <c r="Y684" s="20" t="s">
        <v>130</v>
      </c>
      <c r="Z684" s="20" t="s">
        <v>60</v>
      </c>
      <c r="AA684" s="20" t="s">
        <v>61</v>
      </c>
      <c r="AB684" s="20" t="s">
        <v>96</v>
      </c>
      <c r="AC684" s="28">
        <v>369.83</v>
      </c>
      <c r="AD684" s="28">
        <f>SUM(BASE[[#This Row],[MONTO DE RENTA ]]*1.16)</f>
        <v>429.00279999999998</v>
      </c>
      <c r="AE684" s="28" t="s">
        <v>63</v>
      </c>
      <c r="AF684" s="28">
        <v>369.82758620689657</v>
      </c>
      <c r="AG684" s="28">
        <v>429</v>
      </c>
      <c r="AH684" s="36" t="s">
        <v>64</v>
      </c>
      <c r="AI684" s="84">
        <v>45323</v>
      </c>
      <c r="AJ684" s="84">
        <v>46054</v>
      </c>
      <c r="AK68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84" s="30"/>
      <c r="AN684" s="20" t="s">
        <v>99</v>
      </c>
      <c r="AP684" s="20" t="s">
        <v>84</v>
      </c>
      <c r="AQ684" s="20" t="s">
        <v>100</v>
      </c>
    </row>
    <row r="685" spans="1:43" ht="16">
      <c r="A685" s="83">
        <v>6561910526</v>
      </c>
      <c r="B685" s="201">
        <v>134233</v>
      </c>
      <c r="C685" s="20" t="s">
        <v>3290</v>
      </c>
      <c r="D685" s="20" t="s">
        <v>3291</v>
      </c>
      <c r="E685" s="20" t="s">
        <v>340</v>
      </c>
      <c r="F685" s="20" t="s">
        <v>418</v>
      </c>
      <c r="G685" s="20" t="s">
        <v>47</v>
      </c>
      <c r="H685" s="20" t="s">
        <v>48</v>
      </c>
      <c r="I685" s="20" t="s">
        <v>418</v>
      </c>
      <c r="J685" s="121" t="s">
        <v>3285</v>
      </c>
      <c r="K685" s="121" t="s">
        <v>3285</v>
      </c>
      <c r="L685" s="202" t="s">
        <v>3247</v>
      </c>
      <c r="M685" s="24" t="s">
        <v>7744</v>
      </c>
      <c r="N685" s="23">
        <v>18723000</v>
      </c>
      <c r="O685" s="25" t="s">
        <v>362</v>
      </c>
      <c r="P685" s="25" t="s">
        <v>53</v>
      </c>
      <c r="Q685" s="20" t="s">
        <v>3292</v>
      </c>
      <c r="R685" s="20">
        <v>31859635</v>
      </c>
      <c r="S685" s="25" t="s">
        <v>3293</v>
      </c>
      <c r="T685" s="173" t="s">
        <v>57</v>
      </c>
      <c r="U685" s="23">
        <v>865356065689531</v>
      </c>
      <c r="V685" s="27" t="s">
        <v>183</v>
      </c>
      <c r="W685" s="20" t="s">
        <v>129</v>
      </c>
      <c r="X685" s="20" t="s">
        <v>130</v>
      </c>
      <c r="Y685" s="20" t="s">
        <v>130</v>
      </c>
      <c r="Z685" s="20" t="s">
        <v>80</v>
      </c>
      <c r="AA685" s="20" t="s">
        <v>81</v>
      </c>
      <c r="AB685" s="20" t="s">
        <v>96</v>
      </c>
      <c r="AC685" s="28">
        <v>369.83</v>
      </c>
      <c r="AD685" s="120">
        <f>SUM(BASE[[#This Row],[MONTO DE RENTA ]]*1.16)</f>
        <v>429.00279999999998</v>
      </c>
      <c r="AE685" s="28" t="s">
        <v>63</v>
      </c>
      <c r="AF685" s="120">
        <v>369.82758620689657</v>
      </c>
      <c r="AG685" s="120">
        <v>429</v>
      </c>
      <c r="AH685" s="121" t="s">
        <v>448</v>
      </c>
      <c r="AI685" s="122">
        <v>45623</v>
      </c>
      <c r="AJ685" s="122">
        <v>46023</v>
      </c>
      <c r="AK685" s="123">
        <f ca="1">IFERROR(IF(BASE[[#This Row],[FECHA DE RENOVACION ]]&gt;TODAY(), DATEDIF(TODAY(),BASE[[#This Row],[FECHA DE RENOVACION ]],"M"), -DATEDIF(BASE[[#This Row],[FECHA DE RENOVACION ]],TODAY(),"M")), "Sin fecha")</f>
        <v>-2</v>
      </c>
      <c r="AL685" s="83"/>
      <c r="AM685" s="123" t="s">
        <v>3294</v>
      </c>
      <c r="AN685" s="20" t="s">
        <v>99</v>
      </c>
      <c r="AP685" s="20" t="s">
        <v>84</v>
      </c>
      <c r="AQ685" s="20" t="s">
        <v>100</v>
      </c>
    </row>
    <row r="686" spans="1:43" ht="16">
      <c r="A686" s="20">
        <v>5533077948</v>
      </c>
      <c r="B686" s="59">
        <v>240663</v>
      </c>
      <c r="C686" s="20" t="s">
        <v>3295</v>
      </c>
      <c r="D686" s="20" t="s">
        <v>657</v>
      </c>
      <c r="E686" s="20" t="s">
        <v>1789</v>
      </c>
      <c r="F686" s="20" t="s">
        <v>104</v>
      </c>
      <c r="G686" s="20" t="s">
        <v>104</v>
      </c>
      <c r="H686" s="20" t="s">
        <v>48</v>
      </c>
      <c r="I686" s="20" t="s">
        <v>104</v>
      </c>
      <c r="J686" s="32" t="s">
        <v>3296</v>
      </c>
      <c r="K686" s="32" t="s">
        <v>3296</v>
      </c>
      <c r="L686" s="23" t="s">
        <v>3297</v>
      </c>
      <c r="M686" s="24" t="s">
        <v>7741</v>
      </c>
      <c r="N686" s="23">
        <v>18724000</v>
      </c>
      <c r="O686" s="25" t="s">
        <v>52</v>
      </c>
      <c r="P686" s="25" t="s">
        <v>53</v>
      </c>
      <c r="Q686" s="20" t="s">
        <v>3298</v>
      </c>
      <c r="R686" s="20">
        <v>90069884</v>
      </c>
      <c r="S686" s="25" t="s">
        <v>3299</v>
      </c>
      <c r="T686" s="26" t="s">
        <v>57</v>
      </c>
      <c r="U686" s="23">
        <v>860478060204580</v>
      </c>
      <c r="V686" s="45" t="s">
        <v>110</v>
      </c>
      <c r="W686" s="20" t="s">
        <v>302</v>
      </c>
      <c r="X686" s="20" t="s">
        <v>303</v>
      </c>
      <c r="Y686" s="20" t="s">
        <v>303</v>
      </c>
      <c r="Z686" s="20" t="s">
        <v>131</v>
      </c>
      <c r="AA686" s="20" t="s">
        <v>132</v>
      </c>
      <c r="AB686" s="20" t="s">
        <v>82</v>
      </c>
      <c r="AC686" s="28">
        <v>559.48</v>
      </c>
      <c r="AD686" s="28">
        <f>SUM(BASE[[#This Row],[MONTO DE RENTA ]]*1.16)</f>
        <v>648.99680000000001</v>
      </c>
      <c r="AE686" s="28" t="s">
        <v>83</v>
      </c>
      <c r="AF686" s="28">
        <v>559.48275862068965</v>
      </c>
      <c r="AG686" s="28">
        <v>649</v>
      </c>
      <c r="AH686" s="22" t="s">
        <v>64</v>
      </c>
      <c r="AI686" s="63">
        <v>45703</v>
      </c>
      <c r="AJ686" s="63">
        <v>46433</v>
      </c>
      <c r="AK6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6" s="30"/>
      <c r="AN686" s="20" t="s">
        <v>65</v>
      </c>
      <c r="AP686" s="20" t="s">
        <v>84</v>
      </c>
    </row>
    <row r="687" spans="1:43" ht="16">
      <c r="A687" s="20">
        <v>6563641779</v>
      </c>
      <c r="B687" s="21">
        <v>200571</v>
      </c>
      <c r="C687" s="20" t="s">
        <v>3300</v>
      </c>
      <c r="D687" s="20" t="s">
        <v>405</v>
      </c>
      <c r="E687" s="20" t="s">
        <v>598</v>
      </c>
      <c r="F687" s="20" t="s">
        <v>257</v>
      </c>
      <c r="G687" s="20" t="s">
        <v>257</v>
      </c>
      <c r="H687" s="20" t="s">
        <v>48</v>
      </c>
      <c r="I687" s="20" t="s">
        <v>257</v>
      </c>
      <c r="J687" s="22" t="s">
        <v>3301</v>
      </c>
      <c r="K687" s="22" t="s">
        <v>3301</v>
      </c>
      <c r="L687" s="23" t="s">
        <v>3247</v>
      </c>
      <c r="M687" s="24" t="s">
        <v>7744</v>
      </c>
      <c r="N687" s="23">
        <v>18714000</v>
      </c>
      <c r="O687" s="25" t="s">
        <v>362</v>
      </c>
      <c r="P687" s="25" t="s">
        <v>53</v>
      </c>
      <c r="Q687" s="20" t="s">
        <v>3302</v>
      </c>
      <c r="R687" s="20">
        <v>31812719</v>
      </c>
      <c r="S687" s="25" t="s">
        <v>3303</v>
      </c>
      <c r="T687" s="26" t="s">
        <v>57</v>
      </c>
      <c r="U687" s="23">
        <v>860478064860718</v>
      </c>
      <c r="V687" s="45" t="s">
        <v>110</v>
      </c>
      <c r="W687" s="20" t="s">
        <v>302</v>
      </c>
      <c r="X687" s="20" t="s">
        <v>303</v>
      </c>
      <c r="Y687" s="20" t="s">
        <v>303</v>
      </c>
      <c r="Z687" s="20" t="s">
        <v>80</v>
      </c>
      <c r="AA687" s="20" t="s">
        <v>81</v>
      </c>
      <c r="AB687" s="20" t="s">
        <v>82</v>
      </c>
      <c r="AC687" s="28">
        <v>559.48</v>
      </c>
      <c r="AD687" s="28">
        <f>SUM(BASE[[#This Row],[MONTO DE RENTA ]]*1.16)</f>
        <v>648.99680000000001</v>
      </c>
      <c r="AE687" s="28" t="s">
        <v>83</v>
      </c>
      <c r="AF687" s="28">
        <v>559.48275862068965</v>
      </c>
      <c r="AG687" s="28">
        <v>649</v>
      </c>
      <c r="AH687" s="22" t="s">
        <v>64</v>
      </c>
      <c r="AI687" s="63">
        <v>45703</v>
      </c>
      <c r="AJ687" s="63">
        <v>46433</v>
      </c>
      <c r="AK6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7" s="30"/>
      <c r="AN687" s="20" t="s">
        <v>65</v>
      </c>
      <c r="AP687" s="20" t="s">
        <v>84</v>
      </c>
    </row>
    <row r="688" spans="1:43" ht="16">
      <c r="A688" s="20">
        <v>6563641783</v>
      </c>
      <c r="B688" s="21">
        <v>122796</v>
      </c>
      <c r="C688" s="20" t="s">
        <v>3304</v>
      </c>
      <c r="D688" s="20" t="s">
        <v>357</v>
      </c>
      <c r="E688" s="20" t="s">
        <v>2161</v>
      </c>
      <c r="F688" s="20" t="s">
        <v>104</v>
      </c>
      <c r="G688" s="20" t="s">
        <v>104</v>
      </c>
      <c r="H688" s="20" t="s">
        <v>48</v>
      </c>
      <c r="I688" s="20" t="s">
        <v>104</v>
      </c>
      <c r="J688" s="22" t="s">
        <v>3305</v>
      </c>
      <c r="K688" s="22" t="s">
        <v>3305</v>
      </c>
      <c r="L688" s="23" t="s">
        <v>3247</v>
      </c>
      <c r="M688" s="24" t="s">
        <v>7744</v>
      </c>
      <c r="N688" s="23">
        <v>18723000</v>
      </c>
      <c r="O688" s="25" t="s">
        <v>362</v>
      </c>
      <c r="P688" s="25" t="s">
        <v>53</v>
      </c>
      <c r="Q688" s="20" t="s">
        <v>3306</v>
      </c>
      <c r="R688" s="20">
        <v>31812722</v>
      </c>
      <c r="S688" s="25" t="s">
        <v>3307</v>
      </c>
      <c r="T688" s="26" t="s">
        <v>57</v>
      </c>
      <c r="U688" s="23">
        <v>860478064854323</v>
      </c>
      <c r="V688" s="45" t="s">
        <v>110</v>
      </c>
      <c r="W688" s="20" t="s">
        <v>302</v>
      </c>
      <c r="X688" s="20" t="s">
        <v>303</v>
      </c>
      <c r="Y688" s="20" t="s">
        <v>303</v>
      </c>
      <c r="Z688" s="20" t="s">
        <v>80</v>
      </c>
      <c r="AA688" s="20" t="s">
        <v>81</v>
      </c>
      <c r="AB688" s="20" t="s">
        <v>82</v>
      </c>
      <c r="AC688" s="28">
        <v>559.48</v>
      </c>
      <c r="AD688" s="28">
        <f>SUM(BASE[[#This Row],[MONTO DE RENTA ]]*1.16)</f>
        <v>648.99680000000001</v>
      </c>
      <c r="AE688" s="28" t="s">
        <v>83</v>
      </c>
      <c r="AF688" s="28">
        <v>559.48275862068965</v>
      </c>
      <c r="AG688" s="28">
        <v>649</v>
      </c>
      <c r="AH688" s="22" t="s">
        <v>64</v>
      </c>
      <c r="AI688" s="63">
        <v>45703</v>
      </c>
      <c r="AJ688" s="63">
        <v>46433</v>
      </c>
      <c r="AK6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8" s="30"/>
      <c r="AN688" s="20" t="s">
        <v>65</v>
      </c>
      <c r="AP688" s="20" t="s">
        <v>84</v>
      </c>
    </row>
    <row r="689" spans="1:43" ht="16">
      <c r="A689" s="20">
        <v>6563641782</v>
      </c>
      <c r="B689" s="21">
        <v>230374</v>
      </c>
      <c r="C689" s="20" t="s">
        <v>748</v>
      </c>
      <c r="D689" s="20" t="s">
        <v>657</v>
      </c>
      <c r="E689" s="20" t="s">
        <v>187</v>
      </c>
      <c r="F689" s="20" t="s">
        <v>104</v>
      </c>
      <c r="G689" s="20" t="s">
        <v>104</v>
      </c>
      <c r="H689" s="20" t="s">
        <v>48</v>
      </c>
      <c r="I689" s="20" t="s">
        <v>104</v>
      </c>
      <c r="J689" s="22" t="s">
        <v>3308</v>
      </c>
      <c r="K689" s="22" t="s">
        <v>3308</v>
      </c>
      <c r="L689" s="23" t="s">
        <v>3247</v>
      </c>
      <c r="M689" s="24" t="s">
        <v>7744</v>
      </c>
      <c r="N689" s="23">
        <v>18723000</v>
      </c>
      <c r="O689" s="25" t="s">
        <v>362</v>
      </c>
      <c r="P689" s="25" t="s">
        <v>53</v>
      </c>
      <c r="Q689" s="20" t="s">
        <v>3309</v>
      </c>
      <c r="R689" s="20">
        <v>31854477</v>
      </c>
      <c r="S689" s="25" t="s">
        <v>3310</v>
      </c>
      <c r="T689" s="26" t="s">
        <v>57</v>
      </c>
      <c r="U689" s="23">
        <v>860478064952655</v>
      </c>
      <c r="V689" s="45" t="s">
        <v>110</v>
      </c>
      <c r="W689" s="20" t="s">
        <v>302</v>
      </c>
      <c r="X689" s="20" t="s">
        <v>303</v>
      </c>
      <c r="Y689" s="20" t="s">
        <v>303</v>
      </c>
      <c r="Z689" s="20" t="s">
        <v>80</v>
      </c>
      <c r="AA689" s="20" t="s">
        <v>81</v>
      </c>
      <c r="AB689" s="20" t="s">
        <v>82</v>
      </c>
      <c r="AC689" s="28">
        <v>559.48</v>
      </c>
      <c r="AD689" s="28">
        <f>SUM(BASE[[#This Row],[MONTO DE RENTA ]]*1.16)</f>
        <v>648.99680000000001</v>
      </c>
      <c r="AE689" s="28" t="s">
        <v>83</v>
      </c>
      <c r="AF689" s="28">
        <v>559.48275862068965</v>
      </c>
      <c r="AG689" s="28">
        <v>649</v>
      </c>
      <c r="AH689" s="22" t="s">
        <v>64</v>
      </c>
      <c r="AI689" s="63">
        <v>45703</v>
      </c>
      <c r="AJ689" s="63">
        <v>46433</v>
      </c>
      <c r="AK6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89" s="30"/>
      <c r="AN689" s="20" t="s">
        <v>65</v>
      </c>
      <c r="AP689" s="20" t="s">
        <v>84</v>
      </c>
    </row>
    <row r="690" spans="1:43" ht="16">
      <c r="A690" s="203">
        <v>6566268745</v>
      </c>
      <c r="B690" s="204">
        <v>113310</v>
      </c>
      <c r="C690" s="20" t="s">
        <v>3311</v>
      </c>
      <c r="D690" s="20" t="s">
        <v>3312</v>
      </c>
      <c r="E690" s="20" t="s">
        <v>358</v>
      </c>
      <c r="F690" s="20" t="s">
        <v>122</v>
      </c>
      <c r="G690" s="20" t="s">
        <v>122</v>
      </c>
      <c r="H690" s="20" t="s">
        <v>48</v>
      </c>
      <c r="I690" s="20" t="s">
        <v>122</v>
      </c>
      <c r="J690" s="205" t="s">
        <v>3313</v>
      </c>
      <c r="K690" s="206" t="s">
        <v>3313</v>
      </c>
      <c r="L690" s="23" t="s">
        <v>3247</v>
      </c>
      <c r="M690" s="24" t="s">
        <v>7744</v>
      </c>
      <c r="N690" s="23">
        <v>18723000</v>
      </c>
      <c r="O690" s="25" t="s">
        <v>362</v>
      </c>
      <c r="P690" s="25" t="s">
        <v>53</v>
      </c>
      <c r="Q690" s="20" t="s">
        <v>3314</v>
      </c>
      <c r="R690" s="20">
        <v>32095185</v>
      </c>
      <c r="S690" s="25" t="s">
        <v>55</v>
      </c>
      <c r="T690" s="207" t="s">
        <v>56</v>
      </c>
      <c r="U690" s="23">
        <v>866223056225205</v>
      </c>
      <c r="V690" s="27" t="s">
        <v>183</v>
      </c>
      <c r="W690" s="20" t="s">
        <v>649</v>
      </c>
      <c r="X690" s="20" t="s">
        <v>650</v>
      </c>
      <c r="Y690" s="20" t="s">
        <v>650</v>
      </c>
      <c r="Z690" s="20" t="s">
        <v>60</v>
      </c>
      <c r="AA690" s="20" t="s">
        <v>61</v>
      </c>
      <c r="AB690" s="20" t="s">
        <v>96</v>
      </c>
      <c r="AC690" s="28">
        <v>369.83</v>
      </c>
      <c r="AD690" s="28">
        <f>SUM(BASE[[#This Row],[MONTO DE RENTA ]]*1.16)</f>
        <v>429.00279999999998</v>
      </c>
      <c r="AE690" s="28" t="s">
        <v>63</v>
      </c>
      <c r="AF690" s="28">
        <v>369.82758620689657</v>
      </c>
      <c r="AG690" s="28">
        <v>429</v>
      </c>
      <c r="AH690" s="205"/>
      <c r="AI690" s="208">
        <v>45238</v>
      </c>
      <c r="AJ690" s="209">
        <v>46024</v>
      </c>
      <c r="AK690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690" s="203"/>
      <c r="AM690" s="210"/>
      <c r="AN690" s="20" t="s">
        <v>99</v>
      </c>
      <c r="AP690" s="20" t="s">
        <v>84</v>
      </c>
      <c r="AQ690" s="20" t="s">
        <v>100</v>
      </c>
    </row>
    <row r="691" spans="1:43" ht="16">
      <c r="A691" s="20">
        <v>6563641785</v>
      </c>
      <c r="B691" s="59">
        <v>143079</v>
      </c>
      <c r="C691" s="20" t="s">
        <v>1521</v>
      </c>
      <c r="D691" s="20" t="s">
        <v>3315</v>
      </c>
      <c r="E691" s="20" t="s">
        <v>417</v>
      </c>
      <c r="F691" s="20" t="s">
        <v>104</v>
      </c>
      <c r="G691" s="20" t="s">
        <v>104</v>
      </c>
      <c r="H691" s="20" t="s">
        <v>48</v>
      </c>
      <c r="I691" s="20" t="s">
        <v>104</v>
      </c>
      <c r="J691" s="22" t="s">
        <v>3316</v>
      </c>
      <c r="K691" s="22" t="s">
        <v>3317</v>
      </c>
      <c r="L691" s="23" t="s">
        <v>3247</v>
      </c>
      <c r="M691" s="24" t="s">
        <v>7744</v>
      </c>
      <c r="N691" s="23">
        <v>18723000</v>
      </c>
      <c r="O691" s="25" t="s">
        <v>362</v>
      </c>
      <c r="P691" s="25" t="s">
        <v>53</v>
      </c>
      <c r="Q691" s="20" t="s">
        <v>3318</v>
      </c>
      <c r="R691" s="20">
        <v>31854469</v>
      </c>
      <c r="S691" s="25" t="s">
        <v>3319</v>
      </c>
      <c r="T691" s="26" t="s">
        <v>57</v>
      </c>
      <c r="U691" s="23">
        <v>860478064984476</v>
      </c>
      <c r="V691" s="45" t="s">
        <v>110</v>
      </c>
      <c r="W691" s="20" t="s">
        <v>302</v>
      </c>
      <c r="X691" s="20" t="s">
        <v>303</v>
      </c>
      <c r="Y691" s="20" t="s">
        <v>303</v>
      </c>
      <c r="Z691" s="20" t="s">
        <v>80</v>
      </c>
      <c r="AA691" s="20" t="s">
        <v>81</v>
      </c>
      <c r="AB691" s="20" t="s">
        <v>82</v>
      </c>
      <c r="AC691" s="28">
        <v>559.48</v>
      </c>
      <c r="AD691" s="28">
        <f>SUM(BASE[[#This Row],[MONTO DE RENTA ]]*1.16)</f>
        <v>648.99680000000001</v>
      </c>
      <c r="AE691" s="28" t="s">
        <v>83</v>
      </c>
      <c r="AF691" s="28">
        <v>559.48275862068965</v>
      </c>
      <c r="AG691" s="28">
        <v>649</v>
      </c>
      <c r="AH691" s="22" t="s">
        <v>64</v>
      </c>
      <c r="AI691" s="63">
        <v>45703</v>
      </c>
      <c r="AJ691" s="63">
        <v>46433</v>
      </c>
      <c r="AK6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1" s="30"/>
      <c r="AN691" s="20" t="s">
        <v>65</v>
      </c>
      <c r="AP691" s="20" t="s">
        <v>84</v>
      </c>
    </row>
    <row r="692" spans="1:43" ht="16">
      <c r="A692" s="20">
        <v>6563606376</v>
      </c>
      <c r="B692" s="49">
        <v>141852</v>
      </c>
      <c r="C692" s="20" t="s">
        <v>460</v>
      </c>
      <c r="D692" s="20" t="s">
        <v>812</v>
      </c>
      <c r="E692" s="20" t="s">
        <v>3320</v>
      </c>
      <c r="F692" s="20" t="s">
        <v>70</v>
      </c>
      <c r="G692" s="20" t="s">
        <v>70</v>
      </c>
      <c r="H692" s="20" t="s">
        <v>48</v>
      </c>
      <c r="I692" s="20" t="s">
        <v>70</v>
      </c>
      <c r="J692" s="22" t="s">
        <v>3321</v>
      </c>
      <c r="K692" s="22" t="s">
        <v>3321</v>
      </c>
      <c r="L692" s="23" t="s">
        <v>3247</v>
      </c>
      <c r="M692" s="24" t="s">
        <v>7744</v>
      </c>
      <c r="N692" s="23">
        <v>18723000</v>
      </c>
      <c r="O692" s="25" t="s">
        <v>362</v>
      </c>
      <c r="P692" s="25" t="s">
        <v>53</v>
      </c>
      <c r="Q692" s="20" t="s">
        <v>3322</v>
      </c>
      <c r="R692" s="20">
        <v>31744411</v>
      </c>
      <c r="S692" s="25" t="s">
        <v>55</v>
      </c>
      <c r="T692" s="26" t="s">
        <v>56</v>
      </c>
      <c r="U692" s="23">
        <v>357654179925170</v>
      </c>
      <c r="V692" s="27" t="s">
        <v>78</v>
      </c>
      <c r="W692" s="20" t="s">
        <v>95</v>
      </c>
      <c r="X692" s="20" t="s">
        <v>95</v>
      </c>
      <c r="Y692" s="20" t="s">
        <v>95</v>
      </c>
      <c r="Z692" s="20" t="s">
        <v>60</v>
      </c>
      <c r="AA692" s="20" t="s">
        <v>61</v>
      </c>
      <c r="AB692" s="20" t="s">
        <v>82</v>
      </c>
      <c r="AC692" s="28">
        <v>559.48</v>
      </c>
      <c r="AD692" s="28">
        <f>SUM(BASE[[#This Row],[MONTO DE RENTA ]]*1.16)</f>
        <v>648.99680000000001</v>
      </c>
      <c r="AE692" s="28" t="s">
        <v>83</v>
      </c>
      <c r="AF692" s="28">
        <v>559.48275862068965</v>
      </c>
      <c r="AG692" s="28">
        <v>649</v>
      </c>
      <c r="AI692" s="63">
        <v>44937</v>
      </c>
      <c r="AJ692" s="73">
        <v>46043</v>
      </c>
      <c r="AK6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92" s="30"/>
      <c r="AN692" s="20" t="s">
        <v>99</v>
      </c>
      <c r="AP692" s="20" t="s">
        <v>84</v>
      </c>
      <c r="AQ692" s="20" t="s">
        <v>100</v>
      </c>
    </row>
    <row r="693" spans="1:43" ht="16">
      <c r="A693" s="20">
        <v>7774575303</v>
      </c>
      <c r="B693" s="21">
        <v>610185</v>
      </c>
      <c r="C693" s="20" t="s">
        <v>328</v>
      </c>
      <c r="D693" s="20" t="s">
        <v>1807</v>
      </c>
      <c r="E693" s="20" t="s">
        <v>598</v>
      </c>
      <c r="F693" s="20" t="s">
        <v>418</v>
      </c>
      <c r="G693" s="20" t="s">
        <v>47</v>
      </c>
      <c r="H693" s="20" t="s">
        <v>48</v>
      </c>
      <c r="I693" s="20" t="s">
        <v>418</v>
      </c>
      <c r="J693" s="22" t="s">
        <v>3323</v>
      </c>
      <c r="K693" s="22" t="s">
        <v>3323</v>
      </c>
      <c r="L693" s="23" t="s">
        <v>3297</v>
      </c>
      <c r="M693" s="24" t="s">
        <v>7741</v>
      </c>
      <c r="N693" s="23">
        <v>18724000</v>
      </c>
      <c r="O693" s="25" t="s">
        <v>52</v>
      </c>
      <c r="P693" s="25" t="s">
        <v>53</v>
      </c>
      <c r="Q693" s="20" t="s">
        <v>3324</v>
      </c>
      <c r="R693" s="20">
        <v>95131276</v>
      </c>
      <c r="S693" s="25" t="s">
        <v>3325</v>
      </c>
      <c r="T693" s="26" t="s">
        <v>57</v>
      </c>
      <c r="U693" s="23">
        <v>860900062323761</v>
      </c>
      <c r="V693" s="27" t="s">
        <v>57</v>
      </c>
      <c r="W693" s="20" t="s">
        <v>58</v>
      </c>
      <c r="X693" s="20" t="s">
        <v>59</v>
      </c>
      <c r="Y693" s="20" t="s">
        <v>59</v>
      </c>
      <c r="Z693" s="20" t="s">
        <v>60</v>
      </c>
      <c r="AA693" s="20" t="s">
        <v>61</v>
      </c>
      <c r="AB693" s="20" t="s">
        <v>96</v>
      </c>
      <c r="AC693" s="28">
        <v>369.83</v>
      </c>
      <c r="AD693" s="28">
        <f>SUM(BASE[[#This Row],[MONTO DE RENTA ]]*1.16)</f>
        <v>429.00279999999998</v>
      </c>
      <c r="AE693" s="28" t="s">
        <v>63</v>
      </c>
      <c r="AF693" s="28">
        <v>369.82758620689657</v>
      </c>
      <c r="AG693" s="28">
        <v>429</v>
      </c>
      <c r="AH693" s="22" t="s">
        <v>64</v>
      </c>
      <c r="AI693" s="63">
        <v>45703</v>
      </c>
      <c r="AJ693" s="63">
        <v>46433</v>
      </c>
      <c r="AK6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3" s="30"/>
      <c r="AN693" s="20" t="s">
        <v>65</v>
      </c>
      <c r="AP693" s="20" t="s">
        <v>84</v>
      </c>
    </row>
    <row r="694" spans="1:43" ht="16">
      <c r="A694" s="20">
        <v>5518816816</v>
      </c>
      <c r="B694" s="59">
        <v>999494</v>
      </c>
      <c r="C694" s="20" t="s">
        <v>3087</v>
      </c>
      <c r="D694" s="20" t="s">
        <v>2592</v>
      </c>
      <c r="E694" s="20" t="s">
        <v>3326</v>
      </c>
      <c r="F694" s="20" t="s">
        <v>451</v>
      </c>
      <c r="G694" s="20" t="s">
        <v>248</v>
      </c>
      <c r="H694" s="20" t="s">
        <v>48</v>
      </c>
      <c r="I694" s="20" t="s">
        <v>451</v>
      </c>
      <c r="J694" s="22" t="s">
        <v>3327</v>
      </c>
      <c r="K694" s="22" t="s">
        <v>3327</v>
      </c>
      <c r="L694" s="23" t="s">
        <v>3297</v>
      </c>
      <c r="M694" s="24" t="s">
        <v>7741</v>
      </c>
      <c r="N694" s="23">
        <v>18724000</v>
      </c>
      <c r="O694" s="25" t="s">
        <v>52</v>
      </c>
      <c r="P694" s="25" t="s">
        <v>53</v>
      </c>
      <c r="Q694" s="20" t="s">
        <v>3328</v>
      </c>
      <c r="R694" s="20">
        <v>90136511</v>
      </c>
      <c r="S694" s="25" t="s">
        <v>3329</v>
      </c>
      <c r="T694" s="26" t="s">
        <v>57</v>
      </c>
      <c r="U694" s="23">
        <v>860900062323357</v>
      </c>
      <c r="V694" s="27" t="s">
        <v>57</v>
      </c>
      <c r="W694" s="20" t="s">
        <v>58</v>
      </c>
      <c r="X694" s="20" t="s">
        <v>59</v>
      </c>
      <c r="Y694" s="20" t="s">
        <v>59</v>
      </c>
      <c r="Z694" s="20" t="s">
        <v>60</v>
      </c>
      <c r="AA694" s="20" t="s">
        <v>61</v>
      </c>
      <c r="AB694" s="20" t="s">
        <v>96</v>
      </c>
      <c r="AC694" s="28">
        <v>369.83</v>
      </c>
      <c r="AD694" s="28">
        <f>SUM(BASE[[#This Row],[MONTO DE RENTA ]]*1.16)</f>
        <v>429.00279999999998</v>
      </c>
      <c r="AE694" s="28" t="s">
        <v>63</v>
      </c>
      <c r="AF694" s="28">
        <v>369.82758620689657</v>
      </c>
      <c r="AG694" s="28">
        <v>429</v>
      </c>
      <c r="AH694" s="22" t="s">
        <v>64</v>
      </c>
      <c r="AI694" s="63">
        <v>45703</v>
      </c>
      <c r="AJ694" s="63">
        <v>46433</v>
      </c>
      <c r="AK6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4" s="30"/>
      <c r="AN694" s="20" t="s">
        <v>65</v>
      </c>
      <c r="AP694" s="20" t="s">
        <v>84</v>
      </c>
    </row>
    <row r="695" spans="1:43" ht="16">
      <c r="A695" s="20">
        <v>5561385659</v>
      </c>
      <c r="B695" s="21">
        <v>250145</v>
      </c>
      <c r="C695" s="20" t="s">
        <v>1264</v>
      </c>
      <c r="D695" s="20" t="s">
        <v>845</v>
      </c>
      <c r="E695" s="20" t="s">
        <v>3330</v>
      </c>
      <c r="F695" s="20" t="s">
        <v>122</v>
      </c>
      <c r="G695" s="20" t="s">
        <v>122</v>
      </c>
      <c r="H695" s="20" t="s">
        <v>48</v>
      </c>
      <c r="I695" s="20" t="s">
        <v>122</v>
      </c>
      <c r="J695" s="22" t="s">
        <v>3331</v>
      </c>
      <c r="K695" s="22" t="s">
        <v>3332</v>
      </c>
      <c r="L695" s="23" t="s">
        <v>3297</v>
      </c>
      <c r="M695" s="24" t="s">
        <v>7741</v>
      </c>
      <c r="N695" s="23">
        <v>18724000</v>
      </c>
      <c r="O695" s="25" t="s">
        <v>52</v>
      </c>
      <c r="P695" s="25" t="s">
        <v>53</v>
      </c>
      <c r="Q695" s="20" t="s">
        <v>3333</v>
      </c>
      <c r="R695" s="20">
        <v>90475319</v>
      </c>
      <c r="S695" s="25" t="s">
        <v>3334</v>
      </c>
      <c r="T695" s="26" t="s">
        <v>57</v>
      </c>
      <c r="U695" s="23">
        <v>860900062323746</v>
      </c>
      <c r="V695" s="27" t="s">
        <v>57</v>
      </c>
      <c r="W695" s="20" t="s">
        <v>58</v>
      </c>
      <c r="X695" s="20" t="s">
        <v>59</v>
      </c>
      <c r="Y695" s="20" t="s">
        <v>59</v>
      </c>
      <c r="Z695" s="20" t="s">
        <v>60</v>
      </c>
      <c r="AA695" s="20" t="s">
        <v>61</v>
      </c>
      <c r="AB695" s="20" t="s">
        <v>96</v>
      </c>
      <c r="AC695" s="28">
        <v>369.83</v>
      </c>
      <c r="AD695" s="28">
        <f>SUM(BASE[[#This Row],[MONTO DE RENTA ]]*1.16)</f>
        <v>429.00279999999998</v>
      </c>
      <c r="AE695" s="28" t="s">
        <v>63</v>
      </c>
      <c r="AF695" s="28">
        <v>369.82758620689657</v>
      </c>
      <c r="AG695" s="28">
        <v>429</v>
      </c>
      <c r="AH695" s="22" t="s">
        <v>64</v>
      </c>
      <c r="AI695" s="63">
        <v>45703</v>
      </c>
      <c r="AJ695" s="63">
        <v>46433</v>
      </c>
      <c r="AK6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5" s="30"/>
      <c r="AN695" s="20" t="s">
        <v>65</v>
      </c>
      <c r="AP695" s="20" t="s">
        <v>84</v>
      </c>
    </row>
    <row r="696" spans="1:43" ht="16">
      <c r="A696" s="20">
        <v>5533077597</v>
      </c>
      <c r="B696" s="21">
        <v>740130</v>
      </c>
      <c r="C696" s="20" t="s">
        <v>3335</v>
      </c>
      <c r="D696" s="20" t="s">
        <v>3336</v>
      </c>
      <c r="E696" s="20" t="s">
        <v>358</v>
      </c>
      <c r="F696" s="20" t="s">
        <v>257</v>
      </c>
      <c r="G696" s="20" t="s">
        <v>257</v>
      </c>
      <c r="H696" s="20" t="s">
        <v>48</v>
      </c>
      <c r="I696" s="20" t="s">
        <v>257</v>
      </c>
      <c r="J696" s="22" t="s">
        <v>3337</v>
      </c>
      <c r="K696" s="22" t="s">
        <v>3337</v>
      </c>
      <c r="L696" s="23" t="s">
        <v>3297</v>
      </c>
      <c r="M696" s="24" t="s">
        <v>7741</v>
      </c>
      <c r="N696" s="23">
        <v>18724000</v>
      </c>
      <c r="O696" s="25" t="s">
        <v>52</v>
      </c>
      <c r="P696" s="25" t="s">
        <v>53</v>
      </c>
      <c r="Q696" s="20" t="s">
        <v>3338</v>
      </c>
      <c r="R696" s="20">
        <v>90069946</v>
      </c>
      <c r="S696" s="25" t="s">
        <v>3339</v>
      </c>
      <c r="T696" s="26" t="s">
        <v>57</v>
      </c>
      <c r="U696" s="23">
        <v>860478060204556</v>
      </c>
      <c r="V696" s="45" t="s">
        <v>110</v>
      </c>
      <c r="W696" s="20" t="s">
        <v>302</v>
      </c>
      <c r="X696" s="20" t="s">
        <v>303</v>
      </c>
      <c r="Y696" s="20" t="s">
        <v>303</v>
      </c>
      <c r="Z696" s="20" t="s">
        <v>131</v>
      </c>
      <c r="AA696" s="20" t="s">
        <v>132</v>
      </c>
      <c r="AB696" s="20" t="s">
        <v>82</v>
      </c>
      <c r="AC696" s="28">
        <v>559.48</v>
      </c>
      <c r="AD696" s="28">
        <f>SUM(BASE[[#This Row],[MONTO DE RENTA ]]*1.16)</f>
        <v>648.99680000000001</v>
      </c>
      <c r="AE696" s="28" t="s">
        <v>83</v>
      </c>
      <c r="AF696" s="28">
        <v>559.48275862068965</v>
      </c>
      <c r="AG696" s="28">
        <v>649</v>
      </c>
      <c r="AH696" s="22" t="s">
        <v>64</v>
      </c>
      <c r="AI696" s="63">
        <v>45703</v>
      </c>
      <c r="AJ696" s="63">
        <v>46433</v>
      </c>
      <c r="AK6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6" s="30"/>
      <c r="AN696" s="20" t="s">
        <v>65</v>
      </c>
      <c r="AP696" s="20" t="s">
        <v>84</v>
      </c>
    </row>
    <row r="697" spans="1:43" ht="16">
      <c r="A697" s="20">
        <v>5533077600</v>
      </c>
      <c r="B697" s="21">
        <v>240663</v>
      </c>
      <c r="C697" s="20" t="s">
        <v>3295</v>
      </c>
      <c r="D697" s="20" t="s">
        <v>657</v>
      </c>
      <c r="E697" s="20" t="s">
        <v>1789</v>
      </c>
      <c r="F697" s="20" t="s">
        <v>104</v>
      </c>
      <c r="G697" s="20" t="s">
        <v>104</v>
      </c>
      <c r="H697" s="20" t="s">
        <v>48</v>
      </c>
      <c r="I697" s="20" t="s">
        <v>104</v>
      </c>
      <c r="J697" s="32" t="s">
        <v>3340</v>
      </c>
      <c r="K697" s="32" t="s">
        <v>3340</v>
      </c>
      <c r="L697" s="23" t="s">
        <v>3297</v>
      </c>
      <c r="M697" s="24" t="s">
        <v>7741</v>
      </c>
      <c r="N697" s="23">
        <v>18724000</v>
      </c>
      <c r="O697" s="25" t="s">
        <v>52</v>
      </c>
      <c r="P697" s="25" t="s">
        <v>53</v>
      </c>
      <c r="Q697" s="20" t="s">
        <v>3341</v>
      </c>
      <c r="R697" s="20">
        <v>90069864</v>
      </c>
      <c r="S697" s="25" t="s">
        <v>3342</v>
      </c>
      <c r="T697" s="26" t="s">
        <v>57</v>
      </c>
      <c r="U697" s="23">
        <v>860478062373524</v>
      </c>
      <c r="V697" s="45" t="s">
        <v>110</v>
      </c>
      <c r="W697" s="20" t="s">
        <v>302</v>
      </c>
      <c r="X697" s="20" t="s">
        <v>303</v>
      </c>
      <c r="Y697" s="20" t="s">
        <v>303</v>
      </c>
      <c r="Z697" s="20" t="s">
        <v>131</v>
      </c>
      <c r="AA697" s="20" t="s">
        <v>132</v>
      </c>
      <c r="AB697" s="20" t="s">
        <v>82</v>
      </c>
      <c r="AC697" s="28">
        <v>559.48</v>
      </c>
      <c r="AD697" s="28">
        <f>SUM(BASE[[#This Row],[MONTO DE RENTA ]]*1.16)</f>
        <v>648.99680000000001</v>
      </c>
      <c r="AE697" s="28" t="s">
        <v>83</v>
      </c>
      <c r="AF697" s="28">
        <v>559.48275862068965</v>
      </c>
      <c r="AG697" s="28">
        <v>649</v>
      </c>
      <c r="AH697" s="22" t="s">
        <v>64</v>
      </c>
      <c r="AI697" s="63">
        <v>45703</v>
      </c>
      <c r="AJ697" s="63">
        <v>46433</v>
      </c>
      <c r="AK6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697" s="30"/>
      <c r="AN697" s="20" t="s">
        <v>65</v>
      </c>
      <c r="AP697" s="20" t="s">
        <v>84</v>
      </c>
    </row>
    <row r="698" spans="1:43" ht="16">
      <c r="A698" s="20">
        <v>5533390393</v>
      </c>
      <c r="B698" s="49">
        <v>20093</v>
      </c>
      <c r="C698" s="20" t="s">
        <v>3343</v>
      </c>
      <c r="D698" s="20" t="s">
        <v>3344</v>
      </c>
      <c r="E698" s="20" t="s">
        <v>598</v>
      </c>
      <c r="F698" s="20" t="s">
        <v>70</v>
      </c>
      <c r="G698" s="20" t="s">
        <v>70</v>
      </c>
      <c r="H698" s="20" t="s">
        <v>48</v>
      </c>
      <c r="I698" s="20" t="s">
        <v>70</v>
      </c>
      <c r="J698" s="22" t="s">
        <v>3345</v>
      </c>
      <c r="K698" s="22" t="s">
        <v>3345</v>
      </c>
      <c r="L698" s="23" t="s">
        <v>3297</v>
      </c>
      <c r="M698" s="24" t="s">
        <v>7741</v>
      </c>
      <c r="N698" s="23">
        <v>18725000</v>
      </c>
      <c r="O698" s="25" t="s">
        <v>52</v>
      </c>
      <c r="P698" s="25" t="s">
        <v>53</v>
      </c>
      <c r="Q698" s="20" t="s">
        <v>3346</v>
      </c>
      <c r="R698" s="20">
        <v>9808598</v>
      </c>
      <c r="S698" s="25" t="s">
        <v>55</v>
      </c>
      <c r="T698" s="26" t="s">
        <v>56</v>
      </c>
      <c r="U698" s="23">
        <v>357654178375203</v>
      </c>
      <c r="V698" s="27" t="s">
        <v>78</v>
      </c>
      <c r="W698" s="20" t="s">
        <v>95</v>
      </c>
      <c r="X698" s="20" t="s">
        <v>95</v>
      </c>
      <c r="Y698" s="20" t="s">
        <v>95</v>
      </c>
      <c r="Z698" s="20" t="s">
        <v>60</v>
      </c>
      <c r="AA698" s="20" t="s">
        <v>61</v>
      </c>
      <c r="AB698" s="20" t="s">
        <v>82</v>
      </c>
      <c r="AC698" s="28">
        <v>559.48</v>
      </c>
      <c r="AD698" s="28">
        <f>SUM(BASE[[#This Row],[MONTO DE RENTA ]]*1.16)</f>
        <v>648.99680000000001</v>
      </c>
      <c r="AE698" s="28" t="s">
        <v>83</v>
      </c>
      <c r="AF698" s="28">
        <v>559.48275862068965</v>
      </c>
      <c r="AG698" s="28">
        <v>649</v>
      </c>
      <c r="AI698" s="63">
        <v>44937</v>
      </c>
      <c r="AJ698" s="73">
        <v>46043</v>
      </c>
      <c r="AK6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698" s="30"/>
      <c r="AN698" s="20" t="s">
        <v>99</v>
      </c>
      <c r="AP698" s="20" t="s">
        <v>84</v>
      </c>
      <c r="AQ698" s="20" t="s">
        <v>100</v>
      </c>
    </row>
    <row r="699" spans="1:43" ht="16">
      <c r="A699" s="20">
        <v>5533078017</v>
      </c>
      <c r="B699" s="21">
        <v>1083878</v>
      </c>
      <c r="C699" s="20" t="s">
        <v>3347</v>
      </c>
      <c r="D699" s="20" t="s">
        <v>3348</v>
      </c>
      <c r="E699" s="20" t="s">
        <v>3349</v>
      </c>
      <c r="F699" s="20" t="s">
        <v>104</v>
      </c>
      <c r="G699" s="20" t="s">
        <v>104</v>
      </c>
      <c r="H699" s="20" t="s">
        <v>48</v>
      </c>
      <c r="I699" s="20" t="s">
        <v>104</v>
      </c>
      <c r="J699" s="22" t="s">
        <v>3350</v>
      </c>
      <c r="K699" s="32" t="s">
        <v>3351</v>
      </c>
      <c r="L699" s="23" t="s">
        <v>3297</v>
      </c>
      <c r="M699" s="24" t="s">
        <v>7741</v>
      </c>
      <c r="N699" s="23">
        <v>18724000</v>
      </c>
      <c r="O699" s="25" t="s">
        <v>52</v>
      </c>
      <c r="P699" s="25" t="s">
        <v>53</v>
      </c>
      <c r="Q699" s="20" t="s">
        <v>3352</v>
      </c>
      <c r="R699" s="20">
        <v>90069893</v>
      </c>
      <c r="S699" s="25" t="s">
        <v>3353</v>
      </c>
      <c r="T699" s="26" t="s">
        <v>57</v>
      </c>
      <c r="U699" s="23">
        <v>867471072380277</v>
      </c>
      <c r="V699" s="45" t="s">
        <v>110</v>
      </c>
      <c r="W699" s="20" t="s">
        <v>269</v>
      </c>
      <c r="X699" s="20" t="s">
        <v>270</v>
      </c>
      <c r="Y699" s="20" t="s">
        <v>270</v>
      </c>
      <c r="Z699" s="20" t="s">
        <v>131</v>
      </c>
      <c r="AA699" s="20" t="s">
        <v>132</v>
      </c>
      <c r="AB699" s="20" t="s">
        <v>82</v>
      </c>
      <c r="AC699" s="28">
        <v>559.48</v>
      </c>
      <c r="AD699" s="28">
        <f>SUM(BASE[[#This Row],[MONTO DE RENTA ]]*1.16)</f>
        <v>648.99680000000001</v>
      </c>
      <c r="AE699" s="28" t="s">
        <v>83</v>
      </c>
      <c r="AF699" s="28">
        <v>559.48275862068965</v>
      </c>
      <c r="AG699" s="28">
        <v>649</v>
      </c>
      <c r="AH699" s="22" t="s">
        <v>140</v>
      </c>
      <c r="AI699" s="63">
        <v>46006</v>
      </c>
      <c r="AJ699" s="63">
        <v>47102</v>
      </c>
      <c r="AK699" s="30">
        <f ca="1">IFERROR(IF(BASE[[#This Row],[FECHA DE RENOVACION ]]&gt;TODAY(), DATEDIF(TODAY(),BASE[[#This Row],[FECHA DE RENOVACION ]],"M"), -DATEDIF(BASE[[#This Row],[FECHA DE RENOVACION ]],TODAY(),"M")), "Sin fecha")</f>
        <v>33</v>
      </c>
      <c r="AM699" s="30"/>
      <c r="AN699" s="20" t="s">
        <v>65</v>
      </c>
      <c r="AP699" s="20" t="s">
        <v>84</v>
      </c>
    </row>
    <row r="700" spans="1:43" ht="16">
      <c r="A700" s="20">
        <v>5531493337</v>
      </c>
      <c r="B700" s="21">
        <v>250070</v>
      </c>
      <c r="C700" s="20" t="s">
        <v>3354</v>
      </c>
      <c r="D700" s="20" t="s">
        <v>3355</v>
      </c>
      <c r="E700" s="20" t="s">
        <v>657</v>
      </c>
      <c r="F700" s="20" t="s">
        <v>47</v>
      </c>
      <c r="G700" s="20" t="s">
        <v>47</v>
      </c>
      <c r="H700" s="20" t="s">
        <v>48</v>
      </c>
      <c r="I700" s="20" t="s">
        <v>47</v>
      </c>
      <c r="J700" s="32" t="s">
        <v>3356</v>
      </c>
      <c r="K700" s="32" t="s">
        <v>3356</v>
      </c>
      <c r="L700" s="23" t="s">
        <v>3357</v>
      </c>
      <c r="M700" s="24" t="s">
        <v>7741</v>
      </c>
      <c r="N700" s="23">
        <v>18725000</v>
      </c>
      <c r="O700" s="25" t="s">
        <v>52</v>
      </c>
      <c r="P700" s="25" t="s">
        <v>53</v>
      </c>
      <c r="Q700" s="20" t="s">
        <v>3358</v>
      </c>
      <c r="R700" s="20">
        <v>95263362</v>
      </c>
      <c r="S700" s="25" t="s">
        <v>3359</v>
      </c>
      <c r="T700" s="26" t="s">
        <v>57</v>
      </c>
      <c r="U700" s="23">
        <v>860900062336813</v>
      </c>
      <c r="V700" s="27" t="s">
        <v>57</v>
      </c>
      <c r="W700" s="20" t="s">
        <v>58</v>
      </c>
      <c r="X700" s="20" t="s">
        <v>59</v>
      </c>
      <c r="Y700" s="20" t="s">
        <v>59</v>
      </c>
      <c r="Z700" s="20" t="s">
        <v>60</v>
      </c>
      <c r="AA700" s="20" t="s">
        <v>61</v>
      </c>
      <c r="AB700" s="20" t="s">
        <v>96</v>
      </c>
      <c r="AC700" s="28">
        <v>369.83</v>
      </c>
      <c r="AD700" s="28">
        <f>SUM(BASE[[#This Row],[MONTO DE RENTA ]]*1.16)</f>
        <v>429.00279999999998</v>
      </c>
      <c r="AE700" s="28" t="s">
        <v>63</v>
      </c>
      <c r="AF700" s="28">
        <v>369.82758620689657</v>
      </c>
      <c r="AG700" s="28">
        <v>429</v>
      </c>
      <c r="AH700" s="22" t="s">
        <v>64</v>
      </c>
      <c r="AI700" s="63">
        <v>45703</v>
      </c>
      <c r="AJ700" s="63">
        <v>46433</v>
      </c>
      <c r="AK7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0" s="30"/>
      <c r="AN700" s="20" t="s">
        <v>65</v>
      </c>
      <c r="AP700" s="20" t="s">
        <v>84</v>
      </c>
    </row>
    <row r="701" spans="1:43" ht="16">
      <c r="A701" s="20">
        <v>5579539521</v>
      </c>
      <c r="B701" s="180">
        <v>250070</v>
      </c>
      <c r="C701" s="20" t="s">
        <v>3354</v>
      </c>
      <c r="D701" s="20" t="s">
        <v>3355</v>
      </c>
      <c r="E701" s="20" t="s">
        <v>657</v>
      </c>
      <c r="F701" s="20" t="s">
        <v>47</v>
      </c>
      <c r="G701" s="20" t="s">
        <v>47</v>
      </c>
      <c r="H701" s="20" t="s">
        <v>48</v>
      </c>
      <c r="I701" s="20" t="s">
        <v>47</v>
      </c>
      <c r="J701" s="32" t="s">
        <v>3360</v>
      </c>
      <c r="K701" s="32" t="s">
        <v>3360</v>
      </c>
      <c r="L701" s="23" t="s">
        <v>3357</v>
      </c>
      <c r="M701" s="24" t="s">
        <v>7741</v>
      </c>
      <c r="N701" s="23">
        <v>18725000</v>
      </c>
      <c r="O701" s="25" t="s">
        <v>52</v>
      </c>
      <c r="P701" s="25" t="s">
        <v>53</v>
      </c>
      <c r="Q701" s="20" t="s">
        <v>3361</v>
      </c>
      <c r="R701" s="20">
        <v>98810266</v>
      </c>
      <c r="S701" s="25" t="s">
        <v>3362</v>
      </c>
      <c r="T701" s="26" t="s">
        <v>57</v>
      </c>
      <c r="U701" s="23">
        <v>860900062336862</v>
      </c>
      <c r="V701" s="27" t="s">
        <v>57</v>
      </c>
      <c r="W701" s="20" t="s">
        <v>58</v>
      </c>
      <c r="X701" s="20" t="s">
        <v>59</v>
      </c>
      <c r="Y701" s="20" t="s">
        <v>59</v>
      </c>
      <c r="Z701" s="20" t="s">
        <v>60</v>
      </c>
      <c r="AA701" s="20" t="s">
        <v>61</v>
      </c>
      <c r="AB701" s="20" t="s">
        <v>96</v>
      </c>
      <c r="AC701" s="28">
        <v>369.83</v>
      </c>
      <c r="AD701" s="28">
        <f>SUM(BASE[[#This Row],[MONTO DE RENTA ]]*1.16)</f>
        <v>429.00279999999998</v>
      </c>
      <c r="AE701" s="28" t="s">
        <v>63</v>
      </c>
      <c r="AF701" s="28">
        <v>369.82758620689657</v>
      </c>
      <c r="AG701" s="28">
        <v>429</v>
      </c>
      <c r="AH701" s="22" t="s">
        <v>64</v>
      </c>
      <c r="AI701" s="29">
        <v>45703</v>
      </c>
      <c r="AJ701" s="29">
        <v>46433</v>
      </c>
      <c r="AK7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1" s="30"/>
      <c r="AN701" s="20" t="s">
        <v>65</v>
      </c>
      <c r="AP701" s="20" t="s">
        <v>84</v>
      </c>
    </row>
    <row r="702" spans="1:43" ht="16">
      <c r="A702" s="20">
        <v>5533890480</v>
      </c>
      <c r="B702" s="21">
        <v>1031360</v>
      </c>
      <c r="C702" s="20" t="s">
        <v>3363</v>
      </c>
      <c r="D702" s="20" t="s">
        <v>2664</v>
      </c>
      <c r="E702" s="20" t="s">
        <v>1649</v>
      </c>
      <c r="F702" s="20" t="s">
        <v>104</v>
      </c>
      <c r="G702" s="20" t="s">
        <v>104</v>
      </c>
      <c r="H702" s="20" t="s">
        <v>48</v>
      </c>
      <c r="I702" s="20" t="s">
        <v>104</v>
      </c>
      <c r="J702" s="32" t="s">
        <v>3364</v>
      </c>
      <c r="K702" s="32" t="s">
        <v>3364</v>
      </c>
      <c r="L702" s="23" t="s">
        <v>3357</v>
      </c>
      <c r="M702" s="24" t="s">
        <v>7741</v>
      </c>
      <c r="N702" s="23">
        <v>18762003</v>
      </c>
      <c r="O702" s="25" t="s">
        <v>52</v>
      </c>
      <c r="P702" s="25" t="s">
        <v>53</v>
      </c>
      <c r="Q702" s="20" t="s">
        <v>3365</v>
      </c>
      <c r="R702" s="20">
        <v>90069551</v>
      </c>
      <c r="S702" s="25" t="s">
        <v>3366</v>
      </c>
      <c r="T702" s="26" t="s">
        <v>57</v>
      </c>
      <c r="U702" s="23">
        <v>860478062096885</v>
      </c>
      <c r="V702" s="45" t="s">
        <v>110</v>
      </c>
      <c r="W702" s="20" t="s">
        <v>302</v>
      </c>
      <c r="X702" s="20" t="s">
        <v>303</v>
      </c>
      <c r="Y702" s="20" t="s">
        <v>303</v>
      </c>
      <c r="Z702" s="20" t="s">
        <v>131</v>
      </c>
      <c r="AA702" s="20" t="s">
        <v>132</v>
      </c>
      <c r="AB702" s="20" t="s">
        <v>82</v>
      </c>
      <c r="AC702" s="28">
        <v>559.48</v>
      </c>
      <c r="AD702" s="28">
        <f>SUM(BASE[[#This Row],[MONTO DE RENTA ]]*1.16)</f>
        <v>648.99680000000001</v>
      </c>
      <c r="AE702" s="28" t="s">
        <v>83</v>
      </c>
      <c r="AF702" s="28">
        <v>559.48275862068965</v>
      </c>
      <c r="AG702" s="28">
        <v>649</v>
      </c>
      <c r="AH702" s="22" t="s">
        <v>64</v>
      </c>
      <c r="AI702" s="63">
        <v>45703</v>
      </c>
      <c r="AJ702" s="63">
        <v>46433</v>
      </c>
      <c r="AK7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2" s="30"/>
      <c r="AN702" s="20" t="s">
        <v>65</v>
      </c>
      <c r="AP702" s="20" t="s">
        <v>84</v>
      </c>
    </row>
    <row r="703" spans="1:43" ht="16">
      <c r="A703" s="20">
        <v>5514012169</v>
      </c>
      <c r="B703" s="21">
        <v>250347</v>
      </c>
      <c r="C703" s="20" t="s">
        <v>475</v>
      </c>
      <c r="D703" s="20" t="s">
        <v>461</v>
      </c>
      <c r="E703" s="20" t="s">
        <v>102</v>
      </c>
      <c r="F703" s="20" t="s">
        <v>451</v>
      </c>
      <c r="G703" s="20" t="s">
        <v>248</v>
      </c>
      <c r="H703" s="20" t="s">
        <v>48</v>
      </c>
      <c r="I703" s="20" t="s">
        <v>451</v>
      </c>
      <c r="J703" s="22" t="s">
        <v>3367</v>
      </c>
      <c r="K703" s="22" t="s">
        <v>3367</v>
      </c>
      <c r="L703" s="23" t="s">
        <v>3357</v>
      </c>
      <c r="M703" s="24" t="s">
        <v>7741</v>
      </c>
      <c r="N703" s="23">
        <v>18725000</v>
      </c>
      <c r="O703" s="25" t="s">
        <v>52</v>
      </c>
      <c r="P703" s="25" t="s">
        <v>53</v>
      </c>
      <c r="Q703" s="20" t="s">
        <v>3368</v>
      </c>
      <c r="R703" s="20">
        <v>90135318</v>
      </c>
      <c r="S703" s="25" t="s">
        <v>3369</v>
      </c>
      <c r="T703" s="26" t="s">
        <v>57</v>
      </c>
      <c r="U703" s="23">
        <v>860900062336755</v>
      </c>
      <c r="V703" s="27" t="s">
        <v>57</v>
      </c>
      <c r="W703" s="20" t="s">
        <v>58</v>
      </c>
      <c r="X703" s="20" t="s">
        <v>59</v>
      </c>
      <c r="Y703" s="20" t="s">
        <v>59</v>
      </c>
      <c r="Z703" s="20" t="s">
        <v>60</v>
      </c>
      <c r="AA703" s="20" t="s">
        <v>61</v>
      </c>
      <c r="AB703" s="20" t="s">
        <v>96</v>
      </c>
      <c r="AC703" s="28">
        <v>369.83</v>
      </c>
      <c r="AD703" s="28">
        <f>SUM(BASE[[#This Row],[MONTO DE RENTA ]]*1.16)</f>
        <v>429.00279999999998</v>
      </c>
      <c r="AE703" s="28" t="s">
        <v>63</v>
      </c>
      <c r="AF703" s="28">
        <v>369.82758620689657</v>
      </c>
      <c r="AG703" s="28">
        <v>429</v>
      </c>
      <c r="AH703" s="22" t="s">
        <v>64</v>
      </c>
      <c r="AI703" s="63">
        <v>45703</v>
      </c>
      <c r="AJ703" s="63">
        <v>46433</v>
      </c>
      <c r="AK7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3" s="30"/>
      <c r="AN703" s="20" t="s">
        <v>65</v>
      </c>
      <c r="AP703" s="20" t="s">
        <v>84</v>
      </c>
    </row>
    <row r="704" spans="1:43" ht="16">
      <c r="A704" s="20">
        <v>5533078777</v>
      </c>
      <c r="B704" s="21">
        <v>1061759</v>
      </c>
      <c r="C704" s="20" t="s">
        <v>3370</v>
      </c>
      <c r="D704" s="20" t="s">
        <v>3371</v>
      </c>
      <c r="E704" s="20" t="s">
        <v>187</v>
      </c>
      <c r="F704" s="20" t="s">
        <v>257</v>
      </c>
      <c r="G704" s="20" t="s">
        <v>257</v>
      </c>
      <c r="H704" s="20" t="s">
        <v>48</v>
      </c>
      <c r="I704" s="20" t="s">
        <v>257</v>
      </c>
      <c r="J704" s="22" t="s">
        <v>3372</v>
      </c>
      <c r="K704" s="22" t="s">
        <v>3372</v>
      </c>
      <c r="L704" s="23" t="s">
        <v>3357</v>
      </c>
      <c r="M704" s="24" t="s">
        <v>7741</v>
      </c>
      <c r="N704" s="23">
        <v>18725000</v>
      </c>
      <c r="O704" s="25" t="s">
        <v>52</v>
      </c>
      <c r="P704" s="25" t="s">
        <v>53</v>
      </c>
      <c r="Q704" s="20" t="s">
        <v>3373</v>
      </c>
      <c r="R704" s="20">
        <v>90069841</v>
      </c>
      <c r="S704" s="25" t="s">
        <v>3374</v>
      </c>
      <c r="T704" s="26" t="s">
        <v>57</v>
      </c>
      <c r="U704" s="23">
        <v>860478060184477</v>
      </c>
      <c r="V704" s="45" t="s">
        <v>110</v>
      </c>
      <c r="W704" s="20" t="s">
        <v>302</v>
      </c>
      <c r="X704" s="20" t="s">
        <v>303</v>
      </c>
      <c r="Y704" s="20" t="s">
        <v>303</v>
      </c>
      <c r="Z704" s="20" t="s">
        <v>131</v>
      </c>
      <c r="AA704" s="20" t="s">
        <v>132</v>
      </c>
      <c r="AB704" s="20" t="s">
        <v>82</v>
      </c>
      <c r="AC704" s="28">
        <v>559.48</v>
      </c>
      <c r="AD704" s="28">
        <f>SUM(BASE[[#This Row],[MONTO DE RENTA ]]*1.16)</f>
        <v>648.99680000000001</v>
      </c>
      <c r="AE704" s="28" t="s">
        <v>83</v>
      </c>
      <c r="AF704" s="28">
        <v>559.48275862068965</v>
      </c>
      <c r="AG704" s="28">
        <v>649</v>
      </c>
      <c r="AH704" s="22" t="s">
        <v>64</v>
      </c>
      <c r="AI704" s="63">
        <v>45703</v>
      </c>
      <c r="AJ704" s="63">
        <v>46433</v>
      </c>
      <c r="AK7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4" s="30"/>
      <c r="AN704" s="20" t="s">
        <v>65</v>
      </c>
      <c r="AP704" s="20" t="s">
        <v>84</v>
      </c>
    </row>
    <row r="705" spans="1:43" ht="16">
      <c r="A705" s="20">
        <v>5533077844</v>
      </c>
      <c r="B705" s="59">
        <v>240502</v>
      </c>
      <c r="C705" s="20" t="s">
        <v>3375</v>
      </c>
      <c r="D705" s="20" t="s">
        <v>69</v>
      </c>
      <c r="E705" s="20" t="s">
        <v>340</v>
      </c>
      <c r="F705" s="20" t="s">
        <v>104</v>
      </c>
      <c r="G705" s="20" t="s">
        <v>104</v>
      </c>
      <c r="H705" s="20" t="s">
        <v>48</v>
      </c>
      <c r="I705" s="20" t="s">
        <v>104</v>
      </c>
      <c r="J705" s="22" t="s">
        <v>3376</v>
      </c>
      <c r="K705" s="22" t="s">
        <v>3376</v>
      </c>
      <c r="L705" s="23" t="s">
        <v>3357</v>
      </c>
      <c r="M705" s="24" t="s">
        <v>7741</v>
      </c>
      <c r="N705" s="23">
        <v>18725000</v>
      </c>
      <c r="O705" s="25" t="s">
        <v>52</v>
      </c>
      <c r="P705" s="25" t="s">
        <v>53</v>
      </c>
      <c r="Q705" s="20" t="s">
        <v>3377</v>
      </c>
      <c r="R705" s="20">
        <v>90069879</v>
      </c>
      <c r="S705" s="25" t="s">
        <v>3378</v>
      </c>
      <c r="T705" s="26" t="s">
        <v>57</v>
      </c>
      <c r="U705" s="23">
        <v>860478064061697</v>
      </c>
      <c r="V705" s="45" t="s">
        <v>110</v>
      </c>
      <c r="W705" s="20" t="s">
        <v>302</v>
      </c>
      <c r="X705" s="20" t="s">
        <v>303</v>
      </c>
      <c r="Y705" s="20" t="s">
        <v>303</v>
      </c>
      <c r="Z705" s="20" t="s">
        <v>131</v>
      </c>
      <c r="AA705" s="20" t="s">
        <v>132</v>
      </c>
      <c r="AB705" s="20" t="s">
        <v>82</v>
      </c>
      <c r="AC705" s="28">
        <v>559.48</v>
      </c>
      <c r="AD705" s="28">
        <f>SUM(BASE[[#This Row],[MONTO DE RENTA ]]*1.16)</f>
        <v>648.99680000000001</v>
      </c>
      <c r="AE705" s="28" t="s">
        <v>83</v>
      </c>
      <c r="AF705" s="28">
        <v>559.48275862068965</v>
      </c>
      <c r="AG705" s="28">
        <v>649</v>
      </c>
      <c r="AH705" s="22" t="s">
        <v>64</v>
      </c>
      <c r="AI705" s="63">
        <v>45703</v>
      </c>
      <c r="AJ705" s="63">
        <v>46433</v>
      </c>
      <c r="AK70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5" s="30"/>
      <c r="AN705" s="20" t="s">
        <v>65</v>
      </c>
      <c r="AP705" s="20" t="s">
        <v>84</v>
      </c>
    </row>
    <row r="706" spans="1:43" ht="16">
      <c r="A706" s="20">
        <v>5533398925</v>
      </c>
      <c r="B706" s="49">
        <v>20093</v>
      </c>
      <c r="C706" s="20" t="s">
        <v>3343</v>
      </c>
      <c r="D706" s="20" t="s">
        <v>3344</v>
      </c>
      <c r="E706" s="20" t="s">
        <v>598</v>
      </c>
      <c r="F706" s="20" t="s">
        <v>70</v>
      </c>
      <c r="G706" s="20" t="s">
        <v>70</v>
      </c>
      <c r="H706" s="20" t="s">
        <v>48</v>
      </c>
      <c r="I706" s="20" t="s">
        <v>70</v>
      </c>
      <c r="J706" s="22" t="s">
        <v>3379</v>
      </c>
      <c r="K706" s="22" t="s">
        <v>3379</v>
      </c>
      <c r="L706" s="23" t="s">
        <v>3357</v>
      </c>
      <c r="M706" s="24" t="s">
        <v>7741</v>
      </c>
      <c r="N706" s="23">
        <v>18725000</v>
      </c>
      <c r="O706" s="25" t="s">
        <v>52</v>
      </c>
      <c r="P706" s="25" t="s">
        <v>53</v>
      </c>
      <c r="Q706" s="20" t="s">
        <v>3380</v>
      </c>
      <c r="R706" s="20">
        <v>9808604</v>
      </c>
      <c r="S706" s="25" t="s">
        <v>55</v>
      </c>
      <c r="T706" s="26" t="s">
        <v>56</v>
      </c>
      <c r="U706" s="23">
        <v>357654178915123</v>
      </c>
      <c r="V706" s="27" t="s">
        <v>78</v>
      </c>
      <c r="W706" s="20" t="s">
        <v>95</v>
      </c>
      <c r="X706" s="20" t="s">
        <v>95</v>
      </c>
      <c r="Y706" s="20" t="s">
        <v>95</v>
      </c>
      <c r="Z706" s="20" t="s">
        <v>60</v>
      </c>
      <c r="AA706" s="20" t="s">
        <v>61</v>
      </c>
      <c r="AB706" s="20" t="s">
        <v>82</v>
      </c>
      <c r="AC706" s="28">
        <v>559.48</v>
      </c>
      <c r="AD706" s="28">
        <f>SUM(BASE[[#This Row],[MONTO DE RENTA ]]*1.16)</f>
        <v>648.99680000000001</v>
      </c>
      <c r="AE706" s="28" t="s">
        <v>83</v>
      </c>
      <c r="AF706" s="28">
        <v>559.48275862068965</v>
      </c>
      <c r="AG706" s="28">
        <v>649</v>
      </c>
      <c r="AI706" s="63">
        <v>44937</v>
      </c>
      <c r="AJ706" s="73">
        <v>46043</v>
      </c>
      <c r="AK70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06" s="30"/>
      <c r="AN706" s="20" t="s">
        <v>99</v>
      </c>
      <c r="AP706" s="20" t="s">
        <v>84</v>
      </c>
      <c r="AQ706" s="20" t="s">
        <v>100</v>
      </c>
    </row>
    <row r="707" spans="1:43" ht="16">
      <c r="A707" s="20">
        <v>5666749174</v>
      </c>
      <c r="B707" s="49">
        <v>470444</v>
      </c>
      <c r="C707" s="20" t="s">
        <v>1862</v>
      </c>
      <c r="D707" s="20" t="s">
        <v>45</v>
      </c>
      <c r="E707" s="20" t="s">
        <v>3381</v>
      </c>
      <c r="F707" s="20" t="s">
        <v>122</v>
      </c>
      <c r="G707" s="20" t="s">
        <v>122</v>
      </c>
      <c r="H707" s="20" t="s">
        <v>48</v>
      </c>
      <c r="I707" s="20" t="s">
        <v>122</v>
      </c>
      <c r="J707" s="22" t="s">
        <v>3382</v>
      </c>
      <c r="K707" s="193" t="s">
        <v>3383</v>
      </c>
      <c r="L707" s="23" t="s">
        <v>3357</v>
      </c>
      <c r="M707" s="24" t="s">
        <v>7741</v>
      </c>
      <c r="N707" s="23">
        <v>18747003</v>
      </c>
      <c r="O707" s="25" t="s">
        <v>52</v>
      </c>
      <c r="P707" s="25" t="s">
        <v>53</v>
      </c>
      <c r="Q707" s="20" t="s">
        <v>3384</v>
      </c>
      <c r="R707" s="20">
        <v>91332821</v>
      </c>
      <c r="S707" s="25" t="s">
        <v>3385</v>
      </c>
      <c r="T707" s="44" t="s">
        <v>57</v>
      </c>
      <c r="U707" s="23" t="s">
        <v>193</v>
      </c>
      <c r="V707" s="27" t="s">
        <v>57</v>
      </c>
      <c r="W707" s="20" t="s">
        <v>194</v>
      </c>
      <c r="X707" s="20" t="s">
        <v>194</v>
      </c>
      <c r="Y707" s="20" t="s">
        <v>194</v>
      </c>
      <c r="Z707" s="20" t="s">
        <v>60</v>
      </c>
      <c r="AA707" s="20" t="s">
        <v>61</v>
      </c>
      <c r="AB707" s="20" t="s">
        <v>96</v>
      </c>
      <c r="AC707" s="28">
        <v>369.83</v>
      </c>
      <c r="AD707" s="28">
        <f>SUM(BASE[[#This Row],[MONTO DE RENTA ]]*1.16)</f>
        <v>429.00279999999998</v>
      </c>
      <c r="AE707" s="28" t="s">
        <v>63</v>
      </c>
      <c r="AF707" s="28">
        <v>369.82758620689657</v>
      </c>
      <c r="AG707" s="28">
        <v>429</v>
      </c>
      <c r="AH707" s="22" t="s">
        <v>98</v>
      </c>
      <c r="AI707" s="63">
        <v>45910</v>
      </c>
      <c r="AJ707" s="63">
        <v>46640</v>
      </c>
      <c r="AK707" s="30">
        <f ca="1">IFERROR(IF(BASE[[#This Row],[FECHA DE RENOVACION ]]&gt;TODAY(), DATEDIF(TODAY(),BASE[[#This Row],[FECHA DE RENOVACION ]],"M"), -DATEDIF(BASE[[#This Row],[FECHA DE RENOVACION ]],TODAY(),"M")), "Sin fecha")</f>
        <v>18</v>
      </c>
      <c r="AM707" s="30"/>
      <c r="AN707" s="20" t="s">
        <v>65</v>
      </c>
      <c r="AP707" s="20" t="s">
        <v>84</v>
      </c>
    </row>
    <row r="708" spans="1:43" ht="16">
      <c r="A708" s="20">
        <v>5579633018</v>
      </c>
      <c r="B708" s="21">
        <v>260518</v>
      </c>
      <c r="C708" s="20" t="s">
        <v>3386</v>
      </c>
      <c r="D708" s="20" t="s">
        <v>546</v>
      </c>
      <c r="E708" s="20" t="s">
        <v>1488</v>
      </c>
      <c r="F708" s="20" t="s">
        <v>122</v>
      </c>
      <c r="G708" s="20" t="s">
        <v>47</v>
      </c>
      <c r="H708" s="20" t="s">
        <v>48</v>
      </c>
      <c r="I708" s="20" t="s">
        <v>122</v>
      </c>
      <c r="J708" s="22" t="s">
        <v>3387</v>
      </c>
      <c r="K708" s="22" t="s">
        <v>3387</v>
      </c>
      <c r="L708" s="23" t="s">
        <v>3388</v>
      </c>
      <c r="M708" s="24" t="s">
        <v>7742</v>
      </c>
      <c r="N708" s="23">
        <v>18726000</v>
      </c>
      <c r="O708" s="25" t="s">
        <v>52</v>
      </c>
      <c r="P708" s="25" t="s">
        <v>53</v>
      </c>
      <c r="Q708" s="20" t="s">
        <v>3389</v>
      </c>
      <c r="R708" s="20">
        <v>95131245</v>
      </c>
      <c r="S708" s="25" t="s">
        <v>3390</v>
      </c>
      <c r="T708" s="26" t="s">
        <v>57</v>
      </c>
      <c r="U708" s="23">
        <v>860900062238712</v>
      </c>
      <c r="V708" s="27" t="s">
        <v>57</v>
      </c>
      <c r="W708" s="20" t="s">
        <v>58</v>
      </c>
      <c r="X708" s="20" t="s">
        <v>59</v>
      </c>
      <c r="Y708" s="20" t="s">
        <v>59</v>
      </c>
      <c r="Z708" s="20" t="s">
        <v>131</v>
      </c>
      <c r="AA708" s="20" t="s">
        <v>132</v>
      </c>
      <c r="AB708" s="20" t="s">
        <v>96</v>
      </c>
      <c r="AC708" s="28">
        <v>369.83</v>
      </c>
      <c r="AD708" s="28">
        <f>SUM(BASE[[#This Row],[MONTO DE RENTA ]]*1.16)</f>
        <v>429.00279999999998</v>
      </c>
      <c r="AE708" s="28" t="s">
        <v>63</v>
      </c>
      <c r="AF708" s="28">
        <v>369.82758620689657</v>
      </c>
      <c r="AG708" s="28">
        <v>429</v>
      </c>
      <c r="AH708" s="22" t="s">
        <v>64</v>
      </c>
      <c r="AI708" s="63">
        <v>45703</v>
      </c>
      <c r="AJ708" s="63">
        <v>46433</v>
      </c>
      <c r="AK7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08" s="30"/>
      <c r="AN708" s="20" t="s">
        <v>65</v>
      </c>
      <c r="AP708" s="20" t="s">
        <v>84</v>
      </c>
    </row>
    <row r="709" spans="1:43" ht="16">
      <c r="A709" s="20">
        <v>7774469662</v>
      </c>
      <c r="B709" s="21">
        <v>260518</v>
      </c>
      <c r="C709" s="20" t="s">
        <v>3386</v>
      </c>
      <c r="D709" s="20" t="s">
        <v>546</v>
      </c>
      <c r="E709" s="20" t="s">
        <v>1488</v>
      </c>
      <c r="F709" s="20" t="s">
        <v>122</v>
      </c>
      <c r="G709" s="20" t="s">
        <v>122</v>
      </c>
      <c r="H709" s="20" t="s">
        <v>48</v>
      </c>
      <c r="I709" s="20" t="s">
        <v>122</v>
      </c>
      <c r="J709" s="22" t="s">
        <v>3391</v>
      </c>
      <c r="K709" s="22" t="s">
        <v>3392</v>
      </c>
      <c r="L709" s="23" t="s">
        <v>3388</v>
      </c>
      <c r="M709" s="24" t="s">
        <v>7742</v>
      </c>
      <c r="N709" s="23">
        <v>18726000</v>
      </c>
      <c r="O709" s="25" t="s">
        <v>52</v>
      </c>
      <c r="P709" s="25" t="s">
        <v>53</v>
      </c>
      <c r="Q709" s="20" t="s">
        <v>3393</v>
      </c>
      <c r="R709" s="20">
        <v>90069603</v>
      </c>
      <c r="S709" s="25" t="s">
        <v>3394</v>
      </c>
      <c r="T709" s="26" t="s">
        <v>57</v>
      </c>
      <c r="U709" s="23">
        <v>865356065673105</v>
      </c>
      <c r="V709" s="27" t="s">
        <v>183</v>
      </c>
      <c r="W709" s="20" t="s">
        <v>129</v>
      </c>
      <c r="X709" s="20" t="s">
        <v>130</v>
      </c>
      <c r="Y709" s="20" t="s">
        <v>130</v>
      </c>
      <c r="Z709" s="20" t="s">
        <v>131</v>
      </c>
      <c r="AA709" s="20" t="s">
        <v>132</v>
      </c>
      <c r="AB709" s="20" t="s">
        <v>96</v>
      </c>
      <c r="AC709" s="28">
        <v>369.83</v>
      </c>
      <c r="AD709" s="28">
        <f>SUM(BASE[[#This Row],[MONTO DE RENTA ]]*1.16)</f>
        <v>429.00279999999998</v>
      </c>
      <c r="AE709" s="28" t="s">
        <v>63</v>
      </c>
      <c r="AF709" s="28">
        <v>369.82758620689657</v>
      </c>
      <c r="AG709" s="28">
        <v>429</v>
      </c>
      <c r="AI709" s="63">
        <v>44937</v>
      </c>
      <c r="AJ709" s="84">
        <v>46054</v>
      </c>
      <c r="AK70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09" s="30"/>
      <c r="AN709" s="20" t="s">
        <v>99</v>
      </c>
      <c r="AP709" s="20" t="s">
        <v>84</v>
      </c>
      <c r="AQ709" s="20" t="s">
        <v>100</v>
      </c>
    </row>
    <row r="710" spans="1:43" ht="16">
      <c r="A710" s="20">
        <v>7772537611</v>
      </c>
      <c r="B710" s="21">
        <v>995938</v>
      </c>
      <c r="C710" s="20" t="s">
        <v>426</v>
      </c>
      <c r="D710" s="20" t="s">
        <v>1205</v>
      </c>
      <c r="E710" s="20" t="s">
        <v>247</v>
      </c>
      <c r="F710" s="20" t="s">
        <v>359</v>
      </c>
      <c r="G710" s="20" t="s">
        <v>248</v>
      </c>
      <c r="H710" s="20" t="s">
        <v>48</v>
      </c>
      <c r="I710" s="20" t="s">
        <v>359</v>
      </c>
      <c r="J710" s="32" t="s">
        <v>3395</v>
      </c>
      <c r="K710" s="32" t="s">
        <v>3395</v>
      </c>
      <c r="L710" s="23" t="s">
        <v>3388</v>
      </c>
      <c r="M710" s="24" t="s">
        <v>7742</v>
      </c>
      <c r="N710" s="23">
        <v>18726000</v>
      </c>
      <c r="O710" s="25" t="s">
        <v>52</v>
      </c>
      <c r="P710" s="25" t="s">
        <v>53</v>
      </c>
      <c r="Q710" s="20" t="s">
        <v>3396</v>
      </c>
      <c r="R710" s="20">
        <v>90136602</v>
      </c>
      <c r="S710" s="25" t="s">
        <v>3397</v>
      </c>
      <c r="T710" s="26" t="s">
        <v>57</v>
      </c>
      <c r="U710" s="23">
        <v>860900062256847</v>
      </c>
      <c r="V710" s="27" t="s">
        <v>57</v>
      </c>
      <c r="W710" s="20" t="s">
        <v>58</v>
      </c>
      <c r="X710" s="20" t="s">
        <v>59</v>
      </c>
      <c r="Y710" s="20" t="s">
        <v>59</v>
      </c>
      <c r="Z710" s="20" t="s">
        <v>131</v>
      </c>
      <c r="AA710" s="20" t="s">
        <v>132</v>
      </c>
      <c r="AB710" s="20" t="s">
        <v>96</v>
      </c>
      <c r="AC710" s="28">
        <v>369.83</v>
      </c>
      <c r="AD710" s="28">
        <f>SUM(BASE[[#This Row],[MONTO DE RENTA ]]*1.16)</f>
        <v>429.00279999999998</v>
      </c>
      <c r="AE710" s="28" t="s">
        <v>63</v>
      </c>
      <c r="AF710" s="28">
        <v>369.82758620689657</v>
      </c>
      <c r="AG710" s="28">
        <v>429</v>
      </c>
      <c r="AH710" s="22" t="s">
        <v>64</v>
      </c>
      <c r="AI710" s="63">
        <v>45703</v>
      </c>
      <c r="AJ710" s="63">
        <v>46433</v>
      </c>
      <c r="AK7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0" s="30"/>
      <c r="AN710" s="20" t="s">
        <v>65</v>
      </c>
      <c r="AP710" s="20" t="s">
        <v>84</v>
      </c>
    </row>
    <row r="711" spans="1:43" ht="16">
      <c r="A711" s="20">
        <v>7773360657</v>
      </c>
      <c r="B711" s="21">
        <v>260558</v>
      </c>
      <c r="C711" s="20" t="s">
        <v>3398</v>
      </c>
      <c r="D711" s="20" t="s">
        <v>3399</v>
      </c>
      <c r="E711" s="20" t="s">
        <v>376</v>
      </c>
      <c r="F711" s="20" t="s">
        <v>257</v>
      </c>
      <c r="G711" s="20" t="s">
        <v>257</v>
      </c>
      <c r="H711" s="20" t="s">
        <v>48</v>
      </c>
      <c r="I711" s="20" t="s">
        <v>257</v>
      </c>
      <c r="J711" s="22" t="s">
        <v>3400</v>
      </c>
      <c r="K711" s="22" t="s">
        <v>3400</v>
      </c>
      <c r="L711" s="23" t="s">
        <v>3388</v>
      </c>
      <c r="M711" s="24" t="s">
        <v>7742</v>
      </c>
      <c r="N711" s="23">
        <v>18795000</v>
      </c>
      <c r="O711" s="25" t="s">
        <v>52</v>
      </c>
      <c r="P711" s="25" t="s">
        <v>53</v>
      </c>
      <c r="Q711" s="20" t="s">
        <v>3401</v>
      </c>
      <c r="R711" s="20">
        <v>90159719</v>
      </c>
      <c r="S711" s="25" t="s">
        <v>3402</v>
      </c>
      <c r="T711" s="26" t="s">
        <v>57</v>
      </c>
      <c r="U711" s="23">
        <v>860478063794439</v>
      </c>
      <c r="V711" s="27" t="s">
        <v>57</v>
      </c>
      <c r="W711" s="20" t="s">
        <v>302</v>
      </c>
      <c r="X711" s="20" t="s">
        <v>303</v>
      </c>
      <c r="Y711" s="20" t="s">
        <v>303</v>
      </c>
      <c r="Z711" s="20" t="s">
        <v>131</v>
      </c>
      <c r="AA711" s="20" t="s">
        <v>132</v>
      </c>
      <c r="AB711" s="20" t="s">
        <v>82</v>
      </c>
      <c r="AC711" s="28">
        <v>559.48</v>
      </c>
      <c r="AD711" s="28">
        <f>SUM(BASE[[#This Row],[MONTO DE RENTA ]]*1.16)</f>
        <v>648.99680000000001</v>
      </c>
      <c r="AE711" s="28" t="s">
        <v>83</v>
      </c>
      <c r="AF711" s="28">
        <v>559.48275862068965</v>
      </c>
      <c r="AG711" s="28">
        <v>649</v>
      </c>
      <c r="AH711" s="22" t="s">
        <v>64</v>
      </c>
      <c r="AI711" s="63">
        <v>45703</v>
      </c>
      <c r="AJ711" s="63">
        <v>46433</v>
      </c>
      <c r="AK7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1" s="30"/>
      <c r="AN711" s="20" t="s">
        <v>65</v>
      </c>
      <c r="AP711" s="20" t="s">
        <v>84</v>
      </c>
    </row>
    <row r="712" spans="1:43" ht="16">
      <c r="A712" s="20">
        <v>7772676781</v>
      </c>
      <c r="B712" s="161">
        <v>995315</v>
      </c>
      <c r="C712" s="20" t="s">
        <v>3403</v>
      </c>
      <c r="D712" s="20" t="s">
        <v>3404</v>
      </c>
      <c r="E712" s="20" t="s">
        <v>3405</v>
      </c>
      <c r="F712" s="20" t="s">
        <v>122</v>
      </c>
      <c r="G712" s="20" t="s">
        <v>122</v>
      </c>
      <c r="H712" s="20" t="s">
        <v>48</v>
      </c>
      <c r="I712" s="20" t="s">
        <v>122</v>
      </c>
      <c r="J712" s="22" t="s">
        <v>3391</v>
      </c>
      <c r="K712" s="22" t="s">
        <v>3392</v>
      </c>
      <c r="L712" s="23" t="s">
        <v>3388</v>
      </c>
      <c r="M712" s="24" t="s">
        <v>7742</v>
      </c>
      <c r="N712" s="23">
        <v>18726000</v>
      </c>
      <c r="O712" s="25" t="s">
        <v>52</v>
      </c>
      <c r="P712" s="25" t="s">
        <v>53</v>
      </c>
      <c r="Q712" s="20" t="s">
        <v>3406</v>
      </c>
      <c r="R712" s="20">
        <v>9517906</v>
      </c>
      <c r="S712" s="25" t="s">
        <v>55</v>
      </c>
      <c r="T712" s="44" t="s">
        <v>56</v>
      </c>
      <c r="U712" s="23">
        <v>865356065673105</v>
      </c>
      <c r="V712" s="27" t="s">
        <v>183</v>
      </c>
      <c r="W712" s="20" t="s">
        <v>129</v>
      </c>
      <c r="X712" s="20" t="s">
        <v>130</v>
      </c>
      <c r="Y712" s="20" t="s">
        <v>130</v>
      </c>
      <c r="Z712" s="20" t="s">
        <v>60</v>
      </c>
      <c r="AA712" s="20" t="s">
        <v>61</v>
      </c>
      <c r="AB712" s="20" t="s">
        <v>96</v>
      </c>
      <c r="AC712" s="28">
        <v>369.83</v>
      </c>
      <c r="AD712" s="28">
        <f>SUM(BASE[[#This Row],[MONTO DE RENTA ]]*1.16)</f>
        <v>429.00279999999998</v>
      </c>
      <c r="AE712" s="28" t="s">
        <v>63</v>
      </c>
      <c r="AF712" s="28">
        <v>369.82758620689657</v>
      </c>
      <c r="AG712" s="28">
        <v>429</v>
      </c>
      <c r="AH712" s="36" t="s">
        <v>64</v>
      </c>
      <c r="AI712" s="84">
        <v>45323</v>
      </c>
      <c r="AJ712" s="84">
        <v>46054</v>
      </c>
      <c r="AK7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12" s="30"/>
      <c r="AN712" s="20" t="s">
        <v>99</v>
      </c>
      <c r="AP712" s="20" t="s">
        <v>84</v>
      </c>
      <c r="AQ712" s="20" t="s">
        <v>100</v>
      </c>
    </row>
    <row r="713" spans="1:43" ht="16">
      <c r="A713" s="20">
        <v>8711510725</v>
      </c>
      <c r="B713" s="21">
        <v>280618</v>
      </c>
      <c r="C713" s="20" t="s">
        <v>936</v>
      </c>
      <c r="D713" s="20" t="s">
        <v>86</v>
      </c>
      <c r="E713" s="20" t="s">
        <v>946</v>
      </c>
      <c r="F713" s="20" t="s">
        <v>257</v>
      </c>
      <c r="G713" s="20" t="s">
        <v>257</v>
      </c>
      <c r="H713" s="20" t="s">
        <v>48</v>
      </c>
      <c r="I713" s="20" t="s">
        <v>257</v>
      </c>
      <c r="J713" s="22" t="s">
        <v>3407</v>
      </c>
      <c r="K713" s="22" t="s">
        <v>3407</v>
      </c>
      <c r="L713" s="23" t="s">
        <v>3408</v>
      </c>
      <c r="M713" s="24" t="s">
        <v>7744</v>
      </c>
      <c r="N713" s="23">
        <v>18728000</v>
      </c>
      <c r="O713" s="25" t="s">
        <v>362</v>
      </c>
      <c r="P713" s="25" t="s">
        <v>53</v>
      </c>
      <c r="Q713" s="20" t="s">
        <v>3409</v>
      </c>
      <c r="R713" s="20">
        <v>31872990</v>
      </c>
      <c r="S713" s="25" t="s">
        <v>3410</v>
      </c>
      <c r="T713" s="26" t="s">
        <v>57</v>
      </c>
      <c r="U713" s="23">
        <v>860478064859405</v>
      </c>
      <c r="V713" s="45" t="s">
        <v>110</v>
      </c>
      <c r="W713" s="20" t="s">
        <v>302</v>
      </c>
      <c r="X713" s="20" t="s">
        <v>303</v>
      </c>
      <c r="Y713" s="20" t="s">
        <v>303</v>
      </c>
      <c r="Z713" s="20" t="s">
        <v>80</v>
      </c>
      <c r="AA713" s="20" t="s">
        <v>81</v>
      </c>
      <c r="AB713" s="20" t="s">
        <v>82</v>
      </c>
      <c r="AC713" s="28">
        <v>559.48</v>
      </c>
      <c r="AD713" s="28">
        <f>SUM(BASE[[#This Row],[MONTO DE RENTA ]]*1.16)</f>
        <v>648.99680000000001</v>
      </c>
      <c r="AE713" s="28" t="s">
        <v>83</v>
      </c>
      <c r="AF713" s="28">
        <v>559.48275862068965</v>
      </c>
      <c r="AG713" s="28">
        <v>649</v>
      </c>
      <c r="AH713" s="22" t="s">
        <v>64</v>
      </c>
      <c r="AI713" s="63">
        <v>45703</v>
      </c>
      <c r="AJ713" s="63">
        <v>46433</v>
      </c>
      <c r="AK7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3" s="30"/>
      <c r="AN713" s="20" t="s">
        <v>65</v>
      </c>
      <c r="AP713" s="20" t="s">
        <v>84</v>
      </c>
    </row>
    <row r="714" spans="1:43" ht="16">
      <c r="A714" s="20">
        <v>7773360405</v>
      </c>
      <c r="B714" s="211">
        <v>260074</v>
      </c>
      <c r="C714" s="20" t="s">
        <v>3411</v>
      </c>
      <c r="D714" s="20" t="s">
        <v>456</v>
      </c>
      <c r="E714" s="20" t="s">
        <v>468</v>
      </c>
      <c r="F714" s="20" t="s">
        <v>104</v>
      </c>
      <c r="G714" s="20" t="s">
        <v>104</v>
      </c>
      <c r="H714" s="20" t="s">
        <v>48</v>
      </c>
      <c r="I714" s="20" t="s">
        <v>104</v>
      </c>
      <c r="J714" s="32" t="s">
        <v>3412</v>
      </c>
      <c r="K714" s="32" t="s">
        <v>3412</v>
      </c>
      <c r="L714" s="23" t="s">
        <v>3388</v>
      </c>
      <c r="M714" s="24" t="s">
        <v>7742</v>
      </c>
      <c r="N714" s="23">
        <v>18726000</v>
      </c>
      <c r="O714" s="25" t="s">
        <v>52</v>
      </c>
      <c r="P714" s="25" t="s">
        <v>53</v>
      </c>
      <c r="Q714" s="20" t="s">
        <v>3413</v>
      </c>
      <c r="R714" s="20">
        <v>90159630</v>
      </c>
      <c r="S714" s="25" t="s">
        <v>3414</v>
      </c>
      <c r="T714" s="26" t="s">
        <v>57</v>
      </c>
      <c r="U714" s="23">
        <v>860478063794314</v>
      </c>
      <c r="V714" s="45" t="s">
        <v>110</v>
      </c>
      <c r="W714" s="20" t="s">
        <v>302</v>
      </c>
      <c r="X714" s="20" t="s">
        <v>303</v>
      </c>
      <c r="Y714" s="20" t="s">
        <v>303</v>
      </c>
      <c r="Z714" s="20" t="s">
        <v>131</v>
      </c>
      <c r="AA714" s="20" t="s">
        <v>132</v>
      </c>
      <c r="AB714" s="20" t="s">
        <v>82</v>
      </c>
      <c r="AC714" s="28">
        <v>559.48</v>
      </c>
      <c r="AD714" s="28">
        <f>SUM(BASE[[#This Row],[MONTO DE RENTA ]]*1.16)</f>
        <v>648.99680000000001</v>
      </c>
      <c r="AE714" s="28" t="s">
        <v>83</v>
      </c>
      <c r="AF714" s="28">
        <v>559.48275862068965</v>
      </c>
      <c r="AG714" s="28">
        <v>649</v>
      </c>
      <c r="AH714" s="22" t="s">
        <v>64</v>
      </c>
      <c r="AI714" s="63">
        <v>45703</v>
      </c>
      <c r="AJ714" s="63">
        <v>46433</v>
      </c>
      <c r="AK7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4" s="30"/>
      <c r="AN714" s="20" t="s">
        <v>65</v>
      </c>
      <c r="AP714" s="20" t="s">
        <v>84</v>
      </c>
    </row>
    <row r="715" spans="1:43" ht="16">
      <c r="A715" s="20">
        <v>7773360656</v>
      </c>
      <c r="B715" s="21">
        <v>260074</v>
      </c>
      <c r="C715" s="20" t="s">
        <v>3411</v>
      </c>
      <c r="D715" s="20" t="s">
        <v>456</v>
      </c>
      <c r="E715" s="20" t="s">
        <v>468</v>
      </c>
      <c r="F715" s="20" t="s">
        <v>104</v>
      </c>
      <c r="G715" s="20" t="s">
        <v>104</v>
      </c>
      <c r="H715" s="20" t="s">
        <v>48</v>
      </c>
      <c r="I715" s="20" t="s">
        <v>104</v>
      </c>
      <c r="J715" s="32" t="s">
        <v>3415</v>
      </c>
      <c r="K715" s="32" t="s">
        <v>3415</v>
      </c>
      <c r="L715" s="23" t="s">
        <v>3388</v>
      </c>
      <c r="M715" s="24" t="s">
        <v>7742</v>
      </c>
      <c r="N715" s="23">
        <v>18726000</v>
      </c>
      <c r="O715" s="25" t="s">
        <v>52</v>
      </c>
      <c r="P715" s="25" t="s">
        <v>53</v>
      </c>
      <c r="Q715" s="20" t="s">
        <v>3416</v>
      </c>
      <c r="R715" s="20">
        <v>90159649</v>
      </c>
      <c r="S715" s="25" t="s">
        <v>3417</v>
      </c>
      <c r="T715" s="26" t="s">
        <v>57</v>
      </c>
      <c r="U715" s="23">
        <v>860478063794397</v>
      </c>
      <c r="V715" s="45" t="s">
        <v>110</v>
      </c>
      <c r="W715" s="20" t="s">
        <v>302</v>
      </c>
      <c r="X715" s="20" t="s">
        <v>303</v>
      </c>
      <c r="Y715" s="20" t="s">
        <v>303</v>
      </c>
      <c r="Z715" s="20" t="s">
        <v>131</v>
      </c>
      <c r="AA715" s="20" t="s">
        <v>132</v>
      </c>
      <c r="AB715" s="20" t="s">
        <v>82</v>
      </c>
      <c r="AC715" s="28">
        <v>559.48</v>
      </c>
      <c r="AD715" s="28">
        <f>SUM(BASE[[#This Row],[MONTO DE RENTA ]]*1.16)</f>
        <v>648.99680000000001</v>
      </c>
      <c r="AE715" s="28" t="s">
        <v>83</v>
      </c>
      <c r="AF715" s="28">
        <v>559.48275862068965</v>
      </c>
      <c r="AG715" s="28">
        <v>649</v>
      </c>
      <c r="AH715" s="22" t="s">
        <v>64</v>
      </c>
      <c r="AI715" s="63">
        <v>45703</v>
      </c>
      <c r="AJ715" s="63">
        <v>46433</v>
      </c>
      <c r="AK7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5" s="30"/>
      <c r="AN715" s="20" t="s">
        <v>65</v>
      </c>
      <c r="AP715" s="20" t="s">
        <v>84</v>
      </c>
    </row>
    <row r="716" spans="1:43" ht="16">
      <c r="A716" s="20">
        <v>7773360404</v>
      </c>
      <c r="B716" s="21">
        <v>1016680</v>
      </c>
      <c r="C716" s="20" t="s">
        <v>3418</v>
      </c>
      <c r="D716" s="20" t="s">
        <v>3419</v>
      </c>
      <c r="E716" s="20" t="s">
        <v>280</v>
      </c>
      <c r="F716" s="20" t="s">
        <v>257</v>
      </c>
      <c r="G716" s="20" t="s">
        <v>104</v>
      </c>
      <c r="H716" s="20" t="s">
        <v>48</v>
      </c>
      <c r="I716" s="20" t="s">
        <v>257</v>
      </c>
      <c r="J716" s="32" t="s">
        <v>3420</v>
      </c>
      <c r="K716" s="32" t="s">
        <v>3420</v>
      </c>
      <c r="L716" s="23" t="s">
        <v>3388</v>
      </c>
      <c r="M716" s="24" t="s">
        <v>7742</v>
      </c>
      <c r="N716" s="23">
        <v>11164000</v>
      </c>
      <c r="O716" s="25" t="s">
        <v>52</v>
      </c>
      <c r="P716" s="25" t="s">
        <v>53</v>
      </c>
      <c r="Q716" s="20" t="s">
        <v>3421</v>
      </c>
      <c r="R716" s="20">
        <v>90159626</v>
      </c>
      <c r="S716" s="25" t="s">
        <v>3422</v>
      </c>
      <c r="T716" s="26" t="s">
        <v>57</v>
      </c>
      <c r="U716" s="23">
        <v>860478063793738</v>
      </c>
      <c r="V716" s="45" t="s">
        <v>110</v>
      </c>
      <c r="W716" s="20" t="s">
        <v>302</v>
      </c>
      <c r="X716" s="20" t="s">
        <v>303</v>
      </c>
      <c r="Y716" s="20" t="s">
        <v>303</v>
      </c>
      <c r="Z716" s="20" t="s">
        <v>131</v>
      </c>
      <c r="AA716" s="20" t="s">
        <v>132</v>
      </c>
      <c r="AB716" s="20" t="s">
        <v>82</v>
      </c>
      <c r="AC716" s="28">
        <v>559.48</v>
      </c>
      <c r="AD716" s="28">
        <f>SUM(BASE[[#This Row],[MONTO DE RENTA ]]*1.16)</f>
        <v>648.99680000000001</v>
      </c>
      <c r="AE716" s="28" t="s">
        <v>83</v>
      </c>
      <c r="AF716" s="28">
        <v>559.48275862068965</v>
      </c>
      <c r="AG716" s="28">
        <v>649</v>
      </c>
      <c r="AH716" s="22" t="s">
        <v>64</v>
      </c>
      <c r="AI716" s="63">
        <v>45703</v>
      </c>
      <c r="AJ716" s="63">
        <v>46433</v>
      </c>
      <c r="AK7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6" s="30"/>
      <c r="AN716" s="20" t="s">
        <v>65</v>
      </c>
      <c r="AP716" s="20" t="s">
        <v>84</v>
      </c>
    </row>
    <row r="717" spans="1:43" ht="16">
      <c r="A717" s="20">
        <v>7772707898</v>
      </c>
      <c r="B717" s="113">
        <v>260360</v>
      </c>
      <c r="C717" s="20" t="s">
        <v>3423</v>
      </c>
      <c r="D717" s="20" t="s">
        <v>1974</v>
      </c>
      <c r="E717" s="20" t="s">
        <v>3424</v>
      </c>
      <c r="F717" s="20" t="s">
        <v>70</v>
      </c>
      <c r="G717" s="20" t="s">
        <v>70</v>
      </c>
      <c r="H717" s="20" t="s">
        <v>48</v>
      </c>
      <c r="I717" s="20" t="s">
        <v>70</v>
      </c>
      <c r="J717" s="22" t="s">
        <v>3425</v>
      </c>
      <c r="K717" s="22" t="s">
        <v>3425</v>
      </c>
      <c r="L717" s="23" t="s">
        <v>3388</v>
      </c>
      <c r="M717" s="24" t="s">
        <v>7742</v>
      </c>
      <c r="N717" s="23">
        <v>18726000</v>
      </c>
      <c r="O717" s="25" t="s">
        <v>52</v>
      </c>
      <c r="P717" s="25" t="s">
        <v>53</v>
      </c>
      <c r="Q717" s="20" t="s">
        <v>3426</v>
      </c>
      <c r="R717" s="20">
        <v>9808597</v>
      </c>
      <c r="S717" s="25" t="s">
        <v>55</v>
      </c>
      <c r="T717" s="26" t="s">
        <v>56</v>
      </c>
      <c r="U717" s="23">
        <v>357654177947028</v>
      </c>
      <c r="V717" s="27" t="s">
        <v>78</v>
      </c>
      <c r="W717" s="20" t="s">
        <v>95</v>
      </c>
      <c r="X717" s="20" t="s">
        <v>95</v>
      </c>
      <c r="Y717" s="20" t="s">
        <v>95</v>
      </c>
      <c r="Z717" s="20" t="s">
        <v>60</v>
      </c>
      <c r="AA717" s="20" t="s">
        <v>61</v>
      </c>
      <c r="AB717" s="20" t="s">
        <v>82</v>
      </c>
      <c r="AC717" s="28">
        <v>559.48</v>
      </c>
      <c r="AD717" s="28">
        <f>SUM(BASE[[#This Row],[MONTO DE RENTA ]]*1.16)</f>
        <v>648.99680000000001</v>
      </c>
      <c r="AE717" s="28" t="s">
        <v>83</v>
      </c>
      <c r="AF717" s="28">
        <v>559.48275862068965</v>
      </c>
      <c r="AG717" s="28">
        <v>649</v>
      </c>
      <c r="AI717" s="63">
        <v>44937</v>
      </c>
      <c r="AJ717" s="73">
        <v>46043</v>
      </c>
      <c r="AK71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17" s="30"/>
      <c r="AN717" s="20" t="s">
        <v>99</v>
      </c>
      <c r="AP717" s="20" t="s">
        <v>84</v>
      </c>
      <c r="AQ717" s="20" t="s">
        <v>100</v>
      </c>
    </row>
    <row r="718" spans="1:43" ht="16">
      <c r="A718" s="20">
        <v>3314003980</v>
      </c>
      <c r="B718" s="21">
        <v>420017</v>
      </c>
      <c r="C718" s="20" t="s">
        <v>3427</v>
      </c>
      <c r="D718" s="20" t="s">
        <v>657</v>
      </c>
      <c r="E718" s="20" t="s">
        <v>256</v>
      </c>
      <c r="F718" s="20" t="s">
        <v>418</v>
      </c>
      <c r="G718" s="20" t="s">
        <v>47</v>
      </c>
      <c r="H718" s="20" t="s">
        <v>48</v>
      </c>
      <c r="I718" s="20" t="s">
        <v>418</v>
      </c>
      <c r="J718" s="22" t="s">
        <v>3428</v>
      </c>
      <c r="K718" s="22" t="s">
        <v>3428</v>
      </c>
      <c r="L718" s="23" t="s">
        <v>3429</v>
      </c>
      <c r="M718" s="24" t="s">
        <v>7746</v>
      </c>
      <c r="N718" s="23">
        <v>18727000</v>
      </c>
      <c r="O718" s="25" t="s">
        <v>677</v>
      </c>
      <c r="P718" s="25" t="s">
        <v>53</v>
      </c>
      <c r="Q718" s="20" t="s">
        <v>3430</v>
      </c>
      <c r="R718" s="20">
        <v>53354231</v>
      </c>
      <c r="S718" s="25" t="s">
        <v>3431</v>
      </c>
      <c r="T718" s="26" t="s">
        <v>57</v>
      </c>
      <c r="U718" s="23">
        <v>860900062319090</v>
      </c>
      <c r="V718" s="27" t="s">
        <v>57</v>
      </c>
      <c r="W718" s="20" t="s">
        <v>58</v>
      </c>
      <c r="X718" s="20" t="s">
        <v>59</v>
      </c>
      <c r="Y718" s="20" t="s">
        <v>59</v>
      </c>
      <c r="Z718" s="20" t="s">
        <v>80</v>
      </c>
      <c r="AA718" s="20" t="s">
        <v>81</v>
      </c>
      <c r="AB718" s="20" t="s">
        <v>96</v>
      </c>
      <c r="AC718" s="28">
        <v>369.83</v>
      </c>
      <c r="AD718" s="28">
        <f>SUM(BASE[[#This Row],[MONTO DE RENTA ]]*1.16)</f>
        <v>429.00279999999998</v>
      </c>
      <c r="AE718" s="28" t="s">
        <v>63</v>
      </c>
      <c r="AF718" s="28">
        <v>369.82758620689657</v>
      </c>
      <c r="AG718" s="28">
        <v>429</v>
      </c>
      <c r="AH718" s="22" t="s">
        <v>64</v>
      </c>
      <c r="AI718" s="63">
        <v>45703</v>
      </c>
      <c r="AJ718" s="63">
        <v>46433</v>
      </c>
      <c r="AK7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8" s="30"/>
      <c r="AN718" s="20" t="s">
        <v>65</v>
      </c>
      <c r="AP718" s="20" t="s">
        <v>84</v>
      </c>
    </row>
    <row r="719" spans="1:43" ht="16">
      <c r="A719" s="20">
        <v>3321840738</v>
      </c>
      <c r="B719" s="21">
        <v>995866</v>
      </c>
      <c r="C719" s="20" t="s">
        <v>3432</v>
      </c>
      <c r="D719" s="20" t="s">
        <v>1156</v>
      </c>
      <c r="E719" s="20" t="s">
        <v>3433</v>
      </c>
      <c r="F719" s="20" t="s">
        <v>1004</v>
      </c>
      <c r="G719" s="20" t="s">
        <v>47</v>
      </c>
      <c r="H719" s="20" t="s">
        <v>48</v>
      </c>
      <c r="I719" s="20" t="s">
        <v>1004</v>
      </c>
      <c r="J719" s="22" t="s">
        <v>3428</v>
      </c>
      <c r="K719" s="22" t="s">
        <v>3428</v>
      </c>
      <c r="L719" s="23" t="s">
        <v>3429</v>
      </c>
      <c r="M719" s="24" t="s">
        <v>7746</v>
      </c>
      <c r="N719" s="23">
        <v>18727000</v>
      </c>
      <c r="O719" s="25" t="s">
        <v>677</v>
      </c>
      <c r="P719" s="25" t="s">
        <v>53</v>
      </c>
      <c r="Q719" s="20" t="s">
        <v>3434</v>
      </c>
      <c r="R719" s="20">
        <v>54078133</v>
      </c>
      <c r="S719" s="25" t="s">
        <v>3435</v>
      </c>
      <c r="T719" s="26" t="s">
        <v>57</v>
      </c>
      <c r="U719" s="23">
        <v>860900062319090</v>
      </c>
      <c r="V719" s="27" t="s">
        <v>57</v>
      </c>
      <c r="W719" s="20" t="s">
        <v>58</v>
      </c>
      <c r="X719" s="20" t="s">
        <v>59</v>
      </c>
      <c r="Y719" s="20" t="s">
        <v>59</v>
      </c>
      <c r="Z719" s="20" t="s">
        <v>60</v>
      </c>
      <c r="AA719" s="20" t="s">
        <v>61</v>
      </c>
      <c r="AB719" s="20" t="s">
        <v>96</v>
      </c>
      <c r="AC719" s="28">
        <v>369.83</v>
      </c>
      <c r="AD719" s="28">
        <f>SUM(BASE[[#This Row],[MONTO DE RENTA ]]*1.16)</f>
        <v>429.00279999999998</v>
      </c>
      <c r="AE719" s="28" t="s">
        <v>63</v>
      </c>
      <c r="AF719" s="28">
        <v>369.82758620689657</v>
      </c>
      <c r="AG719" s="28">
        <v>429</v>
      </c>
      <c r="AH719" s="22" t="s">
        <v>64</v>
      </c>
      <c r="AI719" s="63">
        <v>45703</v>
      </c>
      <c r="AJ719" s="63">
        <v>46433</v>
      </c>
      <c r="AK7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19" s="30"/>
      <c r="AN719" s="20" t="s">
        <v>65</v>
      </c>
      <c r="AP719" s="20" t="s">
        <v>84</v>
      </c>
    </row>
    <row r="720" spans="1:43" ht="16">
      <c r="A720" s="20">
        <v>3313480992</v>
      </c>
      <c r="B720" s="49">
        <v>270352</v>
      </c>
      <c r="C720" s="20" t="s">
        <v>3436</v>
      </c>
      <c r="D720" s="20" t="s">
        <v>657</v>
      </c>
      <c r="E720" s="20" t="s">
        <v>657</v>
      </c>
      <c r="F720" s="20" t="s">
        <v>1568</v>
      </c>
      <c r="G720" s="20" t="s">
        <v>1568</v>
      </c>
      <c r="H720" s="20" t="s">
        <v>48</v>
      </c>
      <c r="I720" s="20" t="s">
        <v>1568</v>
      </c>
      <c r="J720" s="22" t="s">
        <v>3437</v>
      </c>
      <c r="K720" s="22" t="s">
        <v>3437</v>
      </c>
      <c r="L720" s="23" t="s">
        <v>3429</v>
      </c>
      <c r="M720" s="24" t="s">
        <v>7746</v>
      </c>
      <c r="N720" s="23">
        <v>18727000</v>
      </c>
      <c r="O720" s="25" t="s">
        <v>677</v>
      </c>
      <c r="P720" s="25" t="s">
        <v>53</v>
      </c>
      <c r="Q720" s="20" t="s">
        <v>3438</v>
      </c>
      <c r="R720" s="20">
        <v>53804775</v>
      </c>
      <c r="S720" s="25" t="s">
        <v>55</v>
      </c>
      <c r="T720" s="65" t="s">
        <v>56</v>
      </c>
      <c r="U720" s="23">
        <v>860900062731476</v>
      </c>
      <c r="V720" s="27" t="s">
        <v>57</v>
      </c>
      <c r="W720" s="20" t="s">
        <v>58</v>
      </c>
      <c r="X720" s="20" t="s">
        <v>59</v>
      </c>
      <c r="Y720" s="20" t="s">
        <v>59</v>
      </c>
      <c r="Z720" s="20" t="s">
        <v>60</v>
      </c>
      <c r="AA720" s="20" t="s">
        <v>61</v>
      </c>
      <c r="AB720" s="20" t="s">
        <v>96</v>
      </c>
      <c r="AC720" s="28">
        <v>369.83</v>
      </c>
      <c r="AD720" s="28">
        <f>SUM(BASE[[#This Row],[MONTO DE RENTA ]]*1.16)</f>
        <v>429.00279999999998</v>
      </c>
      <c r="AE720" s="28" t="s">
        <v>63</v>
      </c>
      <c r="AF720" s="28">
        <v>369.82758620689657</v>
      </c>
      <c r="AG720" s="28">
        <v>429</v>
      </c>
      <c r="AH720" s="22" t="s">
        <v>140</v>
      </c>
      <c r="AI720" s="63">
        <v>45601</v>
      </c>
      <c r="AJ720" s="63">
        <v>46402</v>
      </c>
      <c r="AK720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720" s="20">
        <v>18727000</v>
      </c>
      <c r="AM720" s="30" t="s">
        <v>3439</v>
      </c>
      <c r="AN720" s="20" t="s">
        <v>65</v>
      </c>
      <c r="AP720" s="20" t="s">
        <v>84</v>
      </c>
    </row>
    <row r="721" spans="1:43" ht="16">
      <c r="A721" s="20">
        <v>3318621391</v>
      </c>
      <c r="B721" s="21">
        <v>720019</v>
      </c>
      <c r="C721" s="20" t="s">
        <v>3440</v>
      </c>
      <c r="D721" s="20" t="s">
        <v>3441</v>
      </c>
      <c r="E721" s="20" t="s">
        <v>657</v>
      </c>
      <c r="F721" s="20" t="s">
        <v>451</v>
      </c>
      <c r="G721" s="20" t="s">
        <v>248</v>
      </c>
      <c r="H721" s="20" t="s">
        <v>48</v>
      </c>
      <c r="I721" s="20" t="s">
        <v>451</v>
      </c>
      <c r="J721" s="22" t="s">
        <v>3442</v>
      </c>
      <c r="K721" s="22" t="s">
        <v>3442</v>
      </c>
      <c r="L721" s="23" t="s">
        <v>3429</v>
      </c>
      <c r="M721" s="24" t="s">
        <v>7746</v>
      </c>
      <c r="N721" s="23">
        <v>18727000</v>
      </c>
      <c r="O721" s="25" t="s">
        <v>677</v>
      </c>
      <c r="P721" s="25" t="s">
        <v>53</v>
      </c>
      <c r="Q721" s="20" t="s">
        <v>3443</v>
      </c>
      <c r="R721" s="20">
        <v>54903658</v>
      </c>
      <c r="S721" s="25" t="s">
        <v>3444</v>
      </c>
      <c r="T721" s="26" t="s">
        <v>57</v>
      </c>
      <c r="U721" s="23">
        <v>860900062255476</v>
      </c>
      <c r="V721" s="27" t="s">
        <v>57</v>
      </c>
      <c r="W721" s="20" t="s">
        <v>58</v>
      </c>
      <c r="X721" s="20" t="s">
        <v>59</v>
      </c>
      <c r="Y721" s="20" t="s">
        <v>59</v>
      </c>
      <c r="Z721" s="20" t="s">
        <v>80</v>
      </c>
      <c r="AA721" s="20" t="s">
        <v>81</v>
      </c>
      <c r="AB721" s="20" t="s">
        <v>96</v>
      </c>
      <c r="AC721" s="28">
        <v>369.83</v>
      </c>
      <c r="AD721" s="28">
        <f>SUM(BASE[[#This Row],[MONTO DE RENTA ]]*1.16)</f>
        <v>429.00279999999998</v>
      </c>
      <c r="AE721" s="28" t="s">
        <v>63</v>
      </c>
      <c r="AF721" s="28">
        <v>369.82758620689657</v>
      </c>
      <c r="AG721" s="28">
        <v>429</v>
      </c>
      <c r="AH721" s="22" t="s">
        <v>64</v>
      </c>
      <c r="AI721" s="63">
        <v>45703</v>
      </c>
      <c r="AJ721" s="63">
        <v>46433</v>
      </c>
      <c r="AK7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1" s="30"/>
      <c r="AN721" s="20" t="s">
        <v>65</v>
      </c>
      <c r="AP721" s="20" t="s">
        <v>84</v>
      </c>
    </row>
    <row r="722" spans="1:43" ht="16">
      <c r="A722" s="20">
        <v>3316016066</v>
      </c>
      <c r="B722" s="21">
        <v>420051</v>
      </c>
      <c r="C722" s="20" t="s">
        <v>3445</v>
      </c>
      <c r="D722" s="20" t="s">
        <v>206</v>
      </c>
      <c r="E722" s="20" t="s">
        <v>777</v>
      </c>
      <c r="F722" s="20" t="s">
        <v>122</v>
      </c>
      <c r="G722" s="20" t="s">
        <v>122</v>
      </c>
      <c r="H722" s="20" t="s">
        <v>48</v>
      </c>
      <c r="I722" s="20" t="s">
        <v>122</v>
      </c>
      <c r="J722" s="22" t="s">
        <v>3446</v>
      </c>
      <c r="K722" s="32" t="s">
        <v>3447</v>
      </c>
      <c r="L722" s="23" t="s">
        <v>3429</v>
      </c>
      <c r="M722" s="24" t="s">
        <v>7746</v>
      </c>
      <c r="N722" s="23">
        <v>18727000</v>
      </c>
      <c r="O722" s="25" t="s">
        <v>677</v>
      </c>
      <c r="P722" s="25" t="s">
        <v>53</v>
      </c>
      <c r="Q722" s="20" t="s">
        <v>3448</v>
      </c>
      <c r="R722" s="20">
        <v>53474574</v>
      </c>
      <c r="S722" s="25" t="s">
        <v>3449</v>
      </c>
      <c r="T722" s="26" t="s">
        <v>57</v>
      </c>
      <c r="U722" s="23">
        <v>860900062255104</v>
      </c>
      <c r="V722" s="27" t="s">
        <v>57</v>
      </c>
      <c r="W722" s="20" t="s">
        <v>58</v>
      </c>
      <c r="X722" s="20" t="s">
        <v>59</v>
      </c>
      <c r="Y722" s="20" t="s">
        <v>59</v>
      </c>
      <c r="Z722" s="20" t="s">
        <v>80</v>
      </c>
      <c r="AA722" s="20" t="s">
        <v>81</v>
      </c>
      <c r="AB722" s="20" t="s">
        <v>96</v>
      </c>
      <c r="AC722" s="28">
        <v>369.83</v>
      </c>
      <c r="AD722" s="28">
        <f>SUM(BASE[[#This Row],[MONTO DE RENTA ]]*1.16)</f>
        <v>429.00279999999998</v>
      </c>
      <c r="AE722" s="28" t="s">
        <v>63</v>
      </c>
      <c r="AF722" s="28">
        <v>369.82758620689657</v>
      </c>
      <c r="AG722" s="28">
        <v>429</v>
      </c>
      <c r="AI722" s="63">
        <v>44937</v>
      </c>
      <c r="AJ722" s="84">
        <v>46681</v>
      </c>
      <c r="AK722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722" s="30"/>
      <c r="AN722" s="20" t="s">
        <v>65</v>
      </c>
      <c r="AP722" s="20" t="s">
        <v>84</v>
      </c>
    </row>
    <row r="723" spans="1:43" ht="16">
      <c r="A723" s="20">
        <v>3314750591</v>
      </c>
      <c r="B723" s="21">
        <v>1027964</v>
      </c>
      <c r="C723" s="20" t="s">
        <v>639</v>
      </c>
      <c r="D723" s="20" t="s">
        <v>376</v>
      </c>
      <c r="E723" s="20" t="s">
        <v>340</v>
      </c>
      <c r="F723" s="20" t="s">
        <v>104</v>
      </c>
      <c r="G723" s="20" t="s">
        <v>104</v>
      </c>
      <c r="H723" s="20" t="s">
        <v>48</v>
      </c>
      <c r="I723" s="20" t="s">
        <v>104</v>
      </c>
      <c r="J723" s="22" t="s">
        <v>3450</v>
      </c>
      <c r="K723" s="22" t="s">
        <v>3450</v>
      </c>
      <c r="L723" s="25" t="s">
        <v>3429</v>
      </c>
      <c r="M723" s="24" t="s">
        <v>7746</v>
      </c>
      <c r="N723" s="23">
        <v>18727000</v>
      </c>
      <c r="O723" s="25" t="s">
        <v>677</v>
      </c>
      <c r="P723" s="25" t="s">
        <v>53</v>
      </c>
      <c r="Q723" s="20" t="s">
        <v>3451</v>
      </c>
      <c r="R723" s="20">
        <v>53345575</v>
      </c>
      <c r="S723" s="25" t="s">
        <v>3452</v>
      </c>
      <c r="T723" s="26" t="s">
        <v>57</v>
      </c>
      <c r="U723" s="23">
        <v>860478064794651</v>
      </c>
      <c r="V723" s="45" t="s">
        <v>110</v>
      </c>
      <c r="W723" s="20" t="s">
        <v>302</v>
      </c>
      <c r="X723" s="20" t="s">
        <v>303</v>
      </c>
      <c r="Y723" s="20" t="s">
        <v>303</v>
      </c>
      <c r="Z723" s="20" t="s">
        <v>80</v>
      </c>
      <c r="AA723" s="20" t="s">
        <v>81</v>
      </c>
      <c r="AB723" s="20" t="s">
        <v>82</v>
      </c>
      <c r="AC723" s="28">
        <v>559.48</v>
      </c>
      <c r="AD723" s="28">
        <f>SUM(BASE[[#This Row],[MONTO DE RENTA ]]*1.16)</f>
        <v>648.99680000000001</v>
      </c>
      <c r="AE723" s="28" t="s">
        <v>83</v>
      </c>
      <c r="AF723" s="28">
        <v>559.48275862068965</v>
      </c>
      <c r="AG723" s="28">
        <v>649</v>
      </c>
      <c r="AH723" s="22" t="s">
        <v>64</v>
      </c>
      <c r="AI723" s="63">
        <v>45703</v>
      </c>
      <c r="AJ723" s="63">
        <v>46433</v>
      </c>
      <c r="AK7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3" s="30"/>
      <c r="AN723" s="20" t="s">
        <v>65</v>
      </c>
      <c r="AP723" s="20" t="s">
        <v>84</v>
      </c>
    </row>
    <row r="724" spans="1:43" ht="16">
      <c r="A724" s="20">
        <v>3315005011</v>
      </c>
      <c r="B724" s="21">
        <v>999393</v>
      </c>
      <c r="C724" s="20" t="s">
        <v>3453</v>
      </c>
      <c r="D724" s="20" t="s">
        <v>427</v>
      </c>
      <c r="E724" s="20" t="s">
        <v>3454</v>
      </c>
      <c r="F724" s="20" t="s">
        <v>104</v>
      </c>
      <c r="G724" s="20" t="s">
        <v>104</v>
      </c>
      <c r="H724" s="20" t="s">
        <v>48</v>
      </c>
      <c r="I724" s="20" t="s">
        <v>104</v>
      </c>
      <c r="J724" s="22" t="s">
        <v>3455</v>
      </c>
      <c r="K724" s="22" t="s">
        <v>3455</v>
      </c>
      <c r="L724" s="25" t="s">
        <v>3429</v>
      </c>
      <c r="M724" s="24" t="s">
        <v>7746</v>
      </c>
      <c r="N724" s="23">
        <v>18727000</v>
      </c>
      <c r="O724" s="25" t="s">
        <v>677</v>
      </c>
      <c r="P724" s="25" t="s">
        <v>53</v>
      </c>
      <c r="Q724" s="20" t="s">
        <v>3456</v>
      </c>
      <c r="R724" s="20">
        <v>53345584</v>
      </c>
      <c r="S724" s="25" t="s">
        <v>3457</v>
      </c>
      <c r="T724" s="26" t="s">
        <v>57</v>
      </c>
      <c r="U724" s="23">
        <v>860478063821398</v>
      </c>
      <c r="V724" s="45" t="s">
        <v>110</v>
      </c>
      <c r="W724" s="20" t="s">
        <v>302</v>
      </c>
      <c r="X724" s="20" t="s">
        <v>303</v>
      </c>
      <c r="Y724" s="20" t="s">
        <v>303</v>
      </c>
      <c r="Z724" s="20" t="s">
        <v>80</v>
      </c>
      <c r="AA724" s="20" t="s">
        <v>81</v>
      </c>
      <c r="AB724" s="20" t="s">
        <v>82</v>
      </c>
      <c r="AC724" s="28">
        <v>559.48</v>
      </c>
      <c r="AD724" s="28">
        <f>SUM(BASE[[#This Row],[MONTO DE RENTA ]]*1.16)</f>
        <v>648.99680000000001</v>
      </c>
      <c r="AE724" s="28" t="s">
        <v>83</v>
      </c>
      <c r="AF724" s="28">
        <v>559.48275862068965</v>
      </c>
      <c r="AG724" s="28">
        <v>649</v>
      </c>
      <c r="AH724" s="22" t="s">
        <v>64</v>
      </c>
      <c r="AI724" s="63">
        <v>45703</v>
      </c>
      <c r="AJ724" s="63">
        <v>46433</v>
      </c>
      <c r="AK7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4" s="30"/>
      <c r="AN724" s="20" t="s">
        <v>65</v>
      </c>
      <c r="AP724" s="20" t="s">
        <v>84</v>
      </c>
    </row>
    <row r="725" spans="1:43" ht="16">
      <c r="A725" s="20">
        <v>3312743410</v>
      </c>
      <c r="B725" s="49">
        <v>270010</v>
      </c>
      <c r="C725" s="20" t="s">
        <v>2549</v>
      </c>
      <c r="D725" s="20" t="s">
        <v>3458</v>
      </c>
      <c r="E725" s="20" t="s">
        <v>143</v>
      </c>
      <c r="F725" s="20" t="s">
        <v>70</v>
      </c>
      <c r="G725" s="20" t="s">
        <v>70</v>
      </c>
      <c r="H725" s="20" t="s">
        <v>48</v>
      </c>
      <c r="I725" s="20" t="s">
        <v>70</v>
      </c>
      <c r="J725" s="22" t="s">
        <v>3459</v>
      </c>
      <c r="K725" s="22" t="s">
        <v>3459</v>
      </c>
      <c r="L725" s="23" t="s">
        <v>3429</v>
      </c>
      <c r="M725" s="24" t="s">
        <v>7746</v>
      </c>
      <c r="N725" s="23">
        <v>18727000</v>
      </c>
      <c r="O725" s="25" t="s">
        <v>677</v>
      </c>
      <c r="P725" s="25" t="s">
        <v>53</v>
      </c>
      <c r="Q725" s="20" t="s">
        <v>3460</v>
      </c>
      <c r="R725" s="20">
        <v>53162355</v>
      </c>
      <c r="S725" s="25" t="s">
        <v>55</v>
      </c>
      <c r="T725" s="26" t="s">
        <v>56</v>
      </c>
      <c r="U725" s="23">
        <v>357654179650703</v>
      </c>
      <c r="V725" s="27" t="s">
        <v>78</v>
      </c>
      <c r="W725" s="20" t="s">
        <v>95</v>
      </c>
      <c r="X725" s="20" t="s">
        <v>95</v>
      </c>
      <c r="Y725" s="20" t="s">
        <v>95</v>
      </c>
      <c r="Z725" s="20" t="s">
        <v>60</v>
      </c>
      <c r="AA725" s="20" t="s">
        <v>61</v>
      </c>
      <c r="AB725" s="20" t="s">
        <v>82</v>
      </c>
      <c r="AC725" s="28">
        <v>559.48</v>
      </c>
      <c r="AD725" s="28">
        <f>SUM(BASE[[#This Row],[MONTO DE RENTA ]]*1.16)</f>
        <v>648.99680000000001</v>
      </c>
      <c r="AE725" s="28" t="s">
        <v>83</v>
      </c>
      <c r="AF725" s="28">
        <v>559.48275862068965</v>
      </c>
      <c r="AG725" s="28">
        <v>649</v>
      </c>
      <c r="AI725" s="29">
        <v>44937</v>
      </c>
      <c r="AJ725" s="50">
        <v>46043</v>
      </c>
      <c r="AK7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25" s="30"/>
      <c r="AN725" s="20" t="s">
        <v>99</v>
      </c>
      <c r="AP725" s="20" t="s">
        <v>84</v>
      </c>
      <c r="AQ725" s="20" t="s">
        <v>100</v>
      </c>
    </row>
    <row r="726" spans="1:43" ht="16">
      <c r="A726" s="20">
        <v>8711528822</v>
      </c>
      <c r="B726" s="147">
        <v>1051416</v>
      </c>
      <c r="C726" s="20" t="s">
        <v>280</v>
      </c>
      <c r="D726" s="20" t="s">
        <v>1633</v>
      </c>
      <c r="E726" s="20" t="s">
        <v>546</v>
      </c>
      <c r="F726" s="20" t="s">
        <v>587</v>
      </c>
      <c r="G726" s="20" t="s">
        <v>47</v>
      </c>
      <c r="H726" s="20" t="s">
        <v>48</v>
      </c>
      <c r="I726" s="20" t="s">
        <v>587</v>
      </c>
      <c r="J726" s="22" t="s">
        <v>3461</v>
      </c>
      <c r="K726" s="22" t="s">
        <v>3461</v>
      </c>
      <c r="L726" s="23" t="s">
        <v>3408</v>
      </c>
      <c r="M726" s="24" t="s">
        <v>7744</v>
      </c>
      <c r="N726" s="23">
        <v>18728000</v>
      </c>
      <c r="O726" s="25" t="s">
        <v>362</v>
      </c>
      <c r="P726" s="25" t="s">
        <v>53</v>
      </c>
      <c r="Q726" s="20" t="s">
        <v>3462</v>
      </c>
      <c r="R726" s="20">
        <v>31859628</v>
      </c>
      <c r="S726" s="25" t="s">
        <v>3463</v>
      </c>
      <c r="T726" s="26" t="s">
        <v>57</v>
      </c>
      <c r="U726" s="23">
        <v>860900062257415</v>
      </c>
      <c r="V726" s="27" t="s">
        <v>57</v>
      </c>
      <c r="W726" s="20" t="s">
        <v>58</v>
      </c>
      <c r="X726" s="20" t="s">
        <v>59</v>
      </c>
      <c r="Y726" s="20" t="s">
        <v>59</v>
      </c>
      <c r="Z726" s="20" t="s">
        <v>80</v>
      </c>
      <c r="AA726" s="20" t="s">
        <v>81</v>
      </c>
      <c r="AB726" s="20" t="s">
        <v>96</v>
      </c>
      <c r="AC726" s="28">
        <v>369.83</v>
      </c>
      <c r="AD726" s="28">
        <f>SUM(BASE[[#This Row],[MONTO DE RENTA ]]*1.16)</f>
        <v>429.00279999999998</v>
      </c>
      <c r="AE726" s="28" t="s">
        <v>63</v>
      </c>
      <c r="AF726" s="28">
        <v>369.82758620689657</v>
      </c>
      <c r="AG726" s="28">
        <v>429</v>
      </c>
      <c r="AH726" s="22" t="s">
        <v>64</v>
      </c>
      <c r="AI726" s="63">
        <v>45713</v>
      </c>
      <c r="AJ726" s="63">
        <v>46433</v>
      </c>
      <c r="AK7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6" s="30"/>
      <c r="AN726" s="20" t="s">
        <v>65</v>
      </c>
      <c r="AP726" s="20" t="s">
        <v>84</v>
      </c>
    </row>
    <row r="727" spans="1:43" ht="16">
      <c r="A727" s="20">
        <v>8711815443</v>
      </c>
      <c r="B727" s="21">
        <v>280488</v>
      </c>
      <c r="C727" s="20" t="s">
        <v>3464</v>
      </c>
      <c r="D727" s="20" t="s">
        <v>172</v>
      </c>
      <c r="E727" s="20" t="s">
        <v>2538</v>
      </c>
      <c r="F727" s="20" t="s">
        <v>46</v>
      </c>
      <c r="G727" s="20" t="s">
        <v>248</v>
      </c>
      <c r="H727" s="20" t="s">
        <v>48</v>
      </c>
      <c r="I727" s="20" t="s">
        <v>46</v>
      </c>
      <c r="J727" s="22" t="s">
        <v>3465</v>
      </c>
      <c r="K727" s="22" t="s">
        <v>3465</v>
      </c>
      <c r="L727" s="23" t="s">
        <v>3408</v>
      </c>
      <c r="M727" s="24" t="s">
        <v>7744</v>
      </c>
      <c r="N727" s="23">
        <v>18728000</v>
      </c>
      <c r="O727" s="25" t="s">
        <v>362</v>
      </c>
      <c r="P727" s="25" t="s">
        <v>53</v>
      </c>
      <c r="Q727" s="20" t="s">
        <v>3466</v>
      </c>
      <c r="R727" s="20">
        <v>31849875</v>
      </c>
      <c r="S727" s="25" t="s">
        <v>3467</v>
      </c>
      <c r="T727" s="26" t="s">
        <v>57</v>
      </c>
      <c r="U727" s="23">
        <v>860900062257365</v>
      </c>
      <c r="V727" s="27" t="s">
        <v>57</v>
      </c>
      <c r="W727" s="20" t="s">
        <v>58</v>
      </c>
      <c r="X727" s="20" t="s">
        <v>59</v>
      </c>
      <c r="Y727" s="20" t="s">
        <v>59</v>
      </c>
      <c r="Z727" s="20" t="s">
        <v>80</v>
      </c>
      <c r="AA727" s="20" t="s">
        <v>81</v>
      </c>
      <c r="AB727" s="20" t="s">
        <v>96</v>
      </c>
      <c r="AC727" s="28">
        <v>369.83</v>
      </c>
      <c r="AD727" s="28">
        <f>SUM(BASE[[#This Row],[MONTO DE RENTA ]]*1.16)</f>
        <v>429.00279999999998</v>
      </c>
      <c r="AE727" s="28" t="s">
        <v>63</v>
      </c>
      <c r="AF727" s="28">
        <v>369.82758620689657</v>
      </c>
      <c r="AG727" s="28">
        <v>429</v>
      </c>
      <c r="AH727" s="22" t="s">
        <v>64</v>
      </c>
      <c r="AI727" s="63">
        <v>45713</v>
      </c>
      <c r="AJ727" s="63">
        <v>46433</v>
      </c>
      <c r="AK7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7" s="30"/>
      <c r="AN727" s="20" t="s">
        <v>65</v>
      </c>
      <c r="AP727" s="20" t="s">
        <v>84</v>
      </c>
    </row>
    <row r="728" spans="1:43" ht="16">
      <c r="A728" s="20">
        <v>8711366555</v>
      </c>
      <c r="B728" s="21">
        <v>280611</v>
      </c>
      <c r="C728" s="20" t="s">
        <v>3468</v>
      </c>
      <c r="D728" s="20" t="s">
        <v>3469</v>
      </c>
      <c r="E728" s="20" t="s">
        <v>3470</v>
      </c>
      <c r="F728" s="20" t="s">
        <v>122</v>
      </c>
      <c r="G728" s="20" t="s">
        <v>122</v>
      </c>
      <c r="H728" s="20" t="s">
        <v>48</v>
      </c>
      <c r="I728" s="20" t="s">
        <v>122</v>
      </c>
      <c r="J728" s="22" t="s">
        <v>3471</v>
      </c>
      <c r="K728" s="32" t="s">
        <v>3472</v>
      </c>
      <c r="L728" s="23" t="s">
        <v>3408</v>
      </c>
      <c r="M728" s="24" t="s">
        <v>7744</v>
      </c>
      <c r="N728" s="23">
        <v>18728000</v>
      </c>
      <c r="O728" s="25" t="s">
        <v>362</v>
      </c>
      <c r="P728" s="25" t="s">
        <v>53</v>
      </c>
      <c r="Q728" s="20" t="s">
        <v>3473</v>
      </c>
      <c r="R728" s="20">
        <v>31933945</v>
      </c>
      <c r="S728" s="25" t="s">
        <v>3474</v>
      </c>
      <c r="T728" s="26" t="s">
        <v>57</v>
      </c>
      <c r="U728" s="23">
        <v>860900062238894</v>
      </c>
      <c r="V728" s="27" t="s">
        <v>57</v>
      </c>
      <c r="W728" s="20" t="s">
        <v>58</v>
      </c>
      <c r="X728" s="20" t="s">
        <v>59</v>
      </c>
      <c r="Y728" s="20" t="s">
        <v>59</v>
      </c>
      <c r="Z728" s="20" t="s">
        <v>80</v>
      </c>
      <c r="AA728" s="20" t="s">
        <v>81</v>
      </c>
      <c r="AB728" s="20" t="s">
        <v>96</v>
      </c>
      <c r="AC728" s="28">
        <v>369.83</v>
      </c>
      <c r="AD728" s="28">
        <f>SUM(BASE[[#This Row],[MONTO DE RENTA ]]*1.16)</f>
        <v>429.00279999999998</v>
      </c>
      <c r="AE728" s="28" t="s">
        <v>63</v>
      </c>
      <c r="AF728" s="28">
        <v>369.82758620689657</v>
      </c>
      <c r="AG728" s="28">
        <v>429</v>
      </c>
      <c r="AI728" s="63">
        <v>44937</v>
      </c>
      <c r="AJ728" s="84">
        <v>46681</v>
      </c>
      <c r="AK728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728" s="30"/>
      <c r="AN728" s="20" t="s">
        <v>65</v>
      </c>
      <c r="AP728" s="20" t="s">
        <v>84</v>
      </c>
    </row>
    <row r="729" spans="1:43" ht="16">
      <c r="A729" s="20">
        <v>8711518292</v>
      </c>
      <c r="B729" s="21">
        <v>280618</v>
      </c>
      <c r="C729" s="20" t="s">
        <v>936</v>
      </c>
      <c r="D729" s="20" t="s">
        <v>86</v>
      </c>
      <c r="E729" s="20" t="s">
        <v>946</v>
      </c>
      <c r="F729" s="20" t="s">
        <v>257</v>
      </c>
      <c r="G729" s="20" t="s">
        <v>104</v>
      </c>
      <c r="H729" s="20" t="s">
        <v>48</v>
      </c>
      <c r="I729" s="20" t="s">
        <v>257</v>
      </c>
      <c r="J729" s="32" t="s">
        <v>3475</v>
      </c>
      <c r="K729" s="32" t="s">
        <v>3475</v>
      </c>
      <c r="L729" s="23" t="s">
        <v>3408</v>
      </c>
      <c r="M729" s="24" t="s">
        <v>7744</v>
      </c>
      <c r="N729" s="23">
        <v>18728000</v>
      </c>
      <c r="O729" s="25" t="s">
        <v>362</v>
      </c>
      <c r="P729" s="25" t="s">
        <v>53</v>
      </c>
      <c r="Q729" s="20" t="s">
        <v>3476</v>
      </c>
      <c r="R729" s="20">
        <v>31872992</v>
      </c>
      <c r="S729" s="25" t="s">
        <v>3477</v>
      </c>
      <c r="T729" s="26" t="s">
        <v>57</v>
      </c>
      <c r="U729" s="23">
        <v>860478064875765</v>
      </c>
      <c r="V729" s="45" t="s">
        <v>110</v>
      </c>
      <c r="W729" s="20" t="s">
        <v>302</v>
      </c>
      <c r="X729" s="20" t="s">
        <v>303</v>
      </c>
      <c r="Y729" s="20" t="s">
        <v>303</v>
      </c>
      <c r="Z729" s="20" t="s">
        <v>80</v>
      </c>
      <c r="AA729" s="20" t="s">
        <v>81</v>
      </c>
      <c r="AB729" s="20" t="s">
        <v>82</v>
      </c>
      <c r="AC729" s="28">
        <v>559.48</v>
      </c>
      <c r="AD729" s="28">
        <f>SUM(BASE[[#This Row],[MONTO DE RENTA ]]*1.16)</f>
        <v>648.99680000000001</v>
      </c>
      <c r="AE729" s="28" t="s">
        <v>83</v>
      </c>
      <c r="AF729" s="28">
        <v>559.48275862068965</v>
      </c>
      <c r="AG729" s="28">
        <v>649</v>
      </c>
      <c r="AH729" s="22" t="s">
        <v>64</v>
      </c>
      <c r="AI729" s="63">
        <v>45703</v>
      </c>
      <c r="AJ729" s="63">
        <v>46433</v>
      </c>
      <c r="AK7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29" s="30"/>
      <c r="AN729" s="20" t="s">
        <v>65</v>
      </c>
      <c r="AP729" s="20" t="s">
        <v>84</v>
      </c>
    </row>
    <row r="730" spans="1:43" ht="16">
      <c r="A730" s="20">
        <v>8711510057</v>
      </c>
      <c r="B730" s="21">
        <v>280555</v>
      </c>
      <c r="C730" s="20" t="s">
        <v>3478</v>
      </c>
      <c r="D730" s="20" t="s">
        <v>1186</v>
      </c>
      <c r="E730" s="20" t="s">
        <v>845</v>
      </c>
      <c r="F730" s="20" t="s">
        <v>104</v>
      </c>
      <c r="G730" s="20" t="s">
        <v>104</v>
      </c>
      <c r="H730" s="20" t="s">
        <v>48</v>
      </c>
      <c r="I730" s="20" t="s">
        <v>104</v>
      </c>
      <c r="J730" s="32" t="s">
        <v>3479</v>
      </c>
      <c r="K730" s="32" t="s">
        <v>3479</v>
      </c>
      <c r="L730" s="23" t="s">
        <v>3408</v>
      </c>
      <c r="M730" s="24" t="s">
        <v>7744</v>
      </c>
      <c r="N730" s="23">
        <v>18728000</v>
      </c>
      <c r="O730" s="25" t="s">
        <v>362</v>
      </c>
      <c r="P730" s="25" t="s">
        <v>53</v>
      </c>
      <c r="Q730" s="20" t="s">
        <v>3480</v>
      </c>
      <c r="R730" s="20">
        <v>31872957</v>
      </c>
      <c r="S730" s="25" t="s">
        <v>3123</v>
      </c>
      <c r="T730" s="26" t="s">
        <v>57</v>
      </c>
      <c r="U730" s="23">
        <v>860478064949693</v>
      </c>
      <c r="V730" s="45" t="s">
        <v>110</v>
      </c>
      <c r="W730" s="20" t="s">
        <v>302</v>
      </c>
      <c r="X730" s="20" t="s">
        <v>303</v>
      </c>
      <c r="Y730" s="20" t="s">
        <v>303</v>
      </c>
      <c r="Z730" s="20" t="s">
        <v>80</v>
      </c>
      <c r="AA730" s="20" t="s">
        <v>81</v>
      </c>
      <c r="AB730" s="20" t="s">
        <v>96</v>
      </c>
      <c r="AC730" s="28">
        <v>369.83</v>
      </c>
      <c r="AD730" s="28">
        <f>SUM(BASE[[#This Row],[MONTO DE RENTA ]]*1.16)</f>
        <v>429.00279999999998</v>
      </c>
      <c r="AE730" s="28" t="s">
        <v>97</v>
      </c>
      <c r="AF730" s="28">
        <v>473.27586206896552</v>
      </c>
      <c r="AG730" s="28">
        <v>549</v>
      </c>
      <c r="AH730" s="22" t="s">
        <v>64</v>
      </c>
      <c r="AI730" s="63">
        <v>45713</v>
      </c>
      <c r="AJ730" s="63">
        <v>46433</v>
      </c>
      <c r="AK7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0" s="30"/>
      <c r="AN730" s="20" t="s">
        <v>65</v>
      </c>
      <c r="AP730" s="20" t="s">
        <v>66</v>
      </c>
    </row>
    <row r="731" spans="1:43" ht="16">
      <c r="A731" s="20">
        <v>8711548064</v>
      </c>
      <c r="B731" s="21">
        <v>1074048</v>
      </c>
      <c r="C731" s="20" t="s">
        <v>3481</v>
      </c>
      <c r="D731" s="20" t="s">
        <v>3482</v>
      </c>
      <c r="E731" s="20" t="s">
        <v>741</v>
      </c>
      <c r="F731" s="20" t="s">
        <v>104</v>
      </c>
      <c r="G731" s="20" t="s">
        <v>104</v>
      </c>
      <c r="H731" s="20" t="s">
        <v>48</v>
      </c>
      <c r="I731" s="20" t="s">
        <v>104</v>
      </c>
      <c r="J731" s="54" t="s">
        <v>3483</v>
      </c>
      <c r="K731" s="54" t="s">
        <v>3483</v>
      </c>
      <c r="L731" s="23" t="s">
        <v>3408</v>
      </c>
      <c r="M731" s="24" t="s">
        <v>7744</v>
      </c>
      <c r="N731" s="23">
        <v>18728000</v>
      </c>
      <c r="O731" s="25" t="s">
        <v>362</v>
      </c>
      <c r="P731" s="25" t="s">
        <v>53</v>
      </c>
      <c r="Q731" s="20" t="s">
        <v>3484</v>
      </c>
      <c r="R731" s="20">
        <v>31872995</v>
      </c>
      <c r="S731" s="25" t="s">
        <v>3485</v>
      </c>
      <c r="T731" s="44" t="s">
        <v>57</v>
      </c>
      <c r="U731" s="23">
        <v>860478064949693</v>
      </c>
      <c r="V731" s="45" t="s">
        <v>110</v>
      </c>
      <c r="W731" s="20" t="s">
        <v>302</v>
      </c>
      <c r="X731" s="20" t="s">
        <v>303</v>
      </c>
      <c r="Y731" s="20" t="s">
        <v>303</v>
      </c>
      <c r="Z731" s="20" t="s">
        <v>80</v>
      </c>
      <c r="AA731" s="20" t="s">
        <v>81</v>
      </c>
      <c r="AB731" s="20" t="s">
        <v>82</v>
      </c>
      <c r="AC731" s="28">
        <v>559.48</v>
      </c>
      <c r="AD731" s="28">
        <f>SUM(BASE[[#This Row],[MONTO DE RENTA ]]*1.16)</f>
        <v>648.99680000000001</v>
      </c>
      <c r="AE731" s="28" t="s">
        <v>83</v>
      </c>
      <c r="AF731" s="28">
        <v>559.48275862068965</v>
      </c>
      <c r="AG731" s="28">
        <v>649</v>
      </c>
      <c r="AH731" s="22" t="s">
        <v>64</v>
      </c>
      <c r="AI731" s="63">
        <v>45713</v>
      </c>
      <c r="AJ731" s="63">
        <v>46433</v>
      </c>
      <c r="AK7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1" s="30" t="s">
        <v>3486</v>
      </c>
      <c r="AN731" s="20" t="s">
        <v>65</v>
      </c>
      <c r="AP731" s="20" t="s">
        <v>84</v>
      </c>
    </row>
    <row r="732" spans="1:43" ht="16">
      <c r="A732" s="20">
        <v>8331727003</v>
      </c>
      <c r="B732" s="59">
        <v>300523</v>
      </c>
      <c r="C732" s="20" t="s">
        <v>3487</v>
      </c>
      <c r="D732" s="20" t="s">
        <v>3488</v>
      </c>
      <c r="E732" s="20" t="s">
        <v>3489</v>
      </c>
      <c r="F732" s="20" t="s">
        <v>104</v>
      </c>
      <c r="G732" s="20" t="s">
        <v>104</v>
      </c>
      <c r="H732" s="20" t="s">
        <v>48</v>
      </c>
      <c r="I732" s="20" t="s">
        <v>104</v>
      </c>
      <c r="J732" s="32" t="s">
        <v>3490</v>
      </c>
      <c r="K732" s="32" t="s">
        <v>3490</v>
      </c>
      <c r="L732" s="23" t="s">
        <v>3491</v>
      </c>
      <c r="M732" s="24" t="s">
        <v>7739</v>
      </c>
      <c r="N732" s="23">
        <v>18730000</v>
      </c>
      <c r="O732" s="25" t="s">
        <v>74</v>
      </c>
      <c r="P732" s="25" t="s">
        <v>53</v>
      </c>
      <c r="Q732" s="20" t="s">
        <v>3492</v>
      </c>
      <c r="R732" s="20">
        <v>43090133</v>
      </c>
      <c r="S732" s="25" t="s">
        <v>3493</v>
      </c>
      <c r="T732" s="26" t="s">
        <v>57</v>
      </c>
      <c r="U732" s="23">
        <v>860478064984682</v>
      </c>
      <c r="V732" s="45" t="s">
        <v>110</v>
      </c>
      <c r="W732" s="20" t="s">
        <v>302</v>
      </c>
      <c r="X732" s="20" t="s">
        <v>303</v>
      </c>
      <c r="Y732" s="20" t="s">
        <v>303</v>
      </c>
      <c r="Z732" s="20" t="s">
        <v>80</v>
      </c>
      <c r="AA732" s="20" t="s">
        <v>81</v>
      </c>
      <c r="AB732" s="20" t="s">
        <v>82</v>
      </c>
      <c r="AC732" s="28">
        <v>559.48</v>
      </c>
      <c r="AD732" s="28">
        <f>SUM(BASE[[#This Row],[MONTO DE RENTA ]]*1.16)</f>
        <v>648.99680000000001</v>
      </c>
      <c r="AE732" s="28" t="s">
        <v>83</v>
      </c>
      <c r="AF732" s="28">
        <v>559.48275862068965</v>
      </c>
      <c r="AG732" s="28">
        <v>649</v>
      </c>
      <c r="AH732" s="22" t="s">
        <v>64</v>
      </c>
      <c r="AI732" s="63">
        <v>45703</v>
      </c>
      <c r="AJ732" s="63">
        <v>46433</v>
      </c>
      <c r="AK7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2" s="30"/>
      <c r="AN732" s="20" t="s">
        <v>65</v>
      </c>
      <c r="AP732" s="20" t="s">
        <v>84</v>
      </c>
    </row>
    <row r="733" spans="1:43" ht="16">
      <c r="A733" s="20">
        <v>8711518341</v>
      </c>
      <c r="B733" s="21">
        <v>280366</v>
      </c>
      <c r="C733" s="20" t="s">
        <v>3494</v>
      </c>
      <c r="D733" s="20" t="s">
        <v>801</v>
      </c>
      <c r="E733" s="20" t="s">
        <v>3495</v>
      </c>
      <c r="F733" s="20" t="s">
        <v>104</v>
      </c>
      <c r="G733" s="20" t="s">
        <v>104</v>
      </c>
      <c r="H733" s="20" t="s">
        <v>48</v>
      </c>
      <c r="I733" s="20" t="s">
        <v>104</v>
      </c>
      <c r="J733" s="22" t="s">
        <v>3496</v>
      </c>
      <c r="K733" s="32" t="s">
        <v>3479</v>
      </c>
      <c r="L733" s="23" t="s">
        <v>3408</v>
      </c>
      <c r="M733" s="24" t="s">
        <v>7744</v>
      </c>
      <c r="N733" s="23">
        <v>18728000</v>
      </c>
      <c r="O733" s="25" t="s">
        <v>362</v>
      </c>
      <c r="P733" s="25" t="s">
        <v>53</v>
      </c>
      <c r="Q733" s="20" t="s">
        <v>3497</v>
      </c>
      <c r="R733" s="20">
        <v>31872993</v>
      </c>
      <c r="S733" s="25" t="s">
        <v>3498</v>
      </c>
      <c r="T733" s="26" t="s">
        <v>57</v>
      </c>
      <c r="U733" s="23">
        <v>860478064949693</v>
      </c>
      <c r="V733" s="45" t="s">
        <v>110</v>
      </c>
      <c r="W733" s="20" t="s">
        <v>302</v>
      </c>
      <c r="X733" s="20" t="s">
        <v>303</v>
      </c>
      <c r="Y733" s="20" t="s">
        <v>303</v>
      </c>
      <c r="Z733" s="20" t="s">
        <v>80</v>
      </c>
      <c r="AA733" s="20" t="s">
        <v>81</v>
      </c>
      <c r="AB733" s="20" t="s">
        <v>82</v>
      </c>
      <c r="AC733" s="28">
        <v>559.48</v>
      </c>
      <c r="AD733" s="28">
        <f>SUM(BASE[[#This Row],[MONTO DE RENTA ]]*1.16)</f>
        <v>648.99680000000001</v>
      </c>
      <c r="AE733" s="28" t="s">
        <v>83</v>
      </c>
      <c r="AF733" s="28">
        <v>559.48275862068965</v>
      </c>
      <c r="AG733" s="28">
        <v>649</v>
      </c>
      <c r="AH733" s="22" t="s">
        <v>64</v>
      </c>
      <c r="AI733" s="29">
        <v>45713</v>
      </c>
      <c r="AJ733" s="29">
        <v>46433</v>
      </c>
      <c r="AK7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3" s="30"/>
      <c r="AN733" s="20" t="s">
        <v>65</v>
      </c>
      <c r="AP733" s="20" t="s">
        <v>84</v>
      </c>
    </row>
    <row r="734" spans="1:43" ht="16">
      <c r="A734" s="20">
        <v>8712833281</v>
      </c>
      <c r="B734" s="212">
        <v>1081611</v>
      </c>
      <c r="C734" s="20" t="s">
        <v>3499</v>
      </c>
      <c r="D734" s="20" t="s">
        <v>1524</v>
      </c>
      <c r="E734" s="20" t="s">
        <v>358</v>
      </c>
      <c r="F734" s="20" t="s">
        <v>70</v>
      </c>
      <c r="G734" s="20" t="s">
        <v>70</v>
      </c>
      <c r="H734" s="20" t="s">
        <v>48</v>
      </c>
      <c r="I734" s="20" t="s">
        <v>70</v>
      </c>
      <c r="J734" s="32" t="s">
        <v>3500</v>
      </c>
      <c r="K734" s="32" t="s">
        <v>3500</v>
      </c>
      <c r="L734" s="23" t="s">
        <v>3408</v>
      </c>
      <c r="M734" s="24" t="s">
        <v>7744</v>
      </c>
      <c r="N734" s="23">
        <v>18728000</v>
      </c>
      <c r="O734" s="25" t="s">
        <v>362</v>
      </c>
      <c r="P734" s="25" t="s">
        <v>53</v>
      </c>
      <c r="Q734" s="20" t="s">
        <v>3501</v>
      </c>
      <c r="R734" s="20">
        <v>31763947</v>
      </c>
      <c r="S734" s="25" t="s">
        <v>55</v>
      </c>
      <c r="T734" s="26" t="s">
        <v>56</v>
      </c>
      <c r="U734" s="23">
        <v>357654179064723</v>
      </c>
      <c r="V734" s="27" t="s">
        <v>78</v>
      </c>
      <c r="W734" s="20" t="s">
        <v>95</v>
      </c>
      <c r="X734" s="20" t="s">
        <v>95</v>
      </c>
      <c r="Y734" s="20" t="s">
        <v>95</v>
      </c>
      <c r="Z734" s="20" t="s">
        <v>60</v>
      </c>
      <c r="AA734" s="20" t="s">
        <v>61</v>
      </c>
      <c r="AB734" s="20" t="s">
        <v>82</v>
      </c>
      <c r="AC734" s="28">
        <v>559.48</v>
      </c>
      <c r="AD734" s="28">
        <f>SUM(BASE[[#This Row],[MONTO DE RENTA ]]*1.16)</f>
        <v>648.99680000000001</v>
      </c>
      <c r="AE734" s="28" t="s">
        <v>83</v>
      </c>
      <c r="AF734" s="28">
        <v>559.48275862068965</v>
      </c>
      <c r="AG734" s="28">
        <v>649</v>
      </c>
      <c r="AI734" s="29">
        <v>44937</v>
      </c>
      <c r="AJ734" s="50">
        <v>46043</v>
      </c>
      <c r="AK7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34" s="30"/>
      <c r="AN734" s="20" t="s">
        <v>99</v>
      </c>
      <c r="AP734" s="20" t="s">
        <v>84</v>
      </c>
      <c r="AQ734" s="20" t="s">
        <v>100</v>
      </c>
    </row>
    <row r="735" spans="1:43" ht="16">
      <c r="A735" s="20">
        <v>8441466070</v>
      </c>
      <c r="B735" s="59">
        <v>290326</v>
      </c>
      <c r="C735" s="20" t="s">
        <v>3502</v>
      </c>
      <c r="D735" s="20" t="s">
        <v>68</v>
      </c>
      <c r="E735" s="20" t="s">
        <v>3503</v>
      </c>
      <c r="F735" s="20" t="s">
        <v>509</v>
      </c>
      <c r="G735" s="20" t="s">
        <v>47</v>
      </c>
      <c r="H735" s="20" t="s">
        <v>48</v>
      </c>
      <c r="I735" s="20" t="s">
        <v>509</v>
      </c>
      <c r="J735" s="22" t="s">
        <v>3504</v>
      </c>
      <c r="K735" s="22" t="s">
        <v>3504</v>
      </c>
      <c r="L735" s="23" t="s">
        <v>3505</v>
      </c>
      <c r="M735" s="24" t="s">
        <v>7739</v>
      </c>
      <c r="N735" s="23">
        <v>18861000</v>
      </c>
      <c r="O735" s="25" t="s">
        <v>74</v>
      </c>
      <c r="P735" s="25" t="s">
        <v>53</v>
      </c>
      <c r="Q735" s="20" t="s">
        <v>3506</v>
      </c>
      <c r="R735" s="20">
        <v>43141296</v>
      </c>
      <c r="S735" s="25" t="s">
        <v>3507</v>
      </c>
      <c r="T735" s="26" t="s">
        <v>57</v>
      </c>
      <c r="U735" s="23">
        <v>860900062338660</v>
      </c>
      <c r="V735" s="27" t="s">
        <v>57</v>
      </c>
      <c r="W735" s="20" t="s">
        <v>58</v>
      </c>
      <c r="X735" s="20" t="s">
        <v>59</v>
      </c>
      <c r="Y735" s="20" t="s">
        <v>59</v>
      </c>
      <c r="Z735" s="20" t="s">
        <v>167</v>
      </c>
      <c r="AA735" s="20" t="s">
        <v>168</v>
      </c>
      <c r="AB735" s="20" t="s">
        <v>96</v>
      </c>
      <c r="AC735" s="28">
        <v>369.83</v>
      </c>
      <c r="AD735" s="28">
        <f>SUM(BASE[[#This Row],[MONTO DE RENTA ]]*1.16)</f>
        <v>429.00279999999998</v>
      </c>
      <c r="AE735" s="28" t="s">
        <v>63</v>
      </c>
      <c r="AF735" s="28">
        <v>369.82758620689657</v>
      </c>
      <c r="AG735" s="28">
        <v>429</v>
      </c>
      <c r="AH735" s="22" t="s">
        <v>64</v>
      </c>
      <c r="AI735" s="63">
        <v>45713</v>
      </c>
      <c r="AJ735" s="63">
        <v>46433</v>
      </c>
      <c r="AK7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5" s="30"/>
      <c r="AN735" s="20" t="s">
        <v>65</v>
      </c>
      <c r="AP735" s="20" t="s">
        <v>84</v>
      </c>
    </row>
    <row r="736" spans="1:43" ht="16">
      <c r="A736" s="20">
        <v>8442398836</v>
      </c>
      <c r="B736" s="21">
        <v>997484</v>
      </c>
      <c r="C736" s="20" t="s">
        <v>3508</v>
      </c>
      <c r="D736" s="20" t="s">
        <v>45</v>
      </c>
      <c r="E736" s="20" t="s">
        <v>3509</v>
      </c>
      <c r="F736" s="20" t="s">
        <v>248</v>
      </c>
      <c r="G736" s="20" t="s">
        <v>248</v>
      </c>
      <c r="H736" s="20" t="s">
        <v>48</v>
      </c>
      <c r="I736" s="20" t="s">
        <v>248</v>
      </c>
      <c r="J736" s="22" t="s">
        <v>3510</v>
      </c>
      <c r="K736" s="22" t="s">
        <v>3510</v>
      </c>
      <c r="L736" s="23" t="s">
        <v>3505</v>
      </c>
      <c r="M736" s="24" t="s">
        <v>7739</v>
      </c>
      <c r="N736" s="23">
        <v>18729000</v>
      </c>
      <c r="O736" s="25" t="s">
        <v>74</v>
      </c>
      <c r="P736" s="25" t="s">
        <v>53</v>
      </c>
      <c r="Q736" s="20" t="s">
        <v>3511</v>
      </c>
      <c r="R736" s="20">
        <v>43121157</v>
      </c>
      <c r="S736" s="25" t="s">
        <v>3512</v>
      </c>
      <c r="T736" s="26" t="s">
        <v>57</v>
      </c>
      <c r="U736" s="23">
        <v>860900062330766</v>
      </c>
      <c r="V736" s="27" t="s">
        <v>57</v>
      </c>
      <c r="W736" s="20" t="s">
        <v>58</v>
      </c>
      <c r="X736" s="20" t="s">
        <v>59</v>
      </c>
      <c r="Y736" s="20" t="s">
        <v>59</v>
      </c>
      <c r="Z736" s="20" t="s">
        <v>167</v>
      </c>
      <c r="AA736" s="20" t="s">
        <v>168</v>
      </c>
      <c r="AB736" s="20" t="s">
        <v>96</v>
      </c>
      <c r="AC736" s="28">
        <v>369.83</v>
      </c>
      <c r="AD736" s="28">
        <f>SUM(BASE[[#This Row],[MONTO DE RENTA ]]*1.16)</f>
        <v>429.00279999999998</v>
      </c>
      <c r="AE736" s="28" t="s">
        <v>63</v>
      </c>
      <c r="AF736" s="28">
        <v>369.82758620689657</v>
      </c>
      <c r="AG736" s="28">
        <v>429</v>
      </c>
      <c r="AH736" s="22" t="s">
        <v>64</v>
      </c>
      <c r="AI736" s="63">
        <v>45713</v>
      </c>
      <c r="AJ736" s="63">
        <v>46433</v>
      </c>
      <c r="AK7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6" s="30"/>
      <c r="AN736" s="20" t="s">
        <v>65</v>
      </c>
      <c r="AP736" s="20" t="s">
        <v>84</v>
      </c>
    </row>
    <row r="737" spans="1:43" ht="16">
      <c r="A737" s="20">
        <v>8442068177</v>
      </c>
      <c r="B737" s="59">
        <v>640048</v>
      </c>
      <c r="C737" s="20" t="s">
        <v>3513</v>
      </c>
      <c r="D737" s="20" t="s">
        <v>749</v>
      </c>
      <c r="E737" s="20" t="s">
        <v>462</v>
      </c>
      <c r="F737" s="20" t="s">
        <v>257</v>
      </c>
      <c r="G737" s="20" t="s">
        <v>257</v>
      </c>
      <c r="H737" s="20" t="s">
        <v>48</v>
      </c>
      <c r="I737" s="20" t="s">
        <v>257</v>
      </c>
      <c r="J737" s="22" t="s">
        <v>3514</v>
      </c>
      <c r="K737" s="22" t="s">
        <v>3514</v>
      </c>
      <c r="L737" s="23" t="s">
        <v>3505</v>
      </c>
      <c r="M737" s="24" t="s">
        <v>7739</v>
      </c>
      <c r="N737" s="23">
        <v>18729000</v>
      </c>
      <c r="O737" s="25" t="s">
        <v>74</v>
      </c>
      <c r="P737" s="25" t="s">
        <v>53</v>
      </c>
      <c r="Q737" s="20" t="s">
        <v>3515</v>
      </c>
      <c r="R737" s="20">
        <v>43090224</v>
      </c>
      <c r="S737" s="25" t="s">
        <v>3516</v>
      </c>
      <c r="T737" s="26" t="s">
        <v>57</v>
      </c>
      <c r="U737" s="23">
        <v>860478063777392</v>
      </c>
      <c r="V737" s="45" t="s">
        <v>110</v>
      </c>
      <c r="W737" s="20" t="s">
        <v>302</v>
      </c>
      <c r="X737" s="20" t="s">
        <v>303</v>
      </c>
      <c r="Y737" s="20" t="s">
        <v>303</v>
      </c>
      <c r="Z737" s="20" t="s">
        <v>80</v>
      </c>
      <c r="AA737" s="20" t="s">
        <v>81</v>
      </c>
      <c r="AB737" s="20" t="s">
        <v>82</v>
      </c>
      <c r="AC737" s="28">
        <v>559.48</v>
      </c>
      <c r="AD737" s="28">
        <f>SUM(BASE[[#This Row],[MONTO DE RENTA ]]*1.16)</f>
        <v>648.99680000000001</v>
      </c>
      <c r="AE737" s="28" t="s">
        <v>83</v>
      </c>
      <c r="AF737" s="28">
        <v>559.48275862068965</v>
      </c>
      <c r="AG737" s="28">
        <v>649</v>
      </c>
      <c r="AH737" s="22" t="s">
        <v>64</v>
      </c>
      <c r="AI737" s="63">
        <v>45713</v>
      </c>
      <c r="AJ737" s="63">
        <v>46433</v>
      </c>
      <c r="AK7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7" s="30"/>
      <c r="AN737" s="20" t="s">
        <v>65</v>
      </c>
      <c r="AP737" s="20" t="s">
        <v>84</v>
      </c>
    </row>
    <row r="738" spans="1:43" ht="16">
      <c r="A738" s="20">
        <v>8442399350</v>
      </c>
      <c r="B738" s="21">
        <v>1020706</v>
      </c>
      <c r="C738" s="20" t="s">
        <v>3468</v>
      </c>
      <c r="D738" s="20" t="s">
        <v>206</v>
      </c>
      <c r="E738" s="20" t="s">
        <v>1627</v>
      </c>
      <c r="F738" s="20" t="s">
        <v>104</v>
      </c>
      <c r="G738" s="20" t="s">
        <v>104</v>
      </c>
      <c r="H738" s="20" t="s">
        <v>48</v>
      </c>
      <c r="I738" s="20" t="s">
        <v>104</v>
      </c>
      <c r="J738" s="32" t="s">
        <v>3517</v>
      </c>
      <c r="K738" s="32" t="s">
        <v>3517</v>
      </c>
      <c r="L738" s="23" t="s">
        <v>3505</v>
      </c>
      <c r="M738" s="24" t="s">
        <v>7739</v>
      </c>
      <c r="N738" s="23">
        <v>18729000</v>
      </c>
      <c r="O738" s="25" t="s">
        <v>74</v>
      </c>
      <c r="P738" s="25" t="s">
        <v>53</v>
      </c>
      <c r="Q738" s="20" t="s">
        <v>3518</v>
      </c>
      <c r="R738" s="20">
        <v>43090227</v>
      </c>
      <c r="S738" s="25" t="s">
        <v>3519</v>
      </c>
      <c r="T738" s="26" t="s">
        <v>57</v>
      </c>
      <c r="U738" s="23">
        <v>860796063912911</v>
      </c>
      <c r="V738" s="45" t="s">
        <v>110</v>
      </c>
      <c r="W738" s="20" t="s">
        <v>353</v>
      </c>
      <c r="X738" s="20" t="s">
        <v>354</v>
      </c>
      <c r="Y738" s="20" t="s">
        <v>354</v>
      </c>
      <c r="Z738" s="20" t="s">
        <v>80</v>
      </c>
      <c r="AA738" s="20" t="s">
        <v>81</v>
      </c>
      <c r="AB738" s="20" t="s">
        <v>82</v>
      </c>
      <c r="AC738" s="28">
        <v>559.48</v>
      </c>
      <c r="AD738" s="28">
        <f>SUM(BASE[[#This Row],[MONTO DE RENTA ]]*1.16)</f>
        <v>648.99680000000001</v>
      </c>
      <c r="AE738" s="28" t="s">
        <v>83</v>
      </c>
      <c r="AF738" s="28">
        <v>559.48275862068965</v>
      </c>
      <c r="AG738" s="28">
        <v>649</v>
      </c>
      <c r="AI738" s="63">
        <v>44937</v>
      </c>
      <c r="AJ738" s="84">
        <v>46054</v>
      </c>
      <c r="AK73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38" s="30"/>
      <c r="AN738" s="20" t="s">
        <v>99</v>
      </c>
      <c r="AP738" s="20" t="s">
        <v>84</v>
      </c>
      <c r="AQ738" s="20" t="s">
        <v>100</v>
      </c>
    </row>
    <row r="739" spans="1:43" ht="16">
      <c r="A739" s="20">
        <v>8442399352</v>
      </c>
      <c r="B739" s="21">
        <v>1046800</v>
      </c>
      <c r="C739" s="20" t="s">
        <v>3520</v>
      </c>
      <c r="D739" s="20" t="s">
        <v>187</v>
      </c>
      <c r="E739" s="20" t="s">
        <v>3521</v>
      </c>
      <c r="F739" s="20" t="s">
        <v>104</v>
      </c>
      <c r="G739" s="20" t="s">
        <v>104</v>
      </c>
      <c r="H739" s="20" t="s">
        <v>48</v>
      </c>
      <c r="I739" s="20" t="s">
        <v>104</v>
      </c>
      <c r="J739" s="32" t="s">
        <v>3522</v>
      </c>
      <c r="K739" s="32" t="s">
        <v>3522</v>
      </c>
      <c r="L739" s="23" t="s">
        <v>3505</v>
      </c>
      <c r="M739" s="24" t="s">
        <v>7739</v>
      </c>
      <c r="N739" s="23">
        <v>18729000</v>
      </c>
      <c r="O739" s="25" t="s">
        <v>74</v>
      </c>
      <c r="P739" s="25" t="s">
        <v>53</v>
      </c>
      <c r="Q739" s="20" t="s">
        <v>3523</v>
      </c>
      <c r="R739" s="20">
        <v>43090229</v>
      </c>
      <c r="S739" s="25" t="s">
        <v>3524</v>
      </c>
      <c r="T739" s="26" t="s">
        <v>57</v>
      </c>
      <c r="U739" s="23">
        <v>860478062096661</v>
      </c>
      <c r="V739" s="45" t="s">
        <v>110</v>
      </c>
      <c r="W739" s="20" t="s">
        <v>302</v>
      </c>
      <c r="X739" s="20" t="s">
        <v>303</v>
      </c>
      <c r="Y739" s="20" t="s">
        <v>303</v>
      </c>
      <c r="Z739" s="20" t="s">
        <v>80</v>
      </c>
      <c r="AA739" s="20" t="s">
        <v>81</v>
      </c>
      <c r="AB739" s="20" t="s">
        <v>82</v>
      </c>
      <c r="AC739" s="28">
        <v>559.48</v>
      </c>
      <c r="AD739" s="28">
        <f>SUM(BASE[[#This Row],[MONTO DE RENTA ]]*1.16)</f>
        <v>648.99680000000001</v>
      </c>
      <c r="AE739" s="28" t="s">
        <v>83</v>
      </c>
      <c r="AF739" s="28">
        <v>559.48275862068965</v>
      </c>
      <c r="AG739" s="28">
        <v>649</v>
      </c>
      <c r="AH739" s="22" t="s">
        <v>64</v>
      </c>
      <c r="AI739" s="63">
        <v>45713</v>
      </c>
      <c r="AJ739" s="63">
        <v>46433</v>
      </c>
      <c r="AK7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39" s="30"/>
      <c r="AN739" s="20" t="s">
        <v>65</v>
      </c>
      <c r="AP739" s="20" t="s">
        <v>84</v>
      </c>
    </row>
    <row r="740" spans="1:43" ht="16">
      <c r="A740" s="20">
        <v>8443004886</v>
      </c>
      <c r="B740" s="49">
        <v>1021319</v>
      </c>
      <c r="C740" s="20" t="s">
        <v>195</v>
      </c>
      <c r="D740" s="20" t="s">
        <v>187</v>
      </c>
      <c r="E740" s="20" t="s">
        <v>2641</v>
      </c>
      <c r="F740" s="20" t="s">
        <v>122</v>
      </c>
      <c r="G740" s="20" t="s">
        <v>122</v>
      </c>
      <c r="H740" s="20" t="s">
        <v>48</v>
      </c>
      <c r="I740" s="20" t="s">
        <v>122</v>
      </c>
      <c r="J740" s="22" t="s">
        <v>3525</v>
      </c>
      <c r="K740" s="22" t="s">
        <v>3525</v>
      </c>
      <c r="L740" s="23" t="s">
        <v>3505</v>
      </c>
      <c r="M740" s="24" t="s">
        <v>7739</v>
      </c>
      <c r="N740" s="23">
        <v>18729000</v>
      </c>
      <c r="O740" s="25" t="s">
        <v>74</v>
      </c>
      <c r="P740" s="25" t="s">
        <v>53</v>
      </c>
      <c r="Q740" s="20" t="s">
        <v>3526</v>
      </c>
      <c r="R740" s="20">
        <v>43591376</v>
      </c>
      <c r="S740" s="25" t="s">
        <v>55</v>
      </c>
      <c r="T740" s="26" t="s">
        <v>56</v>
      </c>
      <c r="U740" s="23">
        <v>865356065671505</v>
      </c>
      <c r="V740" s="27" t="s">
        <v>183</v>
      </c>
      <c r="W740" s="20" t="s">
        <v>129</v>
      </c>
      <c r="X740" s="20" t="s">
        <v>130</v>
      </c>
      <c r="Y740" s="20" t="s">
        <v>130</v>
      </c>
      <c r="Z740" s="20" t="s">
        <v>60</v>
      </c>
      <c r="AA740" s="20" t="s">
        <v>61</v>
      </c>
      <c r="AB740" s="20" t="s">
        <v>96</v>
      </c>
      <c r="AC740" s="28">
        <v>369.83</v>
      </c>
      <c r="AD740" s="28">
        <f>SUM(BASE[[#This Row],[MONTO DE RENTA ]]*1.16)</f>
        <v>429.00279999999998</v>
      </c>
      <c r="AE740" s="28" t="s">
        <v>63</v>
      </c>
      <c r="AF740" s="28">
        <v>369.82758620689657</v>
      </c>
      <c r="AG740" s="28">
        <v>429</v>
      </c>
      <c r="AI740" s="63">
        <v>44937</v>
      </c>
      <c r="AJ740" s="73">
        <v>46043</v>
      </c>
      <c r="AK74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0" s="30"/>
      <c r="AN740" s="20" t="s">
        <v>99</v>
      </c>
      <c r="AP740" s="20" t="s">
        <v>84</v>
      </c>
      <c r="AQ740" s="20" t="s">
        <v>100</v>
      </c>
    </row>
    <row r="741" spans="1:43" ht="16">
      <c r="A741" s="20">
        <v>8446638671</v>
      </c>
      <c r="B741" s="49">
        <v>280102</v>
      </c>
      <c r="C741" s="20" t="s">
        <v>3527</v>
      </c>
      <c r="D741" s="20" t="s">
        <v>437</v>
      </c>
      <c r="E741" s="20" t="s">
        <v>657</v>
      </c>
      <c r="F741" s="20" t="s">
        <v>70</v>
      </c>
      <c r="G741" s="20" t="s">
        <v>70</v>
      </c>
      <c r="H741" s="20" t="s">
        <v>48</v>
      </c>
      <c r="I741" s="20" t="s">
        <v>70</v>
      </c>
      <c r="J741" s="22" t="s">
        <v>3528</v>
      </c>
      <c r="K741" s="22" t="s">
        <v>3528</v>
      </c>
      <c r="L741" s="23" t="s">
        <v>3505</v>
      </c>
      <c r="M741" s="24" t="s">
        <v>7739</v>
      </c>
      <c r="N741" s="23">
        <v>18729000</v>
      </c>
      <c r="O741" s="25" t="s">
        <v>74</v>
      </c>
      <c r="P741" s="25" t="s">
        <v>53</v>
      </c>
      <c r="Q741" s="20" t="s">
        <v>3529</v>
      </c>
      <c r="R741" s="20">
        <v>42977421</v>
      </c>
      <c r="S741" s="25" t="s">
        <v>55</v>
      </c>
      <c r="T741" s="26" t="s">
        <v>56</v>
      </c>
      <c r="U741" s="23">
        <v>357654179615607</v>
      </c>
      <c r="V741" s="27" t="s">
        <v>78</v>
      </c>
      <c r="W741" s="20" t="s">
        <v>95</v>
      </c>
      <c r="X741" s="20" t="s">
        <v>95</v>
      </c>
      <c r="Y741" s="20" t="s">
        <v>95</v>
      </c>
      <c r="Z741" s="20" t="s">
        <v>60</v>
      </c>
      <c r="AA741" s="20" t="s">
        <v>61</v>
      </c>
      <c r="AB741" s="20" t="s">
        <v>82</v>
      </c>
      <c r="AC741" s="28">
        <v>559.48</v>
      </c>
      <c r="AD741" s="28">
        <f>SUM(BASE[[#This Row],[MONTO DE RENTA ]]*1.16)</f>
        <v>648.99680000000001</v>
      </c>
      <c r="AE741" s="28" t="s">
        <v>83</v>
      </c>
      <c r="AF741" s="28">
        <v>559.48275862068965</v>
      </c>
      <c r="AG741" s="28">
        <v>649</v>
      </c>
      <c r="AH741" s="22" t="s">
        <v>116</v>
      </c>
      <c r="AI741" s="29">
        <v>44937</v>
      </c>
      <c r="AJ741" s="50">
        <v>46043</v>
      </c>
      <c r="AK7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1" s="30"/>
      <c r="AN741" s="20" t="s">
        <v>99</v>
      </c>
      <c r="AP741" s="20" t="s">
        <v>84</v>
      </c>
      <c r="AQ741" s="20" t="s">
        <v>100</v>
      </c>
    </row>
    <row r="742" spans="1:43" ht="16">
      <c r="A742" s="20">
        <v>8333375456</v>
      </c>
      <c r="B742" s="21">
        <v>300166</v>
      </c>
      <c r="C742" s="20" t="s">
        <v>3530</v>
      </c>
      <c r="D742" s="20" t="s">
        <v>627</v>
      </c>
      <c r="E742" s="20" t="s">
        <v>657</v>
      </c>
      <c r="F742" s="20" t="s">
        <v>451</v>
      </c>
      <c r="G742" s="20" t="s">
        <v>47</v>
      </c>
      <c r="H742" s="20" t="s">
        <v>48</v>
      </c>
      <c r="I742" s="20" t="s">
        <v>451</v>
      </c>
      <c r="J742" s="22" t="s">
        <v>3531</v>
      </c>
      <c r="K742" s="22" t="s">
        <v>3531</v>
      </c>
      <c r="L742" s="23" t="s">
        <v>3491</v>
      </c>
      <c r="M742" s="24" t="s">
        <v>7739</v>
      </c>
      <c r="N742" s="23">
        <v>18730000</v>
      </c>
      <c r="O742" s="25" t="s">
        <v>74</v>
      </c>
      <c r="P742" s="25" t="s">
        <v>53</v>
      </c>
      <c r="Q742" s="20" t="s">
        <v>3532</v>
      </c>
      <c r="R742" s="20">
        <v>43141274</v>
      </c>
      <c r="S742" s="25" t="s">
        <v>3533</v>
      </c>
      <c r="T742" s="26" t="s">
        <v>57</v>
      </c>
      <c r="U742" s="23">
        <v>860900062321872</v>
      </c>
      <c r="V742" s="27" t="s">
        <v>57</v>
      </c>
      <c r="W742" s="20" t="s">
        <v>58</v>
      </c>
      <c r="X742" s="20" t="s">
        <v>59</v>
      </c>
      <c r="Y742" s="20" t="s">
        <v>59</v>
      </c>
      <c r="Z742" s="20" t="s">
        <v>167</v>
      </c>
      <c r="AA742" s="20" t="s">
        <v>168</v>
      </c>
      <c r="AB742" s="20" t="s">
        <v>96</v>
      </c>
      <c r="AC742" s="28">
        <v>369.83</v>
      </c>
      <c r="AD742" s="28">
        <f>SUM(BASE[[#This Row],[MONTO DE RENTA ]]*1.16)</f>
        <v>429.00279999999998</v>
      </c>
      <c r="AE742" s="28" t="s">
        <v>63</v>
      </c>
      <c r="AF742" s="28">
        <v>369.82758620689657</v>
      </c>
      <c r="AG742" s="28">
        <v>429</v>
      </c>
      <c r="AH742" s="22" t="s">
        <v>64</v>
      </c>
      <c r="AI742" s="63">
        <v>45713</v>
      </c>
      <c r="AJ742" s="63">
        <v>46433</v>
      </c>
      <c r="AK7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42" s="30"/>
      <c r="AN742" s="20" t="s">
        <v>65</v>
      </c>
      <c r="AP742" s="20" t="s">
        <v>84</v>
      </c>
    </row>
    <row r="743" spans="1:43" ht="16">
      <c r="A743" s="20">
        <v>8331728569</v>
      </c>
      <c r="B743" s="21">
        <v>300238</v>
      </c>
      <c r="C743" s="20" t="s">
        <v>3534</v>
      </c>
      <c r="D743" s="20" t="s">
        <v>1205</v>
      </c>
      <c r="E743" s="20" t="s">
        <v>3371</v>
      </c>
      <c r="F743" s="20" t="s">
        <v>483</v>
      </c>
      <c r="G743" s="20" t="s">
        <v>248</v>
      </c>
      <c r="H743" s="20" t="s">
        <v>48</v>
      </c>
      <c r="I743" s="20" t="s">
        <v>483</v>
      </c>
      <c r="J743" s="22" t="s">
        <v>3535</v>
      </c>
      <c r="K743" s="22" t="s">
        <v>3535</v>
      </c>
      <c r="L743" s="23" t="s">
        <v>3491</v>
      </c>
      <c r="M743" s="24" t="s">
        <v>7739</v>
      </c>
      <c r="N743" s="23">
        <v>18730000</v>
      </c>
      <c r="O743" s="25" t="s">
        <v>74</v>
      </c>
      <c r="P743" s="25" t="s">
        <v>53</v>
      </c>
      <c r="Q743" s="20" t="s">
        <v>3536</v>
      </c>
      <c r="R743" s="20">
        <v>43121141</v>
      </c>
      <c r="S743" s="25" t="s">
        <v>3537</v>
      </c>
      <c r="T743" s="26" t="s">
        <v>57</v>
      </c>
      <c r="U743" s="23">
        <v>860900062337035</v>
      </c>
      <c r="V743" s="27" t="s">
        <v>57</v>
      </c>
      <c r="W743" s="20" t="s">
        <v>58</v>
      </c>
      <c r="X743" s="20" t="s">
        <v>59</v>
      </c>
      <c r="Y743" s="20" t="s">
        <v>59</v>
      </c>
      <c r="Z743" s="20" t="s">
        <v>167</v>
      </c>
      <c r="AA743" s="20" t="s">
        <v>168</v>
      </c>
      <c r="AB743" s="20" t="s">
        <v>96</v>
      </c>
      <c r="AC743" s="28">
        <v>369.83</v>
      </c>
      <c r="AD743" s="28">
        <f>SUM(BASE[[#This Row],[MONTO DE RENTA ]]*1.16)</f>
        <v>429.00279999999998</v>
      </c>
      <c r="AE743" s="28" t="s">
        <v>63</v>
      </c>
      <c r="AF743" s="28">
        <v>369.82758620689657</v>
      </c>
      <c r="AG743" s="28">
        <v>429</v>
      </c>
      <c r="AH743" s="22" t="s">
        <v>64</v>
      </c>
      <c r="AI743" s="63">
        <v>45713</v>
      </c>
      <c r="AJ743" s="63">
        <v>46433</v>
      </c>
      <c r="AK7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43" s="30"/>
      <c r="AN743" s="20" t="s">
        <v>65</v>
      </c>
      <c r="AP743" s="20" t="s">
        <v>84</v>
      </c>
    </row>
    <row r="744" spans="1:43" ht="16">
      <c r="A744">
        <v>8331554549</v>
      </c>
      <c r="B744" s="49">
        <v>1000798</v>
      </c>
      <c r="C744" s="20" t="s">
        <v>2139</v>
      </c>
      <c r="D744" s="20" t="s">
        <v>3538</v>
      </c>
      <c r="E744" s="20" t="s">
        <v>3062</v>
      </c>
      <c r="F744" s="20" t="s">
        <v>122</v>
      </c>
      <c r="G744" s="20" t="s">
        <v>122</v>
      </c>
      <c r="H744" s="20" t="s">
        <v>48</v>
      </c>
      <c r="I744" s="20" t="s">
        <v>122</v>
      </c>
      <c r="J744" s="22" t="s">
        <v>3539</v>
      </c>
      <c r="K744" s="22" t="s">
        <v>3539</v>
      </c>
      <c r="L744" s="23" t="s">
        <v>3491</v>
      </c>
      <c r="M744" s="24" t="s">
        <v>7739</v>
      </c>
      <c r="N744" s="23">
        <v>18730000</v>
      </c>
      <c r="O744" s="25" t="s">
        <v>74</v>
      </c>
      <c r="P744" s="25" t="s">
        <v>53</v>
      </c>
      <c r="Q744" s="20" t="s">
        <v>3540</v>
      </c>
      <c r="R744" s="20">
        <v>43660994</v>
      </c>
      <c r="S744" s="25" t="s">
        <v>55</v>
      </c>
      <c r="T744" s="26" t="s">
        <v>56</v>
      </c>
      <c r="U744" s="23">
        <v>865356065668535</v>
      </c>
      <c r="V744" s="27" t="s">
        <v>183</v>
      </c>
      <c r="W744" s="20" t="s">
        <v>129</v>
      </c>
      <c r="X744" s="20" t="s">
        <v>130</v>
      </c>
      <c r="Y744" s="20" t="s">
        <v>130</v>
      </c>
      <c r="Z744" s="20" t="s">
        <v>60</v>
      </c>
      <c r="AA744" s="20" t="s">
        <v>61</v>
      </c>
      <c r="AB744" s="20" t="s">
        <v>96</v>
      </c>
      <c r="AC744" s="28">
        <v>369.83</v>
      </c>
      <c r="AD744" s="28">
        <f>SUM(BASE[[#This Row],[MONTO DE RENTA ]]*1.16)</f>
        <v>429.00279999999998</v>
      </c>
      <c r="AE744" s="28" t="s">
        <v>63</v>
      </c>
      <c r="AF744" s="28">
        <v>369.82758620689657</v>
      </c>
      <c r="AG744" s="28">
        <v>429</v>
      </c>
      <c r="AI744" s="63">
        <v>44937</v>
      </c>
      <c r="AJ744" s="73">
        <v>46043</v>
      </c>
      <c r="AK7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4" s="30"/>
      <c r="AN744" s="20" t="s">
        <v>99</v>
      </c>
      <c r="AP744" s="20" t="s">
        <v>84</v>
      </c>
      <c r="AQ744" s="20" t="s">
        <v>100</v>
      </c>
    </row>
    <row r="745" spans="1:43" ht="16">
      <c r="A745" s="20">
        <v>8331671765</v>
      </c>
      <c r="B745" s="21">
        <v>300003</v>
      </c>
      <c r="C745" s="20" t="s">
        <v>1597</v>
      </c>
      <c r="D745" s="20" t="s">
        <v>247</v>
      </c>
      <c r="E745" s="20" t="s">
        <v>2845</v>
      </c>
      <c r="F745" s="20" t="s">
        <v>257</v>
      </c>
      <c r="G745" s="20" t="s">
        <v>257</v>
      </c>
      <c r="H745" s="20" t="s">
        <v>48</v>
      </c>
      <c r="I745" s="20" t="s">
        <v>257</v>
      </c>
      <c r="J745" s="22" t="s">
        <v>3541</v>
      </c>
      <c r="K745" s="22" t="s">
        <v>3541</v>
      </c>
      <c r="L745" s="23" t="s">
        <v>3491</v>
      </c>
      <c r="M745" s="24" t="s">
        <v>7739</v>
      </c>
      <c r="N745" s="23">
        <v>18730000</v>
      </c>
      <c r="O745" s="25" t="s">
        <v>74</v>
      </c>
      <c r="P745" s="25" t="s">
        <v>53</v>
      </c>
      <c r="Q745" s="20" t="s">
        <v>3542</v>
      </c>
      <c r="R745" s="20">
        <v>43090129</v>
      </c>
      <c r="S745" s="25" t="s">
        <v>3543</v>
      </c>
      <c r="T745" s="26" t="s">
        <v>57</v>
      </c>
      <c r="U745" s="23">
        <v>860478064984773</v>
      </c>
      <c r="V745" s="45" t="s">
        <v>110</v>
      </c>
      <c r="W745" s="20" t="s">
        <v>302</v>
      </c>
      <c r="X745" s="20" t="s">
        <v>303</v>
      </c>
      <c r="Y745" s="20" t="s">
        <v>303</v>
      </c>
      <c r="Z745" s="20" t="s">
        <v>80</v>
      </c>
      <c r="AA745" s="20" t="s">
        <v>81</v>
      </c>
      <c r="AB745" s="20" t="s">
        <v>82</v>
      </c>
      <c r="AC745" s="28">
        <v>559.48</v>
      </c>
      <c r="AD745" s="28">
        <f>SUM(BASE[[#This Row],[MONTO DE RENTA ]]*1.16)</f>
        <v>648.99680000000001</v>
      </c>
      <c r="AE745" s="28" t="s">
        <v>83</v>
      </c>
      <c r="AF745" s="28">
        <v>559.48275862068965</v>
      </c>
      <c r="AG745" s="28">
        <v>649</v>
      </c>
      <c r="AH745" s="22" t="s">
        <v>64</v>
      </c>
      <c r="AI745" s="63">
        <v>45713</v>
      </c>
      <c r="AJ745" s="63">
        <v>46433</v>
      </c>
      <c r="AK7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45" s="30"/>
      <c r="AN745" s="20" t="s">
        <v>65</v>
      </c>
      <c r="AP745" s="20" t="s">
        <v>84</v>
      </c>
    </row>
    <row r="746" spans="1:43" ht="16">
      <c r="A746" s="20">
        <v>8331561482</v>
      </c>
      <c r="B746" s="21">
        <v>300523</v>
      </c>
      <c r="C746" s="20" t="s">
        <v>3487</v>
      </c>
      <c r="D746" s="20" t="s">
        <v>3488</v>
      </c>
      <c r="E746" s="20" t="s">
        <v>3489</v>
      </c>
      <c r="F746" s="20" t="s">
        <v>104</v>
      </c>
      <c r="G746" s="20" t="s">
        <v>104</v>
      </c>
      <c r="H746" s="20" t="s">
        <v>48</v>
      </c>
      <c r="I746" s="20" t="s">
        <v>104</v>
      </c>
      <c r="J746" s="32" t="s">
        <v>3544</v>
      </c>
      <c r="K746" s="32" t="s">
        <v>3544</v>
      </c>
      <c r="L746" s="23" t="s">
        <v>3491</v>
      </c>
      <c r="M746" s="24" t="s">
        <v>7739</v>
      </c>
      <c r="N746" s="23">
        <v>18730000</v>
      </c>
      <c r="O746" s="25" t="s">
        <v>74</v>
      </c>
      <c r="P746" s="25" t="s">
        <v>53</v>
      </c>
      <c r="Q746" s="20" t="s">
        <v>3545</v>
      </c>
      <c r="R746" s="20">
        <v>43090261</v>
      </c>
      <c r="S746" s="25" t="s">
        <v>3546</v>
      </c>
      <c r="T746" s="26" t="s">
        <v>57</v>
      </c>
      <c r="U746" s="23">
        <v>860478063777715</v>
      </c>
      <c r="V746" s="45" t="s">
        <v>110</v>
      </c>
      <c r="W746" s="20" t="s">
        <v>302</v>
      </c>
      <c r="X746" s="20" t="s">
        <v>303</v>
      </c>
      <c r="Y746" s="20" t="s">
        <v>303</v>
      </c>
      <c r="Z746" s="20" t="s">
        <v>80</v>
      </c>
      <c r="AA746" s="20" t="s">
        <v>81</v>
      </c>
      <c r="AB746" s="20" t="s">
        <v>82</v>
      </c>
      <c r="AC746" s="28">
        <v>559.48</v>
      </c>
      <c r="AD746" s="28">
        <f>SUM(BASE[[#This Row],[MONTO DE RENTA ]]*1.16)</f>
        <v>648.99680000000001</v>
      </c>
      <c r="AE746" s="28" t="s">
        <v>83</v>
      </c>
      <c r="AF746" s="28">
        <v>559.48275862068965</v>
      </c>
      <c r="AG746" s="28">
        <v>649</v>
      </c>
      <c r="AH746" s="22" t="s">
        <v>64</v>
      </c>
      <c r="AI746" s="63">
        <v>45703</v>
      </c>
      <c r="AJ746" s="63">
        <v>46433</v>
      </c>
      <c r="AK7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46" s="30"/>
      <c r="AN746" s="20" t="s">
        <v>65</v>
      </c>
      <c r="AP746" s="20" t="s">
        <v>84</v>
      </c>
    </row>
    <row r="747" spans="1:43" ht="16">
      <c r="A747" s="20">
        <v>8332462828</v>
      </c>
      <c r="B747" s="49">
        <v>995333</v>
      </c>
      <c r="C747" s="20" t="s">
        <v>748</v>
      </c>
      <c r="D747" s="20" t="s">
        <v>3547</v>
      </c>
      <c r="E747" s="20" t="s">
        <v>45</v>
      </c>
      <c r="F747" s="20" t="s">
        <v>104</v>
      </c>
      <c r="G747" s="20" t="s">
        <v>104</v>
      </c>
      <c r="H747" s="20" t="s">
        <v>48</v>
      </c>
      <c r="I747" s="20" t="s">
        <v>104</v>
      </c>
      <c r="J747" s="32" t="s">
        <v>3548</v>
      </c>
      <c r="K747" s="22" t="s">
        <v>3549</v>
      </c>
      <c r="L747" s="23" t="s">
        <v>3491</v>
      </c>
      <c r="M747" s="24" t="s">
        <v>7739</v>
      </c>
      <c r="N747" s="23">
        <v>18730000</v>
      </c>
      <c r="O747" s="25" t="s">
        <v>74</v>
      </c>
      <c r="P747" s="25" t="s">
        <v>53</v>
      </c>
      <c r="Q747" s="20" t="s">
        <v>3550</v>
      </c>
      <c r="R747" s="20">
        <v>42847231</v>
      </c>
      <c r="S747" s="25" t="s">
        <v>55</v>
      </c>
      <c r="T747" s="26" t="s">
        <v>56</v>
      </c>
      <c r="U747" s="23">
        <v>865356065729915</v>
      </c>
      <c r="V747" s="27" t="s">
        <v>183</v>
      </c>
      <c r="W747" s="20" t="s">
        <v>129</v>
      </c>
      <c r="X747" s="20" t="s">
        <v>130</v>
      </c>
      <c r="Y747" s="20" t="s">
        <v>130</v>
      </c>
      <c r="Z747" s="20" t="s">
        <v>60</v>
      </c>
      <c r="AA747" s="20" t="s">
        <v>61</v>
      </c>
      <c r="AB747" s="20" t="s">
        <v>96</v>
      </c>
      <c r="AC747" s="28">
        <v>369.83</v>
      </c>
      <c r="AD747" s="28">
        <f>SUM(BASE[[#This Row],[MONTO DE RENTA ]]*1.16)</f>
        <v>429.00279999999998</v>
      </c>
      <c r="AE747" s="28" t="s">
        <v>63</v>
      </c>
      <c r="AF747" s="28">
        <v>369.82758620689657</v>
      </c>
      <c r="AG747" s="28">
        <v>429</v>
      </c>
      <c r="AH747" s="36" t="s">
        <v>64</v>
      </c>
      <c r="AI747" s="84">
        <v>45323</v>
      </c>
      <c r="AJ747" s="84">
        <v>46054</v>
      </c>
      <c r="AK7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7" s="30"/>
      <c r="AN747" s="20" t="s">
        <v>99</v>
      </c>
      <c r="AP747" s="20" t="s">
        <v>84</v>
      </c>
      <c r="AQ747" s="20" t="s">
        <v>100</v>
      </c>
    </row>
    <row r="748" spans="1:43" ht="16">
      <c r="A748" s="20">
        <v>8991534714</v>
      </c>
      <c r="B748" s="21">
        <v>770349</v>
      </c>
      <c r="C748" s="20" t="s">
        <v>2998</v>
      </c>
      <c r="D748" s="20" t="s">
        <v>186</v>
      </c>
      <c r="E748" s="20" t="s">
        <v>3551</v>
      </c>
      <c r="F748" s="20" t="s">
        <v>104</v>
      </c>
      <c r="G748" s="20" t="s">
        <v>104</v>
      </c>
      <c r="H748" s="20" t="s">
        <v>48</v>
      </c>
      <c r="I748" s="20" t="s">
        <v>104</v>
      </c>
      <c r="J748" s="32" t="s">
        <v>3552</v>
      </c>
      <c r="K748" s="195" t="s">
        <v>3552</v>
      </c>
      <c r="L748" s="23" t="s">
        <v>3553</v>
      </c>
      <c r="M748" s="24" t="s">
        <v>7739</v>
      </c>
      <c r="N748" s="23">
        <v>18734000</v>
      </c>
      <c r="O748" s="25" t="s">
        <v>74</v>
      </c>
      <c r="P748" s="25" t="s">
        <v>53</v>
      </c>
      <c r="Q748" s="20" t="s">
        <v>3554</v>
      </c>
      <c r="R748" s="20">
        <v>43090202</v>
      </c>
      <c r="S748" s="25" t="s">
        <v>3555</v>
      </c>
      <c r="T748" s="26" t="s">
        <v>57</v>
      </c>
      <c r="U748" s="23">
        <v>860478060691638</v>
      </c>
      <c r="V748" s="45" t="s">
        <v>110</v>
      </c>
      <c r="W748" s="20" t="s">
        <v>302</v>
      </c>
      <c r="X748" s="20" t="s">
        <v>303</v>
      </c>
      <c r="Y748" s="20" t="s">
        <v>303</v>
      </c>
      <c r="Z748" s="20" t="s">
        <v>80</v>
      </c>
      <c r="AA748" s="20" t="s">
        <v>81</v>
      </c>
      <c r="AB748" s="20" t="s">
        <v>82</v>
      </c>
      <c r="AC748" s="28">
        <v>559.48</v>
      </c>
      <c r="AD748" s="28">
        <f>SUM(BASE[[#This Row],[MONTO DE RENTA ]]*1.16)</f>
        <v>648.99680000000001</v>
      </c>
      <c r="AE748" s="28" t="s">
        <v>83</v>
      </c>
      <c r="AF748" s="28">
        <v>559.48275862068965</v>
      </c>
      <c r="AG748" s="28">
        <v>649</v>
      </c>
      <c r="AH748" s="22" t="s">
        <v>64</v>
      </c>
      <c r="AI748" s="63">
        <v>45703</v>
      </c>
      <c r="AJ748" s="63">
        <v>46433</v>
      </c>
      <c r="AK7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48" s="30"/>
      <c r="AN748" s="20" t="s">
        <v>65</v>
      </c>
      <c r="AP748" s="20" t="s">
        <v>84</v>
      </c>
    </row>
    <row r="749" spans="1:43" ht="16">
      <c r="A749" s="20">
        <v>8333490584</v>
      </c>
      <c r="B749" s="49">
        <v>10314</v>
      </c>
      <c r="C749" s="20" t="s">
        <v>3556</v>
      </c>
      <c r="D749" s="20" t="s">
        <v>3557</v>
      </c>
      <c r="E749" s="20" t="s">
        <v>376</v>
      </c>
      <c r="F749" s="20" t="s">
        <v>70</v>
      </c>
      <c r="G749" s="20" t="s">
        <v>70</v>
      </c>
      <c r="H749" s="20" t="s">
        <v>48</v>
      </c>
      <c r="I749" s="20" t="s">
        <v>70</v>
      </c>
      <c r="J749" s="22" t="s">
        <v>3558</v>
      </c>
      <c r="K749" s="22" t="s">
        <v>3558</v>
      </c>
      <c r="L749" s="23" t="s">
        <v>3491</v>
      </c>
      <c r="M749" s="24" t="s">
        <v>7739</v>
      </c>
      <c r="N749" s="23">
        <v>18730000</v>
      </c>
      <c r="O749" s="25" t="s">
        <v>74</v>
      </c>
      <c r="P749" s="25" t="s">
        <v>53</v>
      </c>
      <c r="Q749" s="20" t="s">
        <v>3559</v>
      </c>
      <c r="R749" s="20">
        <v>42977404</v>
      </c>
      <c r="S749" s="25" t="s">
        <v>55</v>
      </c>
      <c r="T749" s="26" t="s">
        <v>56</v>
      </c>
      <c r="U749" s="23">
        <v>357654178749878</v>
      </c>
      <c r="V749" s="27" t="s">
        <v>78</v>
      </c>
      <c r="W749" s="20" t="s">
        <v>95</v>
      </c>
      <c r="X749" s="20" t="s">
        <v>95</v>
      </c>
      <c r="Y749" s="20" t="s">
        <v>95</v>
      </c>
      <c r="Z749" s="20" t="s">
        <v>60</v>
      </c>
      <c r="AA749" s="20" t="s">
        <v>61</v>
      </c>
      <c r="AB749" s="20" t="s">
        <v>82</v>
      </c>
      <c r="AC749" s="28">
        <v>559.48</v>
      </c>
      <c r="AD749" s="28">
        <f>SUM(BASE[[#This Row],[MONTO DE RENTA ]]*1.16)</f>
        <v>648.99680000000001</v>
      </c>
      <c r="AE749" s="28" t="s">
        <v>83</v>
      </c>
      <c r="AF749" s="28">
        <v>559.48275862068965</v>
      </c>
      <c r="AG749" s="28">
        <v>649</v>
      </c>
      <c r="AI749" s="29">
        <v>44937</v>
      </c>
      <c r="AJ749" s="50">
        <v>46043</v>
      </c>
      <c r="AK7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49" s="30"/>
      <c r="AN749" s="20" t="s">
        <v>99</v>
      </c>
      <c r="AP749" s="20" t="s">
        <v>84</v>
      </c>
      <c r="AQ749" s="20" t="s">
        <v>100</v>
      </c>
    </row>
    <row r="750" spans="1:43" ht="16">
      <c r="A750" s="171">
        <v>6181362216</v>
      </c>
      <c r="B750" s="213">
        <v>330269</v>
      </c>
      <c r="C750" s="20" t="s">
        <v>170</v>
      </c>
      <c r="D750" s="20" t="s">
        <v>172</v>
      </c>
      <c r="E750" s="20" t="s">
        <v>3560</v>
      </c>
      <c r="F750" s="20" t="s">
        <v>483</v>
      </c>
      <c r="G750" s="20" t="s">
        <v>47</v>
      </c>
      <c r="H750" s="20" t="s">
        <v>48</v>
      </c>
      <c r="I750" s="20" t="s">
        <v>483</v>
      </c>
      <c r="J750" s="175" t="s">
        <v>3561</v>
      </c>
      <c r="K750" s="175" t="s">
        <v>3561</v>
      </c>
      <c r="L750" s="23" t="s">
        <v>3562</v>
      </c>
      <c r="M750" s="24" t="s">
        <v>7744</v>
      </c>
      <c r="N750" s="23">
        <v>18733000</v>
      </c>
      <c r="O750" s="25" t="s">
        <v>362</v>
      </c>
      <c r="P750" s="25" t="s">
        <v>53</v>
      </c>
      <c r="Q750" s="20" t="s">
        <v>3563</v>
      </c>
      <c r="R750" s="20">
        <v>31859644</v>
      </c>
      <c r="S750" s="25" t="s">
        <v>3564</v>
      </c>
      <c r="T750" s="173" t="s">
        <v>57</v>
      </c>
      <c r="U750" s="23">
        <v>860900062730064</v>
      </c>
      <c r="V750" s="174" t="s">
        <v>57</v>
      </c>
      <c r="W750" s="20" t="s">
        <v>58</v>
      </c>
      <c r="X750" s="20" t="s">
        <v>59</v>
      </c>
      <c r="Y750" s="20" t="s">
        <v>59</v>
      </c>
      <c r="Z750" s="20" t="s">
        <v>80</v>
      </c>
      <c r="AA750" s="20" t="s">
        <v>81</v>
      </c>
      <c r="AB750" s="20" t="s">
        <v>96</v>
      </c>
      <c r="AC750" s="28">
        <v>369.83</v>
      </c>
      <c r="AD750" s="28">
        <f>SUM(BASE[[#This Row],[MONTO DE RENTA ]]*1.16)</f>
        <v>429.00279999999998</v>
      </c>
      <c r="AE750" s="28" t="s">
        <v>63</v>
      </c>
      <c r="AF750" s="28">
        <v>369.82758620689657</v>
      </c>
      <c r="AG750" s="28">
        <v>429</v>
      </c>
      <c r="AH750" s="175" t="s">
        <v>64</v>
      </c>
      <c r="AI750" s="63">
        <v>45665</v>
      </c>
      <c r="AJ750" s="63">
        <v>46395</v>
      </c>
      <c r="AK750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750" s="171">
        <v>18733000</v>
      </c>
      <c r="AM750" s="177"/>
      <c r="AN750" s="20" t="s">
        <v>65</v>
      </c>
      <c r="AP750" s="20" t="s">
        <v>84</v>
      </c>
    </row>
    <row r="751" spans="1:43" ht="16">
      <c r="A751" s="20">
        <v>6181258182</v>
      </c>
      <c r="B751" s="21">
        <v>330141</v>
      </c>
      <c r="C751" s="20" t="s">
        <v>3565</v>
      </c>
      <c r="D751" s="20" t="s">
        <v>45</v>
      </c>
      <c r="E751" s="20" t="s">
        <v>347</v>
      </c>
      <c r="F751" s="20" t="s">
        <v>451</v>
      </c>
      <c r="G751" s="20" t="s">
        <v>248</v>
      </c>
      <c r="H751" s="20" t="s">
        <v>48</v>
      </c>
      <c r="I751" s="20" t="s">
        <v>451</v>
      </c>
      <c r="J751" s="22" t="s">
        <v>3566</v>
      </c>
      <c r="K751" s="22" t="s">
        <v>3566</v>
      </c>
      <c r="L751" s="23" t="s">
        <v>3562</v>
      </c>
      <c r="M751" s="24" t="s">
        <v>7744</v>
      </c>
      <c r="N751" s="23">
        <v>18733000</v>
      </c>
      <c r="O751" s="25" t="s">
        <v>362</v>
      </c>
      <c r="P751" s="25" t="s">
        <v>53</v>
      </c>
      <c r="Q751" s="20" t="s">
        <v>3567</v>
      </c>
      <c r="R751" s="20">
        <v>31848336</v>
      </c>
      <c r="S751" s="25" t="s">
        <v>3568</v>
      </c>
      <c r="T751" s="26" t="s">
        <v>57</v>
      </c>
      <c r="U751" s="23">
        <v>860900062257258</v>
      </c>
      <c r="V751" s="27" t="s">
        <v>57</v>
      </c>
      <c r="W751" s="20" t="s">
        <v>58</v>
      </c>
      <c r="X751" s="20" t="s">
        <v>59</v>
      </c>
      <c r="Y751" s="20" t="s">
        <v>59</v>
      </c>
      <c r="Z751" s="20" t="s">
        <v>80</v>
      </c>
      <c r="AA751" s="20" t="s">
        <v>81</v>
      </c>
      <c r="AB751" s="20" t="s">
        <v>96</v>
      </c>
      <c r="AC751" s="28">
        <v>369.83</v>
      </c>
      <c r="AD751" s="28">
        <f>SUM(BASE[[#This Row],[MONTO DE RENTA ]]*1.16)</f>
        <v>429.00279999999998</v>
      </c>
      <c r="AE751" s="28" t="s">
        <v>63</v>
      </c>
      <c r="AF751" s="28">
        <v>369.82758620689657</v>
      </c>
      <c r="AG751" s="28">
        <v>429</v>
      </c>
      <c r="AH751" s="22" t="s">
        <v>64</v>
      </c>
      <c r="AI751" s="63">
        <v>45703</v>
      </c>
      <c r="AJ751" s="63">
        <v>46433</v>
      </c>
      <c r="AK7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1" s="30"/>
      <c r="AN751" s="20" t="s">
        <v>65</v>
      </c>
      <c r="AP751" s="20" t="s">
        <v>84</v>
      </c>
    </row>
    <row r="752" spans="1:43" ht="16">
      <c r="A752" s="20">
        <v>6181341199</v>
      </c>
      <c r="B752" s="49">
        <v>330242</v>
      </c>
      <c r="C752" s="20" t="s">
        <v>67</v>
      </c>
      <c r="D752" s="20" t="s">
        <v>657</v>
      </c>
      <c r="E752" s="20" t="s">
        <v>797</v>
      </c>
      <c r="F752" s="20" t="s">
        <v>122</v>
      </c>
      <c r="G752" s="20" t="s">
        <v>122</v>
      </c>
      <c r="H752" s="20" t="s">
        <v>48</v>
      </c>
      <c r="I752" s="20" t="s">
        <v>122</v>
      </c>
      <c r="J752" s="22" t="s">
        <v>3569</v>
      </c>
      <c r="K752" s="22" t="s">
        <v>3570</v>
      </c>
      <c r="L752" s="23" t="s">
        <v>3562</v>
      </c>
      <c r="M752" s="24" t="s">
        <v>7744</v>
      </c>
      <c r="N752" s="23">
        <v>18733000</v>
      </c>
      <c r="O752" s="25" t="s">
        <v>362</v>
      </c>
      <c r="P752" s="25" t="s">
        <v>53</v>
      </c>
      <c r="Q752" s="20" t="s">
        <v>3571</v>
      </c>
      <c r="R752" s="20">
        <v>31710546</v>
      </c>
      <c r="S752" s="25" t="s">
        <v>55</v>
      </c>
      <c r="T752" s="26" t="s">
        <v>56</v>
      </c>
      <c r="U752" s="23">
        <v>865356065689218</v>
      </c>
      <c r="V752" s="27" t="s">
        <v>183</v>
      </c>
      <c r="W752" s="20" t="s">
        <v>129</v>
      </c>
      <c r="X752" s="20" t="s">
        <v>130</v>
      </c>
      <c r="Y752" s="20" t="s">
        <v>130</v>
      </c>
      <c r="Z752" s="20" t="s">
        <v>60</v>
      </c>
      <c r="AA752" s="20" t="s">
        <v>61</v>
      </c>
      <c r="AB752" s="20" t="s">
        <v>96</v>
      </c>
      <c r="AC752" s="28">
        <v>369.83</v>
      </c>
      <c r="AD752" s="28">
        <f>SUM(BASE[[#This Row],[MONTO DE RENTA ]]*1.16)</f>
        <v>429.00279999999998</v>
      </c>
      <c r="AE752" s="28" t="s">
        <v>63</v>
      </c>
      <c r="AF752" s="28">
        <v>369.82758620689657</v>
      </c>
      <c r="AG752" s="28">
        <v>429</v>
      </c>
      <c r="AI752" s="63">
        <v>44937</v>
      </c>
      <c r="AJ752" s="73">
        <v>46043</v>
      </c>
      <c r="AK7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52" s="30"/>
      <c r="AN752" s="20" t="s">
        <v>99</v>
      </c>
      <c r="AP752" s="20" t="s">
        <v>84</v>
      </c>
      <c r="AQ752" s="20" t="s">
        <v>100</v>
      </c>
    </row>
    <row r="753" spans="1:43" ht="16">
      <c r="A753" s="20">
        <v>6181399029</v>
      </c>
      <c r="B753" s="21">
        <v>330312</v>
      </c>
      <c r="C753" s="20" t="s">
        <v>3572</v>
      </c>
      <c r="D753" s="20" t="s">
        <v>216</v>
      </c>
      <c r="E753" s="20" t="s">
        <v>405</v>
      </c>
      <c r="F753" s="20" t="s">
        <v>257</v>
      </c>
      <c r="G753" s="20" t="s">
        <v>257</v>
      </c>
      <c r="H753" s="20" t="s">
        <v>48</v>
      </c>
      <c r="I753" s="20" t="s">
        <v>257</v>
      </c>
      <c r="J753" s="22" t="s">
        <v>3573</v>
      </c>
      <c r="K753" s="22" t="s">
        <v>3573</v>
      </c>
      <c r="L753" s="23" t="s">
        <v>3562</v>
      </c>
      <c r="M753" s="24" t="s">
        <v>7744</v>
      </c>
      <c r="N753" s="23">
        <v>18733000</v>
      </c>
      <c r="O753" s="25" t="s">
        <v>362</v>
      </c>
      <c r="P753" s="25" t="s">
        <v>53</v>
      </c>
      <c r="Q753" s="20" t="s">
        <v>3574</v>
      </c>
      <c r="R753" s="20">
        <v>31831569</v>
      </c>
      <c r="S753" s="25" t="s">
        <v>3575</v>
      </c>
      <c r="T753" s="26" t="s">
        <v>57</v>
      </c>
      <c r="U753" s="23">
        <v>860478064844225</v>
      </c>
      <c r="V753" s="45" t="s">
        <v>110</v>
      </c>
      <c r="W753" s="20" t="s">
        <v>302</v>
      </c>
      <c r="X753" s="20" t="s">
        <v>303</v>
      </c>
      <c r="Y753" s="20" t="s">
        <v>303</v>
      </c>
      <c r="Z753" s="20" t="s">
        <v>80</v>
      </c>
      <c r="AA753" s="20" t="s">
        <v>81</v>
      </c>
      <c r="AB753" s="20" t="s">
        <v>82</v>
      </c>
      <c r="AC753" s="28">
        <v>559.48</v>
      </c>
      <c r="AD753" s="28">
        <f>SUM(BASE[[#This Row],[MONTO DE RENTA ]]*1.16)</f>
        <v>648.99680000000001</v>
      </c>
      <c r="AE753" s="28" t="s">
        <v>83</v>
      </c>
      <c r="AF753" s="28">
        <v>559.48275862068965</v>
      </c>
      <c r="AG753" s="28">
        <v>649</v>
      </c>
      <c r="AH753" s="22" t="s">
        <v>64</v>
      </c>
      <c r="AI753" s="63">
        <v>45703</v>
      </c>
      <c r="AJ753" s="63">
        <v>46433</v>
      </c>
      <c r="AK7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3" s="30"/>
      <c r="AN753" s="20" t="s">
        <v>65</v>
      </c>
      <c r="AP753" s="20" t="s">
        <v>84</v>
      </c>
    </row>
    <row r="754" spans="1:43" ht="16">
      <c r="A754" s="20">
        <v>6181399916</v>
      </c>
      <c r="B754" s="21">
        <v>1010336</v>
      </c>
      <c r="C754" s="20" t="s">
        <v>2709</v>
      </c>
      <c r="D754" s="20" t="s">
        <v>45</v>
      </c>
      <c r="E754" s="20" t="s">
        <v>636</v>
      </c>
      <c r="F754" s="20" t="s">
        <v>104</v>
      </c>
      <c r="G754" s="20" t="s">
        <v>104</v>
      </c>
      <c r="H754" s="20" t="s">
        <v>48</v>
      </c>
      <c r="I754" s="20" t="s">
        <v>104</v>
      </c>
      <c r="J754" s="22" t="s">
        <v>3576</v>
      </c>
      <c r="K754" s="32" t="s">
        <v>3576</v>
      </c>
      <c r="L754" s="23" t="s">
        <v>3562</v>
      </c>
      <c r="M754" s="24" t="s">
        <v>7744</v>
      </c>
      <c r="N754" s="23">
        <v>18733000</v>
      </c>
      <c r="O754" s="25" t="s">
        <v>362</v>
      </c>
      <c r="P754" s="25" t="s">
        <v>53</v>
      </c>
      <c r="Q754" s="20" t="s">
        <v>3577</v>
      </c>
      <c r="R754" s="20">
        <v>31831728</v>
      </c>
      <c r="S754" s="25" t="s">
        <v>3578</v>
      </c>
      <c r="T754" s="26" t="s">
        <v>57</v>
      </c>
      <c r="U754" s="23">
        <v>860478064976084</v>
      </c>
      <c r="V754" s="45" t="s">
        <v>110</v>
      </c>
      <c r="W754" s="20" t="s">
        <v>302</v>
      </c>
      <c r="X754" s="20" t="s">
        <v>303</v>
      </c>
      <c r="Y754" s="20" t="s">
        <v>303</v>
      </c>
      <c r="Z754" s="20" t="s">
        <v>80</v>
      </c>
      <c r="AA754" s="20" t="s">
        <v>81</v>
      </c>
      <c r="AB754" s="20" t="s">
        <v>82</v>
      </c>
      <c r="AC754" s="28">
        <v>559.48</v>
      </c>
      <c r="AD754" s="28">
        <f>SUM(BASE[[#This Row],[MONTO DE RENTA ]]*1.16)</f>
        <v>648.99680000000001</v>
      </c>
      <c r="AE754" s="28" t="s">
        <v>83</v>
      </c>
      <c r="AF754" s="28">
        <v>559.48275862068965</v>
      </c>
      <c r="AG754" s="28">
        <v>649</v>
      </c>
      <c r="AH754" s="22" t="s">
        <v>64</v>
      </c>
      <c r="AI754" s="63">
        <v>45703</v>
      </c>
      <c r="AJ754" s="63">
        <v>46433</v>
      </c>
      <c r="AK7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4" s="30"/>
      <c r="AN754" s="20" t="s">
        <v>65</v>
      </c>
      <c r="AP754" s="20" t="s">
        <v>84</v>
      </c>
    </row>
    <row r="755" spans="1:43" ht="16">
      <c r="A755" s="20">
        <v>6181399638</v>
      </c>
      <c r="B755" s="21">
        <v>330260</v>
      </c>
      <c r="C755" s="20" t="s">
        <v>3579</v>
      </c>
      <c r="D755" s="20" t="s">
        <v>2161</v>
      </c>
      <c r="E755" s="20" t="s">
        <v>3424</v>
      </c>
      <c r="F755" s="20" t="s">
        <v>104</v>
      </c>
      <c r="G755" s="20" t="s">
        <v>104</v>
      </c>
      <c r="H755" s="20" t="s">
        <v>48</v>
      </c>
      <c r="I755" s="20" t="s">
        <v>104</v>
      </c>
      <c r="J755" s="22" t="s">
        <v>3580</v>
      </c>
      <c r="K755" s="32" t="s">
        <v>3580</v>
      </c>
      <c r="L755" s="23" t="s">
        <v>3562</v>
      </c>
      <c r="M755" s="24" t="s">
        <v>7744</v>
      </c>
      <c r="N755" s="23">
        <v>18733000</v>
      </c>
      <c r="O755" s="25" t="s">
        <v>362</v>
      </c>
      <c r="P755" s="25" t="s">
        <v>53</v>
      </c>
      <c r="Q755" s="20" t="s">
        <v>3581</v>
      </c>
      <c r="R755" s="20">
        <v>31831725</v>
      </c>
      <c r="S755" s="25" t="s">
        <v>3582</v>
      </c>
      <c r="T755" s="26" t="s">
        <v>57</v>
      </c>
      <c r="U755" s="23">
        <v>860478064953117</v>
      </c>
      <c r="V755" s="45" t="s">
        <v>110</v>
      </c>
      <c r="W755" s="20" t="s">
        <v>302</v>
      </c>
      <c r="X755" s="20" t="s">
        <v>303</v>
      </c>
      <c r="Y755" s="20" t="s">
        <v>303</v>
      </c>
      <c r="Z755" s="20" t="s">
        <v>80</v>
      </c>
      <c r="AA755" s="20" t="s">
        <v>81</v>
      </c>
      <c r="AB755" s="20" t="s">
        <v>82</v>
      </c>
      <c r="AC755" s="28">
        <v>559.48</v>
      </c>
      <c r="AD755" s="28">
        <f>SUM(BASE[[#This Row],[MONTO DE RENTA ]]*1.16)</f>
        <v>648.99680000000001</v>
      </c>
      <c r="AE755" s="28" t="s">
        <v>83</v>
      </c>
      <c r="AF755" s="28">
        <v>559.48275862068965</v>
      </c>
      <c r="AG755" s="28">
        <v>649</v>
      </c>
      <c r="AH755" s="22" t="s">
        <v>64</v>
      </c>
      <c r="AI755" s="63">
        <v>45703</v>
      </c>
      <c r="AJ755" s="63">
        <v>46433</v>
      </c>
      <c r="AK7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5" s="30"/>
      <c r="AN755" s="20" t="s">
        <v>65</v>
      </c>
      <c r="AP755" s="20" t="s">
        <v>84</v>
      </c>
    </row>
    <row r="756" spans="1:43" ht="16">
      <c r="A756" s="20">
        <v>6181588459</v>
      </c>
      <c r="B756" s="49">
        <v>330293</v>
      </c>
      <c r="C756" s="20" t="s">
        <v>3583</v>
      </c>
      <c r="D756" s="20" t="s">
        <v>1068</v>
      </c>
      <c r="E756" s="20" t="s">
        <v>3584</v>
      </c>
      <c r="F756" s="20" t="s">
        <v>122</v>
      </c>
      <c r="G756" s="20" t="s">
        <v>122</v>
      </c>
      <c r="H756" s="20" t="s">
        <v>48</v>
      </c>
      <c r="I756" s="20" t="s">
        <v>122</v>
      </c>
      <c r="J756" s="32" t="s">
        <v>3585</v>
      </c>
      <c r="K756" s="22" t="s">
        <v>3586</v>
      </c>
      <c r="L756" s="23" t="s">
        <v>3562</v>
      </c>
      <c r="M756" s="24" t="s">
        <v>7744</v>
      </c>
      <c r="N756" s="23">
        <v>18733000</v>
      </c>
      <c r="O756" s="25" t="s">
        <v>362</v>
      </c>
      <c r="P756" s="25" t="s">
        <v>53</v>
      </c>
      <c r="Q756" s="20" t="s">
        <v>3587</v>
      </c>
      <c r="R756" s="20">
        <v>32108219</v>
      </c>
      <c r="S756" s="25" t="s">
        <v>55</v>
      </c>
      <c r="T756" s="26" t="s">
        <v>56</v>
      </c>
      <c r="U756" s="23">
        <v>865356065689218</v>
      </c>
      <c r="V756" s="27" t="s">
        <v>183</v>
      </c>
      <c r="W756" s="20" t="s">
        <v>129</v>
      </c>
      <c r="X756" s="20" t="s">
        <v>130</v>
      </c>
      <c r="Y756" s="20" t="s">
        <v>130</v>
      </c>
      <c r="Z756" s="20" t="s">
        <v>60</v>
      </c>
      <c r="AA756" s="20" t="s">
        <v>61</v>
      </c>
      <c r="AB756" s="20" t="s">
        <v>96</v>
      </c>
      <c r="AC756" s="28">
        <v>369.83</v>
      </c>
      <c r="AD756" s="28">
        <f>SUM(BASE[[#This Row],[MONTO DE RENTA ]]*1.16)</f>
        <v>429.00279999999998</v>
      </c>
      <c r="AE756" s="28" t="s">
        <v>63</v>
      </c>
      <c r="AF756" s="28">
        <v>369.82758620689657</v>
      </c>
      <c r="AG756" s="28">
        <v>429</v>
      </c>
      <c r="AI756" s="29">
        <v>44937</v>
      </c>
      <c r="AJ756" s="50">
        <v>46043</v>
      </c>
      <c r="AK7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56" s="30"/>
      <c r="AN756" s="20" t="s">
        <v>99</v>
      </c>
      <c r="AP756" s="20" t="s">
        <v>84</v>
      </c>
      <c r="AQ756" s="20" t="s">
        <v>100</v>
      </c>
    </row>
    <row r="757" spans="1:43" ht="16">
      <c r="A757" s="20">
        <v>6181399034</v>
      </c>
      <c r="B757" s="21">
        <v>330088</v>
      </c>
      <c r="C757" s="20" t="s">
        <v>3588</v>
      </c>
      <c r="D757" s="20" t="s">
        <v>3589</v>
      </c>
      <c r="E757" s="20" t="s">
        <v>1488</v>
      </c>
      <c r="F757" s="20" t="s">
        <v>104</v>
      </c>
      <c r="G757" s="20" t="s">
        <v>104</v>
      </c>
      <c r="H757" s="20" t="s">
        <v>48</v>
      </c>
      <c r="I757" s="20" t="s">
        <v>104</v>
      </c>
      <c r="J757" s="22" t="s">
        <v>3590</v>
      </c>
      <c r="K757" s="22" t="s">
        <v>3591</v>
      </c>
      <c r="L757" s="23" t="s">
        <v>3562</v>
      </c>
      <c r="M757" s="24" t="s">
        <v>7744</v>
      </c>
      <c r="N757" s="23">
        <v>18733000</v>
      </c>
      <c r="O757" s="25" t="s">
        <v>362</v>
      </c>
      <c r="P757" s="25" t="s">
        <v>53</v>
      </c>
      <c r="Q757" s="20" t="s">
        <v>3592</v>
      </c>
      <c r="R757" s="20">
        <v>31831722</v>
      </c>
      <c r="S757" s="25" t="s">
        <v>3593</v>
      </c>
      <c r="T757" s="26" t="s">
        <v>57</v>
      </c>
      <c r="U757" s="23">
        <v>860478064953091</v>
      </c>
      <c r="V757" s="45" t="s">
        <v>110</v>
      </c>
      <c r="W757" s="20" t="s">
        <v>302</v>
      </c>
      <c r="X757" s="20" t="s">
        <v>303</v>
      </c>
      <c r="Y757" s="20" t="s">
        <v>303</v>
      </c>
      <c r="Z757" s="20" t="s">
        <v>80</v>
      </c>
      <c r="AA757" s="20" t="s">
        <v>81</v>
      </c>
      <c r="AB757" s="20" t="s">
        <v>82</v>
      </c>
      <c r="AC757" s="28">
        <v>559.48</v>
      </c>
      <c r="AD757" s="28">
        <f>SUM(BASE[[#This Row],[MONTO DE RENTA ]]*1.16)</f>
        <v>648.99680000000001</v>
      </c>
      <c r="AE757" s="28" t="s">
        <v>83</v>
      </c>
      <c r="AF757" s="28">
        <v>559.48275862068965</v>
      </c>
      <c r="AG757" s="28">
        <v>649</v>
      </c>
      <c r="AH757" s="22" t="s">
        <v>64</v>
      </c>
      <c r="AI757" s="63">
        <v>45703</v>
      </c>
      <c r="AJ757" s="63">
        <v>46433</v>
      </c>
      <c r="AK7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7" s="30"/>
      <c r="AN757" s="20" t="s">
        <v>65</v>
      </c>
      <c r="AP757" s="20" t="s">
        <v>84</v>
      </c>
    </row>
    <row r="758" spans="1:43" ht="16">
      <c r="A758" s="20">
        <v>6181476217</v>
      </c>
      <c r="B758" s="49">
        <v>620034</v>
      </c>
      <c r="C758" s="20" t="s">
        <v>3594</v>
      </c>
      <c r="D758" s="20" t="s">
        <v>1807</v>
      </c>
      <c r="E758" s="20" t="s">
        <v>216</v>
      </c>
      <c r="F758" s="20" t="s">
        <v>70</v>
      </c>
      <c r="G758" s="20" t="s">
        <v>70</v>
      </c>
      <c r="H758" s="20" t="s">
        <v>48</v>
      </c>
      <c r="I758" s="20" t="s">
        <v>70</v>
      </c>
      <c r="J758" s="22" t="s">
        <v>3595</v>
      </c>
      <c r="K758" s="22" t="s">
        <v>3595</v>
      </c>
      <c r="L758" s="23" t="s">
        <v>3562</v>
      </c>
      <c r="M758" s="24" t="s">
        <v>7744</v>
      </c>
      <c r="N758" s="23">
        <v>18733000</v>
      </c>
      <c r="O758" s="25" t="s">
        <v>362</v>
      </c>
      <c r="P758" s="25" t="s">
        <v>53</v>
      </c>
      <c r="Q758" s="20" t="s">
        <v>3596</v>
      </c>
      <c r="R758" s="20">
        <v>31763945</v>
      </c>
      <c r="S758" s="25" t="s">
        <v>55</v>
      </c>
      <c r="T758" s="26" t="s">
        <v>56</v>
      </c>
      <c r="U758" s="23">
        <v>357654179753226</v>
      </c>
      <c r="V758" s="27" t="s">
        <v>78</v>
      </c>
      <c r="W758" s="20" t="s">
        <v>95</v>
      </c>
      <c r="X758" s="20" t="s">
        <v>95</v>
      </c>
      <c r="Y758" s="20" t="s">
        <v>95</v>
      </c>
      <c r="Z758" s="20" t="s">
        <v>60</v>
      </c>
      <c r="AA758" s="20" t="s">
        <v>61</v>
      </c>
      <c r="AB758" s="20" t="s">
        <v>82</v>
      </c>
      <c r="AC758" s="28">
        <v>559.48</v>
      </c>
      <c r="AD758" s="28">
        <f>SUM(BASE[[#This Row],[MONTO DE RENTA ]]*1.16)</f>
        <v>648.99680000000001</v>
      </c>
      <c r="AE758" s="28" t="s">
        <v>83</v>
      </c>
      <c r="AF758" s="28">
        <v>559.48275862068965</v>
      </c>
      <c r="AG758" s="28">
        <v>649</v>
      </c>
      <c r="AI758" s="63">
        <v>44937</v>
      </c>
      <c r="AJ758" s="73">
        <v>46043</v>
      </c>
      <c r="AK7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58" s="30"/>
      <c r="AN758" s="20" t="s">
        <v>99</v>
      </c>
      <c r="AP758" s="20" t="s">
        <v>84</v>
      </c>
      <c r="AQ758" s="20" t="s">
        <v>100</v>
      </c>
    </row>
    <row r="759" spans="1:43" ht="16">
      <c r="A759" s="20">
        <v>8991391164</v>
      </c>
      <c r="B759" s="21">
        <v>1011196</v>
      </c>
      <c r="C759" s="20" t="s">
        <v>3597</v>
      </c>
      <c r="D759" s="20" t="s">
        <v>405</v>
      </c>
      <c r="E759" s="20" t="s">
        <v>598</v>
      </c>
      <c r="F759" s="20" t="s">
        <v>418</v>
      </c>
      <c r="G759" s="20" t="s">
        <v>47</v>
      </c>
      <c r="H759" s="20" t="s">
        <v>48</v>
      </c>
      <c r="I759" s="20" t="s">
        <v>418</v>
      </c>
      <c r="J759" s="22" t="s">
        <v>3598</v>
      </c>
      <c r="K759" s="22" t="s">
        <v>3598</v>
      </c>
      <c r="L759" s="23" t="s">
        <v>3553</v>
      </c>
      <c r="M759" s="24" t="s">
        <v>7739</v>
      </c>
      <c r="N759" s="23">
        <v>18734000</v>
      </c>
      <c r="O759" s="25" t="s">
        <v>74</v>
      </c>
      <c r="P759" s="25" t="s">
        <v>53</v>
      </c>
      <c r="Q759" s="20" t="s">
        <v>3599</v>
      </c>
      <c r="R759" s="20">
        <v>43090207</v>
      </c>
      <c r="S759" s="25" t="s">
        <v>3600</v>
      </c>
      <c r="T759" s="26" t="s">
        <v>57</v>
      </c>
      <c r="U759" s="23">
        <v>860900062331467</v>
      </c>
      <c r="V759" s="27" t="s">
        <v>57</v>
      </c>
      <c r="W759" s="20" t="s">
        <v>58</v>
      </c>
      <c r="X759" s="20" t="s">
        <v>59</v>
      </c>
      <c r="Y759" s="20" t="s">
        <v>59</v>
      </c>
      <c r="Z759" s="20" t="s">
        <v>167</v>
      </c>
      <c r="AA759" s="20" t="s">
        <v>168</v>
      </c>
      <c r="AB759" s="20" t="s">
        <v>96</v>
      </c>
      <c r="AC759" s="28">
        <v>369.83</v>
      </c>
      <c r="AD759" s="28">
        <f>SUM(BASE[[#This Row],[MONTO DE RENTA ]]*1.16)</f>
        <v>429.00279999999998</v>
      </c>
      <c r="AE759" s="28" t="s">
        <v>63</v>
      </c>
      <c r="AF759" s="28">
        <v>369.82758620689657</v>
      </c>
      <c r="AG759" s="28">
        <v>429</v>
      </c>
      <c r="AH759" s="22" t="s">
        <v>64</v>
      </c>
      <c r="AI759" s="29">
        <v>45713</v>
      </c>
      <c r="AJ759" s="29">
        <v>46433</v>
      </c>
      <c r="AK7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59" s="30"/>
      <c r="AN759" s="20" t="s">
        <v>65</v>
      </c>
      <c r="AP759" s="20" t="s">
        <v>84</v>
      </c>
    </row>
    <row r="760" spans="1:43" ht="16">
      <c r="A760" s="20">
        <v>8993056602</v>
      </c>
      <c r="B760" s="21">
        <v>1008174</v>
      </c>
      <c r="C760" s="20" t="s">
        <v>3601</v>
      </c>
      <c r="D760" s="20" t="s">
        <v>477</v>
      </c>
      <c r="E760" s="20" t="s">
        <v>657</v>
      </c>
      <c r="F760" s="20" t="s">
        <v>451</v>
      </c>
      <c r="G760" s="20" t="s">
        <v>248</v>
      </c>
      <c r="H760" s="20" t="s">
        <v>48</v>
      </c>
      <c r="I760" s="20" t="s">
        <v>451</v>
      </c>
      <c r="J760" s="22" t="s">
        <v>3602</v>
      </c>
      <c r="K760" s="22" t="s">
        <v>3602</v>
      </c>
      <c r="L760" s="23" t="s">
        <v>3553</v>
      </c>
      <c r="M760" s="24" t="s">
        <v>7739</v>
      </c>
      <c r="N760" s="23">
        <v>18734000</v>
      </c>
      <c r="O760" s="25" t="s">
        <v>74</v>
      </c>
      <c r="P760" s="25" t="s">
        <v>53</v>
      </c>
      <c r="Q760" s="20" t="s">
        <v>3603</v>
      </c>
      <c r="R760" s="20">
        <v>43121160</v>
      </c>
      <c r="S760" s="25" t="s">
        <v>3604</v>
      </c>
      <c r="T760" s="26" t="s">
        <v>57</v>
      </c>
      <c r="U760" s="23">
        <v>860900062337076</v>
      </c>
      <c r="V760" s="27" t="s">
        <v>57</v>
      </c>
      <c r="W760" s="20" t="s">
        <v>58</v>
      </c>
      <c r="X760" s="20" t="s">
        <v>59</v>
      </c>
      <c r="Y760" s="20" t="s">
        <v>59</v>
      </c>
      <c r="Z760" s="20" t="s">
        <v>167</v>
      </c>
      <c r="AA760" s="20" t="s">
        <v>168</v>
      </c>
      <c r="AB760" s="20" t="s">
        <v>96</v>
      </c>
      <c r="AC760" s="28">
        <v>369.83</v>
      </c>
      <c r="AD760" s="28">
        <f>SUM(BASE[[#This Row],[MONTO DE RENTA ]]*1.16)</f>
        <v>429.00279999999998</v>
      </c>
      <c r="AE760" s="28" t="s">
        <v>63</v>
      </c>
      <c r="AF760" s="28">
        <v>369.82758620689657</v>
      </c>
      <c r="AG760" s="28">
        <v>429</v>
      </c>
      <c r="AH760" s="22" t="s">
        <v>64</v>
      </c>
      <c r="AI760" s="63">
        <v>45713</v>
      </c>
      <c r="AJ760" s="63">
        <v>46433</v>
      </c>
      <c r="AK7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0" s="30"/>
      <c r="AN760" s="20" t="s">
        <v>65</v>
      </c>
      <c r="AP760" s="20" t="s">
        <v>84</v>
      </c>
    </row>
    <row r="761" spans="1:43" ht="16">
      <c r="A761" s="20">
        <v>8991533786</v>
      </c>
      <c r="B761" s="21">
        <v>1008792</v>
      </c>
      <c r="C761" s="20" t="s">
        <v>1855</v>
      </c>
      <c r="D761" s="20" t="s">
        <v>3605</v>
      </c>
      <c r="E761" s="20" t="s">
        <v>442</v>
      </c>
      <c r="F761" s="20" t="s">
        <v>257</v>
      </c>
      <c r="G761" s="20" t="s">
        <v>257</v>
      </c>
      <c r="H761" s="20" t="s">
        <v>48</v>
      </c>
      <c r="I761" s="20" t="s">
        <v>257</v>
      </c>
      <c r="J761" s="22" t="s">
        <v>3606</v>
      </c>
      <c r="K761" s="22" t="s">
        <v>3606</v>
      </c>
      <c r="L761" s="23" t="s">
        <v>3553</v>
      </c>
      <c r="M761" s="24" t="s">
        <v>7739</v>
      </c>
      <c r="N761" s="23">
        <v>18734000</v>
      </c>
      <c r="O761" s="25" t="s">
        <v>74</v>
      </c>
      <c r="P761" s="25" t="s">
        <v>53</v>
      </c>
      <c r="Q761" s="20" t="s">
        <v>3607</v>
      </c>
      <c r="R761" s="20">
        <v>43090198</v>
      </c>
      <c r="S761" s="25" t="s">
        <v>3608</v>
      </c>
      <c r="T761" s="26" t="s">
        <v>57</v>
      </c>
      <c r="U761" s="23">
        <v>860478062096596</v>
      </c>
      <c r="V761" s="45" t="s">
        <v>110</v>
      </c>
      <c r="W761" s="20" t="s">
        <v>302</v>
      </c>
      <c r="X761" s="20" t="s">
        <v>303</v>
      </c>
      <c r="Y761" s="20" t="s">
        <v>303</v>
      </c>
      <c r="Z761" s="20" t="s">
        <v>80</v>
      </c>
      <c r="AA761" s="20" t="s">
        <v>81</v>
      </c>
      <c r="AB761" s="20" t="s">
        <v>82</v>
      </c>
      <c r="AC761" s="28">
        <v>559.48</v>
      </c>
      <c r="AD761" s="28">
        <f>SUM(BASE[[#This Row],[MONTO DE RENTA ]]*1.16)</f>
        <v>648.99680000000001</v>
      </c>
      <c r="AE761" s="28" t="s">
        <v>83</v>
      </c>
      <c r="AF761" s="28">
        <v>559.48275862068965</v>
      </c>
      <c r="AG761" s="28">
        <v>649</v>
      </c>
      <c r="AH761" s="22" t="s">
        <v>64</v>
      </c>
      <c r="AI761" s="63">
        <v>45713</v>
      </c>
      <c r="AJ761" s="63">
        <v>46433</v>
      </c>
      <c r="AK7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1" s="30"/>
      <c r="AN761" s="20" t="s">
        <v>65</v>
      </c>
      <c r="AP761" s="20" t="s">
        <v>84</v>
      </c>
    </row>
    <row r="762" spans="1:43" ht="16">
      <c r="A762" s="20">
        <v>8991391278</v>
      </c>
      <c r="B762" s="21">
        <v>340646</v>
      </c>
      <c r="C762" s="20" t="s">
        <v>3609</v>
      </c>
      <c r="D762" s="20" t="s">
        <v>1723</v>
      </c>
      <c r="E762" s="20" t="s">
        <v>3610</v>
      </c>
      <c r="F762" s="20" t="s">
        <v>104</v>
      </c>
      <c r="G762" s="20" t="s">
        <v>104</v>
      </c>
      <c r="H762" s="20" t="s">
        <v>48</v>
      </c>
      <c r="I762" s="20" t="s">
        <v>104</v>
      </c>
      <c r="J762" s="22" t="s">
        <v>3611</v>
      </c>
      <c r="K762" s="22" t="s">
        <v>3611</v>
      </c>
      <c r="L762" s="23" t="s">
        <v>3553</v>
      </c>
      <c r="M762" s="24" t="s">
        <v>7739</v>
      </c>
      <c r="N762" s="23">
        <v>18734000</v>
      </c>
      <c r="O762" s="25" t="s">
        <v>74</v>
      </c>
      <c r="P762" s="25" t="s">
        <v>53</v>
      </c>
      <c r="Q762" s="20" t="s">
        <v>3612</v>
      </c>
      <c r="R762" s="20">
        <v>43090214</v>
      </c>
      <c r="S762" s="25" t="s">
        <v>3613</v>
      </c>
      <c r="T762" s="26" t="s">
        <v>57</v>
      </c>
      <c r="U762" s="23">
        <v>860478063778473</v>
      </c>
      <c r="V762" s="45" t="s">
        <v>110</v>
      </c>
      <c r="W762" s="20" t="s">
        <v>302</v>
      </c>
      <c r="X762" s="20" t="s">
        <v>303</v>
      </c>
      <c r="Y762" s="20" t="s">
        <v>303</v>
      </c>
      <c r="Z762" s="20" t="s">
        <v>80</v>
      </c>
      <c r="AA762" s="20" t="s">
        <v>81</v>
      </c>
      <c r="AB762" s="20" t="s">
        <v>82</v>
      </c>
      <c r="AC762" s="28">
        <v>559.48</v>
      </c>
      <c r="AD762" s="28">
        <f>SUM(BASE[[#This Row],[MONTO DE RENTA ]]*1.16)</f>
        <v>648.99680000000001</v>
      </c>
      <c r="AE762" s="28" t="s">
        <v>83</v>
      </c>
      <c r="AF762" s="28">
        <v>559.48275862068965</v>
      </c>
      <c r="AG762" s="28">
        <v>649</v>
      </c>
      <c r="AH762" s="22" t="s">
        <v>64</v>
      </c>
      <c r="AI762" s="63">
        <v>45713</v>
      </c>
      <c r="AJ762" s="63">
        <v>46433</v>
      </c>
      <c r="AK7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2" s="30"/>
      <c r="AN762" s="20" t="s">
        <v>65</v>
      </c>
      <c r="AP762" s="20" t="s">
        <v>84</v>
      </c>
    </row>
    <row r="763" spans="1:43" ht="16">
      <c r="A763" s="20">
        <v>8998712034</v>
      </c>
      <c r="B763" s="49">
        <v>770349</v>
      </c>
      <c r="C763" s="20" t="s">
        <v>2998</v>
      </c>
      <c r="D763" s="20" t="s">
        <v>186</v>
      </c>
      <c r="E763" s="20" t="s">
        <v>3551</v>
      </c>
      <c r="F763" s="20" t="s">
        <v>104</v>
      </c>
      <c r="G763" s="20" t="s">
        <v>122</v>
      </c>
      <c r="H763" s="20" t="s">
        <v>48</v>
      </c>
      <c r="I763" s="20" t="s">
        <v>104</v>
      </c>
      <c r="J763" s="54" t="s">
        <v>3614</v>
      </c>
      <c r="K763" s="54" t="s">
        <v>3614</v>
      </c>
      <c r="L763" s="23" t="s">
        <v>3553</v>
      </c>
      <c r="M763" s="24" t="s">
        <v>7739</v>
      </c>
      <c r="N763" s="23">
        <v>18734000</v>
      </c>
      <c r="O763" s="25" t="s">
        <v>74</v>
      </c>
      <c r="P763" s="25" t="s">
        <v>53</v>
      </c>
      <c r="Q763" s="20" t="s">
        <v>3615</v>
      </c>
      <c r="R763" s="20">
        <v>43539107</v>
      </c>
      <c r="S763" s="25" t="s">
        <v>55</v>
      </c>
      <c r="T763" s="44" t="s">
        <v>56</v>
      </c>
      <c r="U763" s="23">
        <v>860900062238829</v>
      </c>
      <c r="V763" s="27" t="s">
        <v>57</v>
      </c>
      <c r="W763" s="20" t="s">
        <v>58</v>
      </c>
      <c r="X763" s="20" t="s">
        <v>59</v>
      </c>
      <c r="Y763" s="20" t="s">
        <v>59</v>
      </c>
      <c r="Z763" s="20" t="s">
        <v>60</v>
      </c>
      <c r="AA763" s="20" t="s">
        <v>61</v>
      </c>
      <c r="AB763" s="20" t="s">
        <v>96</v>
      </c>
      <c r="AC763" s="28">
        <v>369.83</v>
      </c>
      <c r="AD763" s="28">
        <f>SUM(BASE[[#This Row],[MONTO DE RENTA ]]*1.16)</f>
        <v>429.00279999999998</v>
      </c>
      <c r="AE763" s="28" t="s">
        <v>63</v>
      </c>
      <c r="AF763" s="28">
        <v>369.82758620689657</v>
      </c>
      <c r="AG763" s="28">
        <v>429</v>
      </c>
      <c r="AH763" s="22" t="s">
        <v>253</v>
      </c>
      <c r="AI763" s="63">
        <v>45804</v>
      </c>
      <c r="AJ763" s="63">
        <v>46534</v>
      </c>
      <c r="AK763" s="30">
        <f ca="1">IFERROR(IF(BASE[[#This Row],[FECHA DE RENOVACION ]]&gt;TODAY(), DATEDIF(TODAY(),BASE[[#This Row],[FECHA DE RENOVACION ]],"M"), -DATEDIF(BASE[[#This Row],[FECHA DE RENOVACION ]],TODAY(),"M")), "Sin fecha")</f>
        <v>14</v>
      </c>
      <c r="AM763" s="30" t="s">
        <v>3616</v>
      </c>
      <c r="AN763" s="20" t="s">
        <v>65</v>
      </c>
      <c r="AP763" s="20" t="s">
        <v>84</v>
      </c>
    </row>
    <row r="764" spans="1:43" ht="16">
      <c r="A764" s="20">
        <v>2226079607</v>
      </c>
      <c r="B764" s="59">
        <v>350447</v>
      </c>
      <c r="C764" s="20" t="s">
        <v>2745</v>
      </c>
      <c r="D764" s="20" t="s">
        <v>497</v>
      </c>
      <c r="E764" s="20" t="s">
        <v>477</v>
      </c>
      <c r="F764" s="20" t="s">
        <v>257</v>
      </c>
      <c r="G764" s="20" t="s">
        <v>104</v>
      </c>
      <c r="H764" s="20" t="s">
        <v>48</v>
      </c>
      <c r="I764" s="20" t="s">
        <v>257</v>
      </c>
      <c r="J764" s="22" t="s">
        <v>3617</v>
      </c>
      <c r="K764" s="54" t="s">
        <v>3617</v>
      </c>
      <c r="L764" s="23" t="s">
        <v>3618</v>
      </c>
      <c r="M764" s="24" t="s">
        <v>7753</v>
      </c>
      <c r="N764" s="23">
        <v>18698000</v>
      </c>
      <c r="O764" s="25" t="s">
        <v>828</v>
      </c>
      <c r="P764" s="25" t="s">
        <v>53</v>
      </c>
      <c r="Q764" s="20" t="s">
        <v>3619</v>
      </c>
      <c r="R764" s="20">
        <v>73004457</v>
      </c>
      <c r="S764" s="25" t="s">
        <v>3620</v>
      </c>
      <c r="T764" s="26" t="s">
        <v>57</v>
      </c>
      <c r="U764" s="23">
        <v>860478064969337</v>
      </c>
      <c r="V764" s="45" t="s">
        <v>110</v>
      </c>
      <c r="W764" s="20" t="s">
        <v>302</v>
      </c>
      <c r="X764" s="20" t="s">
        <v>303</v>
      </c>
      <c r="Y764" s="20" t="s">
        <v>303</v>
      </c>
      <c r="Z764" s="20" t="s">
        <v>80</v>
      </c>
      <c r="AA764" s="20" t="s">
        <v>81</v>
      </c>
      <c r="AB764" s="20" t="s">
        <v>82</v>
      </c>
      <c r="AC764" s="28">
        <v>559.48</v>
      </c>
      <c r="AD764" s="28">
        <f>SUM(BASE[[#This Row],[MONTO DE RENTA ]]*1.16)</f>
        <v>648.99680000000001</v>
      </c>
      <c r="AE764" s="28" t="s">
        <v>83</v>
      </c>
      <c r="AF764" s="28">
        <v>559.48275862068965</v>
      </c>
      <c r="AG764" s="28">
        <v>649</v>
      </c>
      <c r="AH764" s="22" t="s">
        <v>64</v>
      </c>
      <c r="AI764" s="63">
        <v>45703</v>
      </c>
      <c r="AJ764" s="63">
        <v>46433</v>
      </c>
      <c r="AK7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4" s="30"/>
      <c r="AN764" s="20" t="s">
        <v>65</v>
      </c>
      <c r="AP764" s="20" t="s">
        <v>84</v>
      </c>
    </row>
    <row r="765" spans="1:43" ht="16">
      <c r="A765" s="20">
        <v>8992911436</v>
      </c>
      <c r="B765" s="49">
        <v>61347</v>
      </c>
      <c r="C765" s="20" t="s">
        <v>2503</v>
      </c>
      <c r="D765" s="20" t="s">
        <v>3621</v>
      </c>
      <c r="E765" s="20" t="s">
        <v>1067</v>
      </c>
      <c r="F765" s="20" t="s">
        <v>70</v>
      </c>
      <c r="G765" s="20" t="s">
        <v>70</v>
      </c>
      <c r="H765" s="20" t="s">
        <v>48</v>
      </c>
      <c r="I765" s="20" t="s">
        <v>70</v>
      </c>
      <c r="J765" s="22" t="s">
        <v>3622</v>
      </c>
      <c r="K765" s="22" t="s">
        <v>3622</v>
      </c>
      <c r="L765" s="23" t="s">
        <v>3553</v>
      </c>
      <c r="M765" s="24" t="s">
        <v>7739</v>
      </c>
      <c r="N765" s="23">
        <v>18734000</v>
      </c>
      <c r="O765" s="25" t="s">
        <v>74</v>
      </c>
      <c r="P765" s="25" t="s">
        <v>53</v>
      </c>
      <c r="Q765" s="20" t="s">
        <v>3623</v>
      </c>
      <c r="R765" s="20">
        <v>42977416</v>
      </c>
      <c r="S765" s="25" t="s">
        <v>55</v>
      </c>
      <c r="T765" s="26" t="s">
        <v>56</v>
      </c>
      <c r="U765" s="23">
        <v>357654179029494</v>
      </c>
      <c r="V765" s="27" t="s">
        <v>78</v>
      </c>
      <c r="W765" s="20" t="s">
        <v>95</v>
      </c>
      <c r="X765" s="20" t="s">
        <v>95</v>
      </c>
      <c r="Y765" s="20" t="s">
        <v>95</v>
      </c>
      <c r="Z765" s="20" t="s">
        <v>60</v>
      </c>
      <c r="AA765" s="20" t="s">
        <v>61</v>
      </c>
      <c r="AB765" s="20" t="s">
        <v>82</v>
      </c>
      <c r="AC765" s="28">
        <v>559.48</v>
      </c>
      <c r="AD765" s="28">
        <f>SUM(BASE[[#This Row],[MONTO DE RENTA ]]*1.16)</f>
        <v>648.99680000000001</v>
      </c>
      <c r="AE765" s="28" t="s">
        <v>83</v>
      </c>
      <c r="AF765" s="28">
        <v>559.48275862068965</v>
      </c>
      <c r="AG765" s="28">
        <v>649</v>
      </c>
      <c r="AI765" s="63">
        <v>44937</v>
      </c>
      <c r="AJ765" s="73">
        <v>46043</v>
      </c>
      <c r="AK7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65" s="30"/>
      <c r="AN765" s="20" t="s">
        <v>99</v>
      </c>
      <c r="AP765" s="20" t="s">
        <v>84</v>
      </c>
      <c r="AQ765" s="20" t="s">
        <v>100</v>
      </c>
    </row>
    <row r="766" spans="1:43" ht="16">
      <c r="A766" s="20">
        <v>2223840598</v>
      </c>
      <c r="B766" s="21">
        <v>1014185</v>
      </c>
      <c r="C766" s="20" t="s">
        <v>831</v>
      </c>
      <c r="D766" s="20" t="s">
        <v>3624</v>
      </c>
      <c r="E766" s="20" t="s">
        <v>797</v>
      </c>
      <c r="F766" s="20" t="s">
        <v>418</v>
      </c>
      <c r="G766" s="20" t="s">
        <v>47</v>
      </c>
      <c r="H766" s="20" t="s">
        <v>48</v>
      </c>
      <c r="I766" s="20" t="s">
        <v>418</v>
      </c>
      <c r="J766" s="22" t="s">
        <v>3625</v>
      </c>
      <c r="K766" s="22" t="s">
        <v>3625</v>
      </c>
      <c r="L766" s="23" t="s">
        <v>3618</v>
      </c>
      <c r="M766" s="24" t="s">
        <v>7753</v>
      </c>
      <c r="N766" s="23">
        <v>18735003</v>
      </c>
      <c r="O766" s="25" t="s">
        <v>828</v>
      </c>
      <c r="P766" s="25" t="s">
        <v>53</v>
      </c>
      <c r="Q766" s="20" t="s">
        <v>3626</v>
      </c>
      <c r="R766" s="20">
        <v>73085075</v>
      </c>
      <c r="S766" s="25" t="s">
        <v>3627</v>
      </c>
      <c r="T766" s="26" t="s">
        <v>57</v>
      </c>
      <c r="U766" s="23">
        <v>860900062321658</v>
      </c>
      <c r="V766" s="27" t="s">
        <v>57</v>
      </c>
      <c r="W766" s="20" t="s">
        <v>58</v>
      </c>
      <c r="X766" s="20" t="s">
        <v>59</v>
      </c>
      <c r="Y766" s="20" t="s">
        <v>59</v>
      </c>
      <c r="Z766" s="20" t="s">
        <v>60</v>
      </c>
      <c r="AA766" s="20" t="s">
        <v>61</v>
      </c>
      <c r="AB766" s="20" t="s">
        <v>96</v>
      </c>
      <c r="AC766" s="28">
        <v>369.83</v>
      </c>
      <c r="AD766" s="28">
        <f>SUM(BASE[[#This Row],[MONTO DE RENTA ]]*1.16)</f>
        <v>429.00279999999998</v>
      </c>
      <c r="AE766" s="28" t="s">
        <v>63</v>
      </c>
      <c r="AF766" s="28">
        <v>369.82758620689657</v>
      </c>
      <c r="AG766" s="28">
        <v>429</v>
      </c>
      <c r="AH766" s="22" t="s">
        <v>64</v>
      </c>
      <c r="AI766" s="63">
        <v>45703</v>
      </c>
      <c r="AJ766" s="63">
        <v>46433</v>
      </c>
      <c r="AK7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6" s="30"/>
      <c r="AN766" s="20" t="s">
        <v>65</v>
      </c>
      <c r="AP766" s="20" t="s">
        <v>84</v>
      </c>
    </row>
    <row r="767" spans="1:43" ht="16">
      <c r="A767" s="20">
        <v>2222504715</v>
      </c>
      <c r="B767" s="21">
        <v>1005577</v>
      </c>
      <c r="C767" s="20" t="s">
        <v>3628</v>
      </c>
      <c r="D767" s="20" t="s">
        <v>172</v>
      </c>
      <c r="E767" s="20" t="s">
        <v>187</v>
      </c>
      <c r="F767" s="20" t="s">
        <v>1568</v>
      </c>
      <c r="G767" s="20" t="s">
        <v>1568</v>
      </c>
      <c r="H767" s="20" t="s">
        <v>48</v>
      </c>
      <c r="I767" s="20" t="s">
        <v>1568</v>
      </c>
      <c r="J767" s="22" t="s">
        <v>3629</v>
      </c>
      <c r="K767" s="22" t="s">
        <v>3629</v>
      </c>
      <c r="L767" s="23" t="s">
        <v>3618</v>
      </c>
      <c r="M767" s="24" t="s">
        <v>7753</v>
      </c>
      <c r="N767" s="23">
        <v>18735003</v>
      </c>
      <c r="O767" s="25" t="s">
        <v>828</v>
      </c>
      <c r="P767" s="25" t="s">
        <v>53</v>
      </c>
      <c r="Q767" s="20" t="s">
        <v>3630</v>
      </c>
      <c r="R767" s="20">
        <v>74038855</v>
      </c>
      <c r="S767" s="25" t="s">
        <v>3631</v>
      </c>
      <c r="T767" s="26" t="s">
        <v>57</v>
      </c>
      <c r="U767" s="23">
        <v>860900062321591</v>
      </c>
      <c r="V767" s="27" t="s">
        <v>57</v>
      </c>
      <c r="W767" s="20" t="s">
        <v>58</v>
      </c>
      <c r="X767" s="20" t="s">
        <v>59</v>
      </c>
      <c r="Y767" s="20" t="s">
        <v>59</v>
      </c>
      <c r="Z767" s="20" t="s">
        <v>60</v>
      </c>
      <c r="AA767" s="20" t="s">
        <v>61</v>
      </c>
      <c r="AB767" s="20" t="s">
        <v>96</v>
      </c>
      <c r="AC767" s="28">
        <v>369.83</v>
      </c>
      <c r="AD767" s="28">
        <f>SUM(BASE[[#This Row],[MONTO DE RENTA ]]*1.16)</f>
        <v>429.00279999999998</v>
      </c>
      <c r="AE767" s="28" t="s">
        <v>63</v>
      </c>
      <c r="AF767" s="28">
        <v>369.82758620689657</v>
      </c>
      <c r="AG767" s="28">
        <v>429</v>
      </c>
      <c r="AH767" s="22" t="s">
        <v>64</v>
      </c>
      <c r="AI767" s="63">
        <v>45703</v>
      </c>
      <c r="AJ767" s="63">
        <v>46433</v>
      </c>
      <c r="AK7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7" s="30"/>
      <c r="AN767" s="20" t="s">
        <v>65</v>
      </c>
      <c r="AP767" s="20" t="s">
        <v>84</v>
      </c>
    </row>
    <row r="768" spans="1:43" ht="16">
      <c r="A768" s="20">
        <v>2225401625</v>
      </c>
      <c r="B768" s="21">
        <v>395054</v>
      </c>
      <c r="C768" s="20" t="s">
        <v>1441</v>
      </c>
      <c r="D768" s="20" t="s">
        <v>3632</v>
      </c>
      <c r="E768" s="20" t="s">
        <v>3633</v>
      </c>
      <c r="F768" s="20" t="s">
        <v>587</v>
      </c>
      <c r="G768" s="20" t="s">
        <v>248</v>
      </c>
      <c r="H768" s="20" t="s">
        <v>48</v>
      </c>
      <c r="I768" s="20" t="s">
        <v>587</v>
      </c>
      <c r="J768" s="22" t="s">
        <v>3634</v>
      </c>
      <c r="K768" s="22" t="s">
        <v>3634</v>
      </c>
      <c r="L768" s="23" t="s">
        <v>3618</v>
      </c>
      <c r="M768" s="24" t="s">
        <v>7753</v>
      </c>
      <c r="N768" s="23">
        <v>18735003</v>
      </c>
      <c r="O768" s="25" t="s">
        <v>828</v>
      </c>
      <c r="P768" s="25" t="s">
        <v>53</v>
      </c>
      <c r="Q768" s="20" t="s">
        <v>3635</v>
      </c>
      <c r="R768" s="20">
        <v>73065650</v>
      </c>
      <c r="S768" s="25" t="s">
        <v>3636</v>
      </c>
      <c r="T768" s="26" t="s">
        <v>57</v>
      </c>
      <c r="U768" s="23">
        <v>860900062321203</v>
      </c>
      <c r="V768" s="27" t="s">
        <v>57</v>
      </c>
      <c r="W768" s="20" t="s">
        <v>58</v>
      </c>
      <c r="X768" s="20" t="s">
        <v>59</v>
      </c>
      <c r="Y768" s="20" t="s">
        <v>59</v>
      </c>
      <c r="Z768" s="20" t="s">
        <v>60</v>
      </c>
      <c r="AA768" s="20" t="s">
        <v>61</v>
      </c>
      <c r="AB768" s="20" t="s">
        <v>96</v>
      </c>
      <c r="AC768" s="28">
        <v>369.83</v>
      </c>
      <c r="AD768" s="28">
        <f>SUM(BASE[[#This Row],[MONTO DE RENTA ]]*1.16)</f>
        <v>429.00279999999998</v>
      </c>
      <c r="AE768" s="28" t="s">
        <v>63</v>
      </c>
      <c r="AF768" s="28">
        <v>369.82758620689657</v>
      </c>
      <c r="AG768" s="28">
        <v>429</v>
      </c>
      <c r="AH768" s="22" t="s">
        <v>64</v>
      </c>
      <c r="AI768" s="63">
        <v>45703</v>
      </c>
      <c r="AJ768" s="63">
        <v>46433</v>
      </c>
      <c r="AK7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8" s="30"/>
      <c r="AN768" s="20" t="s">
        <v>65</v>
      </c>
      <c r="AP768" s="20" t="s">
        <v>84</v>
      </c>
    </row>
    <row r="769" spans="1:43" ht="16">
      <c r="A769" s="20">
        <v>2223161114</v>
      </c>
      <c r="B769" s="21">
        <v>1009012</v>
      </c>
      <c r="C769" s="20" t="s">
        <v>43</v>
      </c>
      <c r="D769" s="20" t="s">
        <v>216</v>
      </c>
      <c r="E769" s="20" t="s">
        <v>432</v>
      </c>
      <c r="F769" s="20" t="s">
        <v>257</v>
      </c>
      <c r="G769" s="20" t="s">
        <v>257</v>
      </c>
      <c r="H769" s="20" t="s">
        <v>48</v>
      </c>
      <c r="I769" s="20" t="s">
        <v>257</v>
      </c>
      <c r="J769" s="22" t="s">
        <v>3637</v>
      </c>
      <c r="K769" s="22" t="s">
        <v>3637</v>
      </c>
      <c r="L769" s="23" t="s">
        <v>3618</v>
      </c>
      <c r="M769" s="24" t="s">
        <v>7753</v>
      </c>
      <c r="N769" s="23">
        <v>18735003</v>
      </c>
      <c r="O769" s="25" t="s">
        <v>828</v>
      </c>
      <c r="P769" s="25" t="s">
        <v>53</v>
      </c>
      <c r="Q769" s="20" t="s">
        <v>3638</v>
      </c>
      <c r="R769" s="20">
        <v>73004448</v>
      </c>
      <c r="S769" s="25" t="s">
        <v>3639</v>
      </c>
      <c r="T769" s="26" t="s">
        <v>57</v>
      </c>
      <c r="U769" s="23">
        <v>860478063557687</v>
      </c>
      <c r="V769" s="45" t="s">
        <v>110</v>
      </c>
      <c r="W769" s="20" t="s">
        <v>302</v>
      </c>
      <c r="X769" s="20" t="s">
        <v>303</v>
      </c>
      <c r="Y769" s="20" t="s">
        <v>303</v>
      </c>
      <c r="Z769" s="20" t="s">
        <v>80</v>
      </c>
      <c r="AA769" s="20" t="s">
        <v>81</v>
      </c>
      <c r="AB769" s="20" t="s">
        <v>82</v>
      </c>
      <c r="AC769" s="28">
        <v>559.48</v>
      </c>
      <c r="AD769" s="28">
        <f>SUM(BASE[[#This Row],[MONTO DE RENTA ]]*1.16)</f>
        <v>648.99680000000001</v>
      </c>
      <c r="AE769" s="28" t="s">
        <v>83</v>
      </c>
      <c r="AF769" s="28">
        <v>559.48275862068965</v>
      </c>
      <c r="AG769" s="28">
        <v>649</v>
      </c>
      <c r="AH769" s="22" t="s">
        <v>64</v>
      </c>
      <c r="AI769" s="29">
        <v>45703</v>
      </c>
      <c r="AJ769" s="29">
        <v>46433</v>
      </c>
      <c r="AK7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69" s="30"/>
      <c r="AN769" s="20" t="s">
        <v>65</v>
      </c>
      <c r="AP769" s="20" t="s">
        <v>84</v>
      </c>
    </row>
    <row r="770" spans="1:43" ht="16">
      <c r="A770" s="20">
        <v>2223161034</v>
      </c>
      <c r="B770" s="21">
        <v>350042</v>
      </c>
      <c r="C770" s="20" t="s">
        <v>3640</v>
      </c>
      <c r="D770" s="20" t="s">
        <v>1156</v>
      </c>
      <c r="E770" s="20" t="s">
        <v>627</v>
      </c>
      <c r="F770" s="20" t="s">
        <v>384</v>
      </c>
      <c r="G770" s="20" t="s">
        <v>104</v>
      </c>
      <c r="H770" s="20" t="s">
        <v>48</v>
      </c>
      <c r="I770" s="20" t="s">
        <v>384</v>
      </c>
      <c r="J770" s="22" t="s">
        <v>3641</v>
      </c>
      <c r="K770" s="54" t="s">
        <v>3641</v>
      </c>
      <c r="L770" s="23" t="s">
        <v>3618</v>
      </c>
      <c r="M770" s="24" t="s">
        <v>7753</v>
      </c>
      <c r="N770" s="23">
        <v>18735003</v>
      </c>
      <c r="O770" s="25" t="s">
        <v>828</v>
      </c>
      <c r="P770" s="25" t="s">
        <v>53</v>
      </c>
      <c r="Q770" s="20" t="s">
        <v>3642</v>
      </c>
      <c r="R770" s="20">
        <v>73004444</v>
      </c>
      <c r="S770" s="25" t="s">
        <v>3643</v>
      </c>
      <c r="T770" s="26" t="s">
        <v>57</v>
      </c>
      <c r="U770" s="23">
        <v>860478064854240</v>
      </c>
      <c r="V770" s="27" t="s">
        <v>57</v>
      </c>
      <c r="W770" s="20" t="s">
        <v>302</v>
      </c>
      <c r="X770" s="20" t="s">
        <v>303</v>
      </c>
      <c r="Y770" s="20" t="s">
        <v>303</v>
      </c>
      <c r="Z770" s="20" t="s">
        <v>60</v>
      </c>
      <c r="AA770" s="20" t="s">
        <v>61</v>
      </c>
      <c r="AB770" s="20" t="s">
        <v>96</v>
      </c>
      <c r="AC770" s="28">
        <v>369.83</v>
      </c>
      <c r="AD770" s="28">
        <f>SUM(BASE[[#This Row],[MONTO DE RENTA ]]*1.16)</f>
        <v>429.00279999999998</v>
      </c>
      <c r="AE770" s="28" t="s">
        <v>63</v>
      </c>
      <c r="AF770" s="28">
        <v>369.82758620689657</v>
      </c>
      <c r="AG770" s="28">
        <v>429</v>
      </c>
      <c r="AH770" s="22" t="s">
        <v>64</v>
      </c>
      <c r="AI770" s="63">
        <v>45703</v>
      </c>
      <c r="AJ770" s="63">
        <v>46433</v>
      </c>
      <c r="AK7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0" s="30"/>
      <c r="AN770" s="20" t="s">
        <v>65</v>
      </c>
      <c r="AP770" s="20" t="s">
        <v>84</v>
      </c>
    </row>
    <row r="771" spans="1:43" ht="16">
      <c r="A771" s="20">
        <v>2223161774</v>
      </c>
      <c r="B771" s="21">
        <v>350070</v>
      </c>
      <c r="C771" s="20" t="s">
        <v>3644</v>
      </c>
      <c r="D771" s="20" t="s">
        <v>3645</v>
      </c>
      <c r="E771" s="20" t="s">
        <v>357</v>
      </c>
      <c r="F771" s="20" t="s">
        <v>104</v>
      </c>
      <c r="G771" s="20" t="s">
        <v>104</v>
      </c>
      <c r="H771" s="20" t="s">
        <v>48</v>
      </c>
      <c r="I771" s="20" t="s">
        <v>104</v>
      </c>
      <c r="J771" s="54" t="s">
        <v>3641</v>
      </c>
      <c r="K771" s="54" t="s">
        <v>3641</v>
      </c>
      <c r="L771" s="23" t="s">
        <v>3618</v>
      </c>
      <c r="M771" s="24" t="s">
        <v>7753</v>
      </c>
      <c r="N771" s="23">
        <v>18735003</v>
      </c>
      <c r="O771" s="25" t="s">
        <v>828</v>
      </c>
      <c r="P771" s="25" t="s">
        <v>53</v>
      </c>
      <c r="Q771" s="20" t="s">
        <v>3646</v>
      </c>
      <c r="R771" s="20">
        <v>73004452</v>
      </c>
      <c r="S771" s="25" t="s">
        <v>3647</v>
      </c>
      <c r="T771" s="26" t="s">
        <v>57</v>
      </c>
      <c r="U771" s="23">
        <v>860478064854240</v>
      </c>
      <c r="V771" s="27" t="s">
        <v>57</v>
      </c>
      <c r="W771" s="20" t="s">
        <v>302</v>
      </c>
      <c r="X771" s="20" t="s">
        <v>303</v>
      </c>
      <c r="Y771" s="20" t="s">
        <v>303</v>
      </c>
      <c r="Z771" s="20" t="s">
        <v>80</v>
      </c>
      <c r="AA771" s="20" t="s">
        <v>81</v>
      </c>
      <c r="AB771" s="20" t="s">
        <v>82</v>
      </c>
      <c r="AC771" s="28">
        <v>559.48</v>
      </c>
      <c r="AD771" s="28">
        <f>SUM(BASE[[#This Row],[MONTO DE RENTA ]]*1.16)</f>
        <v>648.99680000000001</v>
      </c>
      <c r="AE771" s="28" t="s">
        <v>83</v>
      </c>
      <c r="AF771" s="28">
        <v>559.48275862068965</v>
      </c>
      <c r="AG771" s="28">
        <v>649</v>
      </c>
      <c r="AH771" s="22" t="s">
        <v>64</v>
      </c>
      <c r="AI771" s="63">
        <v>45703</v>
      </c>
      <c r="AJ771" s="63">
        <v>46433</v>
      </c>
      <c r="AK7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1" s="30"/>
      <c r="AN771" s="20" t="s">
        <v>65</v>
      </c>
      <c r="AP771" s="20" t="s">
        <v>84</v>
      </c>
    </row>
    <row r="772" spans="1:43" ht="16">
      <c r="A772" s="20">
        <v>2224480270</v>
      </c>
      <c r="B772" s="21">
        <v>1006303</v>
      </c>
      <c r="C772" s="20" t="s">
        <v>663</v>
      </c>
      <c r="D772" s="20" t="s">
        <v>1367</v>
      </c>
      <c r="E772" s="20" t="s">
        <v>171</v>
      </c>
      <c r="F772" s="20" t="s">
        <v>104</v>
      </c>
      <c r="G772" s="20" t="s">
        <v>104</v>
      </c>
      <c r="H772" s="20" t="s">
        <v>48</v>
      </c>
      <c r="I772" s="20" t="s">
        <v>104</v>
      </c>
      <c r="J772" s="22" t="s">
        <v>3648</v>
      </c>
      <c r="K772" s="22" t="s">
        <v>3648</v>
      </c>
      <c r="L772" s="23" t="s">
        <v>3618</v>
      </c>
      <c r="M772" s="24" t="s">
        <v>7753</v>
      </c>
      <c r="N772" s="23">
        <v>18735003</v>
      </c>
      <c r="O772" s="25" t="s">
        <v>828</v>
      </c>
      <c r="P772" s="25" t="s">
        <v>53</v>
      </c>
      <c r="Q772" s="20" t="s">
        <v>3649</v>
      </c>
      <c r="R772" s="20">
        <v>73004459</v>
      </c>
      <c r="S772" s="25" t="s">
        <v>3650</v>
      </c>
      <c r="T772" s="26" t="s">
        <v>57</v>
      </c>
      <c r="U772" s="23">
        <v>860478060033229</v>
      </c>
      <c r="V772" s="45" t="s">
        <v>110</v>
      </c>
      <c r="W772" s="20" t="s">
        <v>302</v>
      </c>
      <c r="X772" s="20" t="s">
        <v>303</v>
      </c>
      <c r="Y772" s="20" t="s">
        <v>303</v>
      </c>
      <c r="Z772" s="20" t="s">
        <v>80</v>
      </c>
      <c r="AA772" s="20" t="s">
        <v>81</v>
      </c>
      <c r="AB772" s="20" t="s">
        <v>82</v>
      </c>
      <c r="AC772" s="28">
        <v>559.48</v>
      </c>
      <c r="AD772" s="28">
        <f>SUM(BASE[[#This Row],[MONTO DE RENTA ]]*1.16)</f>
        <v>648.99680000000001</v>
      </c>
      <c r="AE772" s="28" t="s">
        <v>83</v>
      </c>
      <c r="AF772" s="28">
        <v>559.48275862068965</v>
      </c>
      <c r="AG772" s="28">
        <v>649</v>
      </c>
      <c r="AH772" s="22" t="s">
        <v>64</v>
      </c>
      <c r="AI772" s="63">
        <v>45703</v>
      </c>
      <c r="AJ772" s="63">
        <v>46433</v>
      </c>
      <c r="AK7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2" s="30"/>
      <c r="AN772" s="20" t="s">
        <v>65</v>
      </c>
      <c r="AP772" s="20" t="s">
        <v>84</v>
      </c>
    </row>
    <row r="773" spans="1:43" ht="16">
      <c r="A773" s="20">
        <v>7442133693</v>
      </c>
      <c r="B773" s="21">
        <v>570274</v>
      </c>
      <c r="C773" s="20" t="s">
        <v>43</v>
      </c>
      <c r="D773" s="20" t="s">
        <v>3651</v>
      </c>
      <c r="E773" s="20" t="s">
        <v>2333</v>
      </c>
      <c r="F773" s="20" t="s">
        <v>47</v>
      </c>
      <c r="G773" s="20" t="s">
        <v>47</v>
      </c>
      <c r="H773" s="20" t="s">
        <v>48</v>
      </c>
      <c r="I773" s="20" t="s">
        <v>47</v>
      </c>
      <c r="J773" s="22" t="s">
        <v>3652</v>
      </c>
      <c r="K773" s="22" t="s">
        <v>3652</v>
      </c>
      <c r="L773" s="23" t="s">
        <v>3653</v>
      </c>
      <c r="M773" s="24" t="s">
        <v>7742</v>
      </c>
      <c r="N773" s="23">
        <v>18736003</v>
      </c>
      <c r="O773" s="25" t="s">
        <v>828</v>
      </c>
      <c r="P773" s="25" t="s">
        <v>53</v>
      </c>
      <c r="Q773" s="20" t="s">
        <v>3654</v>
      </c>
      <c r="R773" s="20">
        <v>73085107</v>
      </c>
      <c r="S773" s="25" t="s">
        <v>3655</v>
      </c>
      <c r="T773" s="26" t="s">
        <v>57</v>
      </c>
      <c r="U773" s="23">
        <v>860900062256342</v>
      </c>
      <c r="V773" s="27" t="s">
        <v>57</v>
      </c>
      <c r="W773" s="20" t="s">
        <v>58</v>
      </c>
      <c r="X773" s="20" t="s">
        <v>59</v>
      </c>
      <c r="Y773" s="20" t="s">
        <v>59</v>
      </c>
      <c r="Z773" s="20" t="s">
        <v>131</v>
      </c>
      <c r="AA773" s="20" t="s">
        <v>132</v>
      </c>
      <c r="AB773" s="20" t="s">
        <v>96</v>
      </c>
      <c r="AC773" s="28">
        <v>369.83</v>
      </c>
      <c r="AD773" s="28">
        <f>SUM(BASE[[#This Row],[MONTO DE RENTA ]]*1.16)</f>
        <v>429.00279999999998</v>
      </c>
      <c r="AE773" s="28" t="s">
        <v>63</v>
      </c>
      <c r="AF773" s="28">
        <v>369.82758620689657</v>
      </c>
      <c r="AG773" s="28">
        <v>429</v>
      </c>
      <c r="AH773" s="22" t="s">
        <v>64</v>
      </c>
      <c r="AI773" s="63">
        <v>45703</v>
      </c>
      <c r="AJ773" s="63">
        <v>46433</v>
      </c>
      <c r="AK7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3" s="30"/>
      <c r="AN773" s="20" t="s">
        <v>65</v>
      </c>
      <c r="AP773" s="20" t="s">
        <v>84</v>
      </c>
    </row>
    <row r="774" spans="1:43" ht="16">
      <c r="A774" s="20">
        <v>2223161765</v>
      </c>
      <c r="B774" s="21">
        <v>350388</v>
      </c>
      <c r="C774" s="20" t="s">
        <v>3656</v>
      </c>
      <c r="D774" s="20" t="s">
        <v>1736</v>
      </c>
      <c r="E774" s="20" t="s">
        <v>3657</v>
      </c>
      <c r="F774" s="20" t="s">
        <v>122</v>
      </c>
      <c r="G774" s="20" t="s">
        <v>122</v>
      </c>
      <c r="H774" s="20" t="s">
        <v>48</v>
      </c>
      <c r="I774" s="20" t="s">
        <v>122</v>
      </c>
      <c r="J774" s="22" t="s">
        <v>3658</v>
      </c>
      <c r="K774" s="22" t="s">
        <v>3658</v>
      </c>
      <c r="L774" s="23" t="s">
        <v>3618</v>
      </c>
      <c r="M774" s="24" t="s">
        <v>7753</v>
      </c>
      <c r="N774" s="23">
        <v>18735003</v>
      </c>
      <c r="O774" s="25" t="s">
        <v>828</v>
      </c>
      <c r="P774" s="25" t="s">
        <v>53</v>
      </c>
      <c r="Q774" s="20" t="s">
        <v>3659</v>
      </c>
      <c r="R774" s="20">
        <v>73004450</v>
      </c>
      <c r="S774" s="25" t="s">
        <v>3660</v>
      </c>
      <c r="T774" s="26" t="s">
        <v>57</v>
      </c>
      <c r="U774" s="23">
        <v>865356065673519</v>
      </c>
      <c r="V774" s="27" t="s">
        <v>183</v>
      </c>
      <c r="W774" s="20" t="s">
        <v>129</v>
      </c>
      <c r="X774" s="20" t="s">
        <v>130</v>
      </c>
      <c r="Y774" s="20" t="s">
        <v>130</v>
      </c>
      <c r="Z774" s="20" t="s">
        <v>60</v>
      </c>
      <c r="AA774" s="20" t="s">
        <v>61</v>
      </c>
      <c r="AB774" s="20" t="s">
        <v>96</v>
      </c>
      <c r="AC774" s="28">
        <v>369.83</v>
      </c>
      <c r="AD774" s="28">
        <f>SUM(BASE[[#This Row],[MONTO DE RENTA ]]*1.16)</f>
        <v>429.00279999999998</v>
      </c>
      <c r="AE774" s="28" t="s">
        <v>63</v>
      </c>
      <c r="AF774" s="28">
        <v>369.82758620689657</v>
      </c>
      <c r="AG774" s="28">
        <v>429</v>
      </c>
      <c r="AI774" s="63">
        <v>44937</v>
      </c>
      <c r="AJ774" s="84">
        <v>46054</v>
      </c>
      <c r="AK77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74" s="30"/>
      <c r="AN774" s="20" t="s">
        <v>99</v>
      </c>
      <c r="AP774" s="20" t="s">
        <v>84</v>
      </c>
      <c r="AQ774" s="20" t="s">
        <v>100</v>
      </c>
    </row>
    <row r="775" spans="1:43" ht="16">
      <c r="A775" s="20">
        <v>2227183088</v>
      </c>
      <c r="B775" s="49">
        <v>1027334</v>
      </c>
      <c r="C775" s="20" t="s">
        <v>3661</v>
      </c>
      <c r="D775" s="20" t="s">
        <v>598</v>
      </c>
      <c r="E775" s="20" t="s">
        <v>711</v>
      </c>
      <c r="F775" s="20" t="s">
        <v>122</v>
      </c>
      <c r="G775" s="20" t="s">
        <v>122</v>
      </c>
      <c r="H775" s="20" t="s">
        <v>48</v>
      </c>
      <c r="I775" s="20" t="s">
        <v>122</v>
      </c>
      <c r="J775" s="22" t="s">
        <v>3662</v>
      </c>
      <c r="K775" s="22" t="s">
        <v>3662</v>
      </c>
      <c r="L775" s="23" t="s">
        <v>3618</v>
      </c>
      <c r="M775" s="24" t="s">
        <v>7753</v>
      </c>
      <c r="N775" s="23">
        <v>18735003</v>
      </c>
      <c r="O775" s="25" t="s">
        <v>828</v>
      </c>
      <c r="P775" s="25" t="s">
        <v>53</v>
      </c>
      <c r="Q775" s="20" t="s">
        <v>3663</v>
      </c>
      <c r="R775" s="20">
        <v>73493344</v>
      </c>
      <c r="S775" s="25" t="s">
        <v>55</v>
      </c>
      <c r="T775" s="67" t="s">
        <v>56</v>
      </c>
      <c r="U775" s="23">
        <v>865356065673519</v>
      </c>
      <c r="V775" s="27" t="s">
        <v>183</v>
      </c>
      <c r="W775" s="20" t="s">
        <v>129</v>
      </c>
      <c r="X775" s="20" t="s">
        <v>130</v>
      </c>
      <c r="Y775" s="20" t="s">
        <v>130</v>
      </c>
      <c r="Z775" s="20" t="s">
        <v>60</v>
      </c>
      <c r="AA775" s="20" t="s">
        <v>61</v>
      </c>
      <c r="AB775" s="20" t="s">
        <v>96</v>
      </c>
      <c r="AC775" s="28">
        <v>369.83</v>
      </c>
      <c r="AD775" s="28">
        <f>SUM(BASE[[#This Row],[MONTO DE RENTA ]]*1.16)</f>
        <v>429.00279999999998</v>
      </c>
      <c r="AE775" s="28" t="s">
        <v>63</v>
      </c>
      <c r="AF775" s="28">
        <v>369.82758620689657</v>
      </c>
      <c r="AG775" s="28">
        <v>429</v>
      </c>
      <c r="AH775" s="36" t="s">
        <v>64</v>
      </c>
      <c r="AI775" s="84">
        <v>45323</v>
      </c>
      <c r="AJ775" s="84">
        <v>46054</v>
      </c>
      <c r="AK7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75" s="30"/>
      <c r="AN775" s="20" t="s">
        <v>99</v>
      </c>
      <c r="AP775" s="20" t="s">
        <v>84</v>
      </c>
      <c r="AQ775" s="20" t="s">
        <v>100</v>
      </c>
    </row>
    <row r="776" spans="1:43" ht="16">
      <c r="A776" s="20">
        <v>2212700158</v>
      </c>
      <c r="B776" s="49">
        <v>350001</v>
      </c>
      <c r="C776" s="20" t="s">
        <v>3664</v>
      </c>
      <c r="D776" s="20" t="s">
        <v>206</v>
      </c>
      <c r="E776" s="20" t="s">
        <v>187</v>
      </c>
      <c r="F776" s="20" t="s">
        <v>70</v>
      </c>
      <c r="G776" s="20" t="s">
        <v>70</v>
      </c>
      <c r="H776" s="20" t="s">
        <v>48</v>
      </c>
      <c r="I776" s="20" t="s">
        <v>70</v>
      </c>
      <c r="J776" s="22" t="s">
        <v>3665</v>
      </c>
      <c r="K776" s="22" t="s">
        <v>3665</v>
      </c>
      <c r="L776" s="23" t="s">
        <v>3618</v>
      </c>
      <c r="M776" s="24" t="s">
        <v>7753</v>
      </c>
      <c r="N776" s="23">
        <v>18735003</v>
      </c>
      <c r="O776" s="25" t="s">
        <v>828</v>
      </c>
      <c r="P776" s="25" t="s">
        <v>53</v>
      </c>
      <c r="Q776" s="20" t="s">
        <v>3666</v>
      </c>
      <c r="R776" s="20">
        <v>72922705</v>
      </c>
      <c r="S776" s="25" t="s">
        <v>3667</v>
      </c>
      <c r="T776" s="26" t="s">
        <v>77</v>
      </c>
      <c r="U776" s="23">
        <v>358366320470092</v>
      </c>
      <c r="V776" s="27" t="s">
        <v>78</v>
      </c>
      <c r="W776" s="20" t="s">
        <v>79</v>
      </c>
      <c r="X776" s="20" t="s">
        <v>79</v>
      </c>
      <c r="Y776" s="20" t="s">
        <v>79</v>
      </c>
      <c r="Z776" s="20" t="s">
        <v>60</v>
      </c>
      <c r="AA776" s="20" t="s">
        <v>61</v>
      </c>
      <c r="AB776" s="20" t="s">
        <v>82</v>
      </c>
      <c r="AC776" s="28">
        <v>559.48</v>
      </c>
      <c r="AD776" s="28">
        <f>SUM(BASE[[#This Row],[MONTO DE RENTA ]]*1.16)</f>
        <v>648.99680000000001</v>
      </c>
      <c r="AE776" s="28" t="s">
        <v>83</v>
      </c>
      <c r="AF776" s="28">
        <v>559.48275862068965</v>
      </c>
      <c r="AG776" s="28">
        <v>649</v>
      </c>
      <c r="AH776" s="22" t="s">
        <v>140</v>
      </c>
      <c r="AI776" s="63">
        <v>45714</v>
      </c>
      <c r="AJ776" s="63">
        <v>46444</v>
      </c>
      <c r="AK7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776" s="20">
        <v>18735003</v>
      </c>
      <c r="AM776" s="30" t="s">
        <v>3668</v>
      </c>
      <c r="AN776" s="20" t="s">
        <v>65</v>
      </c>
      <c r="AP776" s="20" t="s">
        <v>84</v>
      </c>
    </row>
    <row r="777" spans="1:43" ht="16">
      <c r="A777" s="20">
        <v>4423724086</v>
      </c>
      <c r="B777" s="21">
        <v>1041900</v>
      </c>
      <c r="C777" s="20" t="s">
        <v>3669</v>
      </c>
      <c r="D777" s="20" t="s">
        <v>1524</v>
      </c>
      <c r="E777" s="20" t="s">
        <v>1156</v>
      </c>
      <c r="F777" s="20" t="s">
        <v>104</v>
      </c>
      <c r="G777" s="20" t="s">
        <v>257</v>
      </c>
      <c r="H777" s="20" t="s">
        <v>48</v>
      </c>
      <c r="I777" s="20" t="s">
        <v>104</v>
      </c>
      <c r="J777" s="22" t="s">
        <v>3670</v>
      </c>
      <c r="K777" s="22" t="s">
        <v>3670</v>
      </c>
      <c r="L777" s="23" t="s">
        <v>3671</v>
      </c>
      <c r="M777" s="24" t="s">
        <v>7742</v>
      </c>
      <c r="N777" s="23">
        <v>18738003</v>
      </c>
      <c r="O777" s="25" t="s">
        <v>93</v>
      </c>
      <c r="P777" s="25" t="s">
        <v>53</v>
      </c>
      <c r="Q777" s="20" t="s">
        <v>3672</v>
      </c>
      <c r="R777" s="20">
        <v>62123211</v>
      </c>
      <c r="S777" s="25" t="s">
        <v>3673</v>
      </c>
      <c r="T777" s="26" t="s">
        <v>57</v>
      </c>
      <c r="U777" s="23">
        <v>860478063794512</v>
      </c>
      <c r="V777" s="45" t="s">
        <v>110</v>
      </c>
      <c r="W777" s="20" t="s">
        <v>302</v>
      </c>
      <c r="X777" s="20" t="s">
        <v>303</v>
      </c>
      <c r="Y777" s="20" t="s">
        <v>303</v>
      </c>
      <c r="Z777" s="20" t="s">
        <v>131</v>
      </c>
      <c r="AA777" s="20" t="s">
        <v>132</v>
      </c>
      <c r="AB777" s="20" t="s">
        <v>82</v>
      </c>
      <c r="AC777" s="28">
        <v>559.48</v>
      </c>
      <c r="AD777" s="28">
        <f>SUM(BASE[[#This Row],[MONTO DE RENTA ]]*1.16)</f>
        <v>648.99680000000001</v>
      </c>
      <c r="AE777" s="28" t="s">
        <v>83</v>
      </c>
      <c r="AF777" s="28">
        <v>559.48275862068965</v>
      </c>
      <c r="AG777" s="28">
        <v>649</v>
      </c>
      <c r="AH777" s="22" t="s">
        <v>64</v>
      </c>
      <c r="AI777" s="63">
        <v>45703</v>
      </c>
      <c r="AJ777" s="63">
        <v>46433</v>
      </c>
      <c r="AK7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7" s="30"/>
      <c r="AN777" s="20" t="s">
        <v>65</v>
      </c>
      <c r="AP777" s="20" t="s">
        <v>84</v>
      </c>
    </row>
    <row r="778" spans="1:43" ht="16">
      <c r="A778" s="20">
        <v>7441958576</v>
      </c>
      <c r="B778" s="21">
        <v>360360</v>
      </c>
      <c r="C778" s="20" t="s">
        <v>1637</v>
      </c>
      <c r="D778" s="20" t="s">
        <v>3674</v>
      </c>
      <c r="E778" s="20" t="s">
        <v>1330</v>
      </c>
      <c r="F778" s="20" t="s">
        <v>248</v>
      </c>
      <c r="G778" s="20" t="s">
        <v>248</v>
      </c>
      <c r="H778" s="20" t="s">
        <v>48</v>
      </c>
      <c r="I778" s="20" t="s">
        <v>248</v>
      </c>
      <c r="J778" s="22" t="s">
        <v>3675</v>
      </c>
      <c r="K778" s="22" t="s">
        <v>3675</v>
      </c>
      <c r="L778" s="23" t="s">
        <v>3653</v>
      </c>
      <c r="M778" s="24" t="s">
        <v>7742</v>
      </c>
      <c r="N778" s="23">
        <v>18736003</v>
      </c>
      <c r="O778" s="25" t="s">
        <v>828</v>
      </c>
      <c r="P778" s="25" t="s">
        <v>53</v>
      </c>
      <c r="Q778" s="20" t="s">
        <v>3676</v>
      </c>
      <c r="R778" s="20">
        <v>73065659</v>
      </c>
      <c r="S778" s="25" t="s">
        <v>3184</v>
      </c>
      <c r="T778" s="26" t="s">
        <v>57</v>
      </c>
      <c r="U778" s="23">
        <v>860900062255534</v>
      </c>
      <c r="V778" s="27" t="s">
        <v>57</v>
      </c>
      <c r="W778" s="20" t="s">
        <v>58</v>
      </c>
      <c r="X778" s="20" t="s">
        <v>59</v>
      </c>
      <c r="Y778" s="20" t="s">
        <v>59</v>
      </c>
      <c r="Z778" s="20" t="s">
        <v>131</v>
      </c>
      <c r="AA778" s="20" t="s">
        <v>132</v>
      </c>
      <c r="AB778" s="20" t="s">
        <v>96</v>
      </c>
      <c r="AC778" s="28">
        <v>369.83</v>
      </c>
      <c r="AD778" s="28">
        <f>SUM(BASE[[#This Row],[MONTO DE RENTA ]]*1.16)</f>
        <v>429.00279999999998</v>
      </c>
      <c r="AE778" s="28" t="s">
        <v>63</v>
      </c>
      <c r="AF778" s="28">
        <v>369.82758620689657</v>
      </c>
      <c r="AG778" s="28">
        <v>429</v>
      </c>
      <c r="AH778" s="22" t="s">
        <v>140</v>
      </c>
      <c r="AI778" s="63">
        <v>45910</v>
      </c>
      <c r="AJ778" s="63">
        <v>46640</v>
      </c>
      <c r="AK778" s="30">
        <f ca="1">IFERROR(IF(BASE[[#This Row],[FECHA DE RENOVACION ]]&gt;TODAY(), DATEDIF(TODAY(),BASE[[#This Row],[FECHA DE RENOVACION ]],"M"), -DATEDIF(BASE[[#This Row],[FECHA DE RENOVACION ]],TODAY(),"M")), "Sin fecha")</f>
        <v>18</v>
      </c>
      <c r="AM778" s="30"/>
      <c r="AN778" s="20" t="s">
        <v>65</v>
      </c>
      <c r="AP778" s="20" t="s">
        <v>84</v>
      </c>
    </row>
    <row r="779" spans="1:43" ht="16">
      <c r="A779" s="20">
        <v>7442133356</v>
      </c>
      <c r="B779" s="21">
        <v>1060059</v>
      </c>
      <c r="C779" s="20" t="s">
        <v>3677</v>
      </c>
      <c r="D779" s="20" t="s">
        <v>1000</v>
      </c>
      <c r="E779" s="20" t="s">
        <v>3678</v>
      </c>
      <c r="F779" s="20" t="s">
        <v>257</v>
      </c>
      <c r="G779" s="20" t="s">
        <v>257</v>
      </c>
      <c r="H779" s="20" t="s">
        <v>48</v>
      </c>
      <c r="I779" s="20" t="s">
        <v>257</v>
      </c>
      <c r="J779" s="22" t="s">
        <v>3679</v>
      </c>
      <c r="K779" s="22" t="s">
        <v>3679</v>
      </c>
      <c r="L779" s="23" t="s">
        <v>3653</v>
      </c>
      <c r="M779" s="24" t="s">
        <v>7742</v>
      </c>
      <c r="N779" s="23">
        <v>18736003</v>
      </c>
      <c r="O779" s="25" t="s">
        <v>828</v>
      </c>
      <c r="P779" s="25" t="s">
        <v>53</v>
      </c>
      <c r="Q779" s="20" t="s">
        <v>3680</v>
      </c>
      <c r="R779" s="20">
        <v>73076076</v>
      </c>
      <c r="S779" s="25" t="s">
        <v>3681</v>
      </c>
      <c r="T779" s="26" t="s">
        <v>57</v>
      </c>
      <c r="U779" s="23">
        <v>860478060664528</v>
      </c>
      <c r="V779" s="45" t="s">
        <v>110</v>
      </c>
      <c r="W779" s="20" t="s">
        <v>302</v>
      </c>
      <c r="X779" s="20" t="s">
        <v>303</v>
      </c>
      <c r="Y779" s="20" t="s">
        <v>303</v>
      </c>
      <c r="Z779" s="20" t="s">
        <v>131</v>
      </c>
      <c r="AA779" s="20" t="s">
        <v>132</v>
      </c>
      <c r="AB779" s="20" t="s">
        <v>82</v>
      </c>
      <c r="AC779" s="28">
        <v>559.48</v>
      </c>
      <c r="AD779" s="28">
        <f>SUM(BASE[[#This Row],[MONTO DE RENTA ]]*1.16)</f>
        <v>648.99680000000001</v>
      </c>
      <c r="AE779" s="28" t="s">
        <v>83</v>
      </c>
      <c r="AF779" s="28">
        <v>559.48275862068965</v>
      </c>
      <c r="AG779" s="28">
        <v>649</v>
      </c>
      <c r="AH779" s="22" t="s">
        <v>64</v>
      </c>
      <c r="AI779" s="63">
        <v>45703</v>
      </c>
      <c r="AJ779" s="63">
        <v>46433</v>
      </c>
      <c r="AK7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79" s="30"/>
      <c r="AN779" s="20" t="s">
        <v>65</v>
      </c>
      <c r="AP779" s="20" t="s">
        <v>84</v>
      </c>
    </row>
    <row r="780" spans="1:43" ht="16">
      <c r="A780" s="20">
        <v>7442133357</v>
      </c>
      <c r="B780" s="21">
        <v>1035483</v>
      </c>
      <c r="C780" s="20" t="s">
        <v>3682</v>
      </c>
      <c r="D780" s="20" t="s">
        <v>324</v>
      </c>
      <c r="E780" s="20" t="s">
        <v>2973</v>
      </c>
      <c r="F780" s="20" t="s">
        <v>104</v>
      </c>
      <c r="G780" s="20" t="s">
        <v>104</v>
      </c>
      <c r="H780" s="20" t="s">
        <v>48</v>
      </c>
      <c r="I780" s="20" t="s">
        <v>104</v>
      </c>
      <c r="J780" s="32" t="s">
        <v>3683</v>
      </c>
      <c r="K780" s="32" t="s">
        <v>3683</v>
      </c>
      <c r="L780" s="23" t="s">
        <v>3653</v>
      </c>
      <c r="M780" s="24" t="s">
        <v>7742</v>
      </c>
      <c r="N780" s="23">
        <v>18736003</v>
      </c>
      <c r="O780" s="25" t="s">
        <v>828</v>
      </c>
      <c r="P780" s="25" t="s">
        <v>53</v>
      </c>
      <c r="Q780" s="20" t="s">
        <v>3684</v>
      </c>
      <c r="R780" s="20">
        <v>73076080</v>
      </c>
      <c r="S780" s="25" t="s">
        <v>3685</v>
      </c>
      <c r="T780" s="26" t="s">
        <v>57</v>
      </c>
      <c r="U780" s="23">
        <v>860478060690531</v>
      </c>
      <c r="V780" s="45" t="s">
        <v>110</v>
      </c>
      <c r="W780" s="20" t="s">
        <v>302</v>
      </c>
      <c r="X780" s="20" t="s">
        <v>303</v>
      </c>
      <c r="Y780" s="20" t="s">
        <v>303</v>
      </c>
      <c r="Z780" s="20" t="s">
        <v>131</v>
      </c>
      <c r="AA780" s="20" t="s">
        <v>132</v>
      </c>
      <c r="AB780" s="20" t="s">
        <v>82</v>
      </c>
      <c r="AC780" s="28">
        <v>559.48</v>
      </c>
      <c r="AD780" s="28">
        <f>SUM(BASE[[#This Row],[MONTO DE RENTA ]]*1.16)</f>
        <v>648.99680000000001</v>
      </c>
      <c r="AE780" s="28" t="s">
        <v>83</v>
      </c>
      <c r="AF780" s="28">
        <v>559.48275862068965</v>
      </c>
      <c r="AG780" s="28">
        <v>649</v>
      </c>
      <c r="AH780" s="22" t="s">
        <v>64</v>
      </c>
      <c r="AI780" s="63">
        <v>45703</v>
      </c>
      <c r="AJ780" s="63">
        <v>46433</v>
      </c>
      <c r="AK7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0" s="30"/>
      <c r="AN780" s="20" t="s">
        <v>65</v>
      </c>
      <c r="AP780" s="20" t="s">
        <v>84</v>
      </c>
    </row>
    <row r="781" spans="1:43" ht="16">
      <c r="A781" s="20">
        <v>7442133348</v>
      </c>
      <c r="B781" s="21">
        <v>360040</v>
      </c>
      <c r="C781" s="20" t="s">
        <v>3088</v>
      </c>
      <c r="D781" s="20" t="s">
        <v>376</v>
      </c>
      <c r="E781" s="20" t="s">
        <v>3686</v>
      </c>
      <c r="F781" s="20" t="s">
        <v>104</v>
      </c>
      <c r="G781" s="20" t="s">
        <v>104</v>
      </c>
      <c r="H781" s="20" t="s">
        <v>48</v>
      </c>
      <c r="I781" s="20" t="s">
        <v>104</v>
      </c>
      <c r="J781" s="32" t="s">
        <v>3687</v>
      </c>
      <c r="K781" s="32" t="s">
        <v>3687</v>
      </c>
      <c r="L781" s="23" t="s">
        <v>3653</v>
      </c>
      <c r="M781" s="24" t="s">
        <v>7742</v>
      </c>
      <c r="N781" s="23">
        <v>18736003</v>
      </c>
      <c r="O781" s="25" t="s">
        <v>828</v>
      </c>
      <c r="P781" s="25" t="s">
        <v>53</v>
      </c>
      <c r="Q781" s="20" t="s">
        <v>3688</v>
      </c>
      <c r="R781" s="20">
        <v>73076073</v>
      </c>
      <c r="S781" s="25" t="s">
        <v>3689</v>
      </c>
      <c r="T781" s="26" t="s">
        <v>57</v>
      </c>
      <c r="U781" s="23">
        <v>860478062378747</v>
      </c>
      <c r="V781" s="45" t="s">
        <v>110</v>
      </c>
      <c r="W781" s="20" t="s">
        <v>302</v>
      </c>
      <c r="X781" s="20" t="s">
        <v>303</v>
      </c>
      <c r="Y781" s="20" t="s">
        <v>303</v>
      </c>
      <c r="Z781" s="20" t="s">
        <v>131</v>
      </c>
      <c r="AA781" s="20" t="s">
        <v>132</v>
      </c>
      <c r="AB781" s="20" t="s">
        <v>82</v>
      </c>
      <c r="AC781" s="28">
        <v>559.48</v>
      </c>
      <c r="AD781" s="28">
        <f>SUM(BASE[[#This Row],[MONTO DE RENTA ]]*1.16)</f>
        <v>648.99680000000001</v>
      </c>
      <c r="AE781" s="28" t="s">
        <v>83</v>
      </c>
      <c r="AF781" s="28">
        <v>559.48275862068965</v>
      </c>
      <c r="AG781" s="28">
        <v>649</v>
      </c>
      <c r="AH781" s="22" t="s">
        <v>64</v>
      </c>
      <c r="AI781" s="63">
        <v>45703</v>
      </c>
      <c r="AJ781" s="63">
        <v>46433</v>
      </c>
      <c r="AK7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1" s="30"/>
      <c r="AN781" s="20" t="s">
        <v>65</v>
      </c>
      <c r="AP781" s="20" t="s">
        <v>84</v>
      </c>
    </row>
    <row r="782" spans="1:43" ht="16">
      <c r="A782" s="20">
        <v>7443261593</v>
      </c>
      <c r="B782" s="21">
        <v>1005388</v>
      </c>
      <c r="C782" s="20" t="s">
        <v>3690</v>
      </c>
      <c r="D782" s="20" t="s">
        <v>627</v>
      </c>
      <c r="E782" s="20" t="s">
        <v>1432</v>
      </c>
      <c r="F782" s="20" t="s">
        <v>122</v>
      </c>
      <c r="G782" s="20" t="s">
        <v>122</v>
      </c>
      <c r="H782" s="20" t="s">
        <v>48</v>
      </c>
      <c r="I782" s="20" t="s">
        <v>122</v>
      </c>
      <c r="J782" s="32" t="s">
        <v>3691</v>
      </c>
      <c r="K782" s="32" t="s">
        <v>3691</v>
      </c>
      <c r="L782" s="23" t="s">
        <v>3653</v>
      </c>
      <c r="M782" s="24" t="s">
        <v>7742</v>
      </c>
      <c r="N782" s="23">
        <v>18736003</v>
      </c>
      <c r="O782" s="25" t="s">
        <v>828</v>
      </c>
      <c r="P782" s="25" t="s">
        <v>53</v>
      </c>
      <c r="Q782" s="20" t="s">
        <v>3692</v>
      </c>
      <c r="R782" s="20">
        <v>73220930</v>
      </c>
      <c r="S782" s="25" t="s">
        <v>3693</v>
      </c>
      <c r="T782" s="26" t="s">
        <v>57</v>
      </c>
      <c r="U782" s="23">
        <v>860900062266333</v>
      </c>
      <c r="V782" s="27" t="s">
        <v>57</v>
      </c>
      <c r="W782" s="20" t="s">
        <v>58</v>
      </c>
      <c r="X782" s="20" t="s">
        <v>59</v>
      </c>
      <c r="Y782" s="20" t="s">
        <v>59</v>
      </c>
      <c r="Z782" s="20" t="s">
        <v>131</v>
      </c>
      <c r="AA782" s="20" t="s">
        <v>132</v>
      </c>
      <c r="AB782" s="20" t="s">
        <v>96</v>
      </c>
      <c r="AC782" s="28">
        <v>369.83</v>
      </c>
      <c r="AD782" s="28">
        <f>SUM(BASE[[#This Row],[MONTO DE RENTA ]]*1.16)</f>
        <v>429.00279999999998</v>
      </c>
      <c r="AE782" s="28" t="s">
        <v>63</v>
      </c>
      <c r="AF782" s="28">
        <v>369.82758620689657</v>
      </c>
      <c r="AG782" s="28">
        <v>429</v>
      </c>
      <c r="AH782" s="22" t="s">
        <v>64</v>
      </c>
      <c r="AI782" s="63">
        <v>45703</v>
      </c>
      <c r="AJ782" s="63">
        <v>46433</v>
      </c>
      <c r="AK7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2" s="30"/>
      <c r="AN782" s="20" t="s">
        <v>65</v>
      </c>
      <c r="AP782" s="20" t="s">
        <v>84</v>
      </c>
    </row>
    <row r="783" spans="1:43" ht="16">
      <c r="A783" s="20">
        <v>7442128119</v>
      </c>
      <c r="B783" s="86">
        <v>360083</v>
      </c>
      <c r="C783" s="20" t="s">
        <v>742</v>
      </c>
      <c r="D783" s="20" t="s">
        <v>3694</v>
      </c>
      <c r="E783" s="20" t="s">
        <v>437</v>
      </c>
      <c r="F783" s="20" t="s">
        <v>70</v>
      </c>
      <c r="G783" s="20" t="s">
        <v>70</v>
      </c>
      <c r="H783" s="20" t="s">
        <v>48</v>
      </c>
      <c r="I783" s="20" t="s">
        <v>70</v>
      </c>
      <c r="J783" s="22" t="s">
        <v>3695</v>
      </c>
      <c r="K783" s="22" t="s">
        <v>3695</v>
      </c>
      <c r="L783" s="23" t="s">
        <v>3653</v>
      </c>
      <c r="M783" s="24" t="s">
        <v>7742</v>
      </c>
      <c r="N783" s="23">
        <v>18736003</v>
      </c>
      <c r="O783" s="25" t="s">
        <v>828</v>
      </c>
      <c r="P783" s="25" t="s">
        <v>53</v>
      </c>
      <c r="Q783" s="20" t="s">
        <v>3696</v>
      </c>
      <c r="R783" s="20">
        <v>72922671</v>
      </c>
      <c r="S783" s="25" t="s">
        <v>55</v>
      </c>
      <c r="T783" s="26" t="s">
        <v>56</v>
      </c>
      <c r="U783" s="23">
        <v>357654177823161</v>
      </c>
      <c r="V783" s="27" t="s">
        <v>78</v>
      </c>
      <c r="W783" s="20" t="s">
        <v>95</v>
      </c>
      <c r="X783" s="20" t="s">
        <v>95</v>
      </c>
      <c r="Y783" s="20" t="s">
        <v>95</v>
      </c>
      <c r="Z783" s="20" t="s">
        <v>60</v>
      </c>
      <c r="AA783" s="20" t="s">
        <v>61</v>
      </c>
      <c r="AB783" s="20" t="s">
        <v>82</v>
      </c>
      <c r="AC783" s="28">
        <v>559.48</v>
      </c>
      <c r="AD783" s="28">
        <f>SUM(BASE[[#This Row],[MONTO DE RENTA ]]*1.16)</f>
        <v>648.99680000000001</v>
      </c>
      <c r="AE783" s="28" t="s">
        <v>83</v>
      </c>
      <c r="AF783" s="28">
        <v>559.48275862068965</v>
      </c>
      <c r="AG783" s="28">
        <v>649</v>
      </c>
      <c r="AI783" s="63">
        <v>44937</v>
      </c>
      <c r="AJ783" s="73">
        <v>46043</v>
      </c>
      <c r="AK7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83" s="30"/>
      <c r="AN783" s="20" t="s">
        <v>99</v>
      </c>
      <c r="AP783" s="20" t="s">
        <v>84</v>
      </c>
      <c r="AQ783" s="20" t="s">
        <v>100</v>
      </c>
    </row>
    <row r="784" spans="1:43" ht="16">
      <c r="A784" s="20">
        <v>4423702782</v>
      </c>
      <c r="B784" s="21">
        <v>1008581</v>
      </c>
      <c r="C784" s="20" t="s">
        <v>3697</v>
      </c>
      <c r="D784" s="20" t="s">
        <v>477</v>
      </c>
      <c r="E784" s="20" t="s">
        <v>657</v>
      </c>
      <c r="F784" s="20" t="s">
        <v>359</v>
      </c>
      <c r="G784" s="20" t="s">
        <v>47</v>
      </c>
      <c r="H784" s="20" t="s">
        <v>48</v>
      </c>
      <c r="I784" s="20" t="s">
        <v>359</v>
      </c>
      <c r="J784" s="22" t="s">
        <v>3698</v>
      </c>
      <c r="K784" s="22" t="s">
        <v>3698</v>
      </c>
      <c r="L784" s="23" t="s">
        <v>3671</v>
      </c>
      <c r="M784" s="24" t="s">
        <v>7742</v>
      </c>
      <c r="N784" s="23">
        <v>18738003</v>
      </c>
      <c r="O784" s="25" t="s">
        <v>93</v>
      </c>
      <c r="P784" s="25" t="s">
        <v>53</v>
      </c>
      <c r="Q784" s="20" t="s">
        <v>3699</v>
      </c>
      <c r="R784" s="20">
        <v>62129222</v>
      </c>
      <c r="S784" s="25" t="s">
        <v>3700</v>
      </c>
      <c r="T784" s="26" t="s">
        <v>57</v>
      </c>
      <c r="U784" s="23">
        <v>860900062258298</v>
      </c>
      <c r="V784" s="27" t="s">
        <v>57</v>
      </c>
      <c r="W784" s="20" t="s">
        <v>58</v>
      </c>
      <c r="X784" s="20" t="s">
        <v>59</v>
      </c>
      <c r="Y784" s="20" t="s">
        <v>59</v>
      </c>
      <c r="Z784" s="20" t="s">
        <v>131</v>
      </c>
      <c r="AA784" s="20" t="s">
        <v>132</v>
      </c>
      <c r="AB784" s="20" t="s">
        <v>96</v>
      </c>
      <c r="AC784" s="28">
        <v>369.83</v>
      </c>
      <c r="AD784" s="28">
        <f>SUM(BASE[[#This Row],[MONTO DE RENTA ]]*1.16)</f>
        <v>429.00279999999998</v>
      </c>
      <c r="AE784" s="28" t="s">
        <v>63</v>
      </c>
      <c r="AF784" s="28">
        <v>369.82758620689657</v>
      </c>
      <c r="AG784" s="28">
        <v>429</v>
      </c>
      <c r="AH784" s="22" t="s">
        <v>64</v>
      </c>
      <c r="AI784" s="63">
        <v>45703</v>
      </c>
      <c r="AJ784" s="63">
        <v>46433</v>
      </c>
      <c r="AK7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4" s="30"/>
      <c r="AN784" s="20" t="s">
        <v>65</v>
      </c>
      <c r="AP784" s="20" t="s">
        <v>84</v>
      </c>
    </row>
    <row r="785" spans="1:43" ht="16">
      <c r="A785" s="20">
        <v>4423723874</v>
      </c>
      <c r="B785" s="21">
        <v>1011459</v>
      </c>
      <c r="C785" s="20" t="s">
        <v>3701</v>
      </c>
      <c r="D785" s="20" t="s">
        <v>3702</v>
      </c>
      <c r="E785" s="20" t="s">
        <v>3703</v>
      </c>
      <c r="F785" s="20" t="s">
        <v>1525</v>
      </c>
      <c r="G785" s="20" t="s">
        <v>248</v>
      </c>
      <c r="H785" s="20" t="s">
        <v>48</v>
      </c>
      <c r="I785" s="20" t="s">
        <v>1525</v>
      </c>
      <c r="J785" s="22" t="s">
        <v>3704</v>
      </c>
      <c r="K785" s="22" t="s">
        <v>3704</v>
      </c>
      <c r="L785" s="23" t="s">
        <v>3671</v>
      </c>
      <c r="M785" s="24" t="s">
        <v>7742</v>
      </c>
      <c r="N785" s="23">
        <v>18738003</v>
      </c>
      <c r="O785" s="25" t="s">
        <v>93</v>
      </c>
      <c r="P785" s="25" t="s">
        <v>53</v>
      </c>
      <c r="Q785" s="20" t="s">
        <v>3705</v>
      </c>
      <c r="R785" s="20">
        <v>62116032</v>
      </c>
      <c r="S785" s="25" t="s">
        <v>3706</v>
      </c>
      <c r="T785" s="26" t="s">
        <v>57</v>
      </c>
      <c r="U785" s="23">
        <v>860900062257795</v>
      </c>
      <c r="V785" s="27" t="s">
        <v>57</v>
      </c>
      <c r="W785" s="20" t="s">
        <v>58</v>
      </c>
      <c r="X785" s="20" t="s">
        <v>59</v>
      </c>
      <c r="Y785" s="20" t="s">
        <v>59</v>
      </c>
      <c r="Z785" s="20" t="s">
        <v>131</v>
      </c>
      <c r="AA785" s="20" t="s">
        <v>132</v>
      </c>
      <c r="AB785" s="20" t="s">
        <v>96</v>
      </c>
      <c r="AC785" s="28">
        <v>369.83</v>
      </c>
      <c r="AD785" s="28">
        <f>SUM(BASE[[#This Row],[MONTO DE RENTA ]]*1.16)</f>
        <v>429.00279999999998</v>
      </c>
      <c r="AE785" s="28" t="s">
        <v>63</v>
      </c>
      <c r="AF785" s="28">
        <v>369.82758620689657</v>
      </c>
      <c r="AG785" s="28">
        <v>429</v>
      </c>
      <c r="AH785" s="22" t="s">
        <v>64</v>
      </c>
      <c r="AI785" s="63">
        <v>45703</v>
      </c>
      <c r="AJ785" s="63">
        <v>46433</v>
      </c>
      <c r="AK7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5" s="30"/>
      <c r="AN785" s="20" t="s">
        <v>65</v>
      </c>
      <c r="AP785" s="20" t="s">
        <v>84</v>
      </c>
    </row>
    <row r="786" spans="1:43" ht="16">
      <c r="A786" s="20">
        <v>4423723229</v>
      </c>
      <c r="B786" s="21">
        <v>1041900</v>
      </c>
      <c r="C786" s="20" t="s">
        <v>3669</v>
      </c>
      <c r="D786" s="20" t="s">
        <v>1524</v>
      </c>
      <c r="E786" s="20" t="s">
        <v>1156</v>
      </c>
      <c r="F786" s="20" t="s">
        <v>104</v>
      </c>
      <c r="G786" s="20" t="s">
        <v>104</v>
      </c>
      <c r="H786" s="20" t="s">
        <v>48</v>
      </c>
      <c r="I786" s="20" t="s">
        <v>104</v>
      </c>
      <c r="J786" s="32" t="s">
        <v>3707</v>
      </c>
      <c r="K786" s="32" t="s">
        <v>3707</v>
      </c>
      <c r="L786" s="25" t="s">
        <v>3671</v>
      </c>
      <c r="M786" s="24" t="s">
        <v>7742</v>
      </c>
      <c r="N786" s="23">
        <v>18738003</v>
      </c>
      <c r="O786" s="25" t="s">
        <v>93</v>
      </c>
      <c r="P786" s="25" t="s">
        <v>53</v>
      </c>
      <c r="Q786" s="20" t="s">
        <v>3708</v>
      </c>
      <c r="R786" s="20">
        <v>62123217</v>
      </c>
      <c r="S786" s="25" t="s">
        <v>3709</v>
      </c>
      <c r="T786" s="26" t="s">
        <v>57</v>
      </c>
      <c r="U786" s="23">
        <v>860478063821257</v>
      </c>
      <c r="V786" s="45" t="s">
        <v>110</v>
      </c>
      <c r="W786" s="20" t="s">
        <v>302</v>
      </c>
      <c r="X786" s="20" t="s">
        <v>303</v>
      </c>
      <c r="Y786" s="20" t="s">
        <v>303</v>
      </c>
      <c r="Z786" s="20" t="s">
        <v>131</v>
      </c>
      <c r="AA786" s="20" t="s">
        <v>132</v>
      </c>
      <c r="AB786" s="20" t="s">
        <v>82</v>
      </c>
      <c r="AC786" s="28">
        <v>559.48</v>
      </c>
      <c r="AD786" s="28">
        <f>SUM(BASE[[#This Row],[MONTO DE RENTA ]]*1.16)</f>
        <v>648.99680000000001</v>
      </c>
      <c r="AE786" s="28" t="s">
        <v>83</v>
      </c>
      <c r="AF786" s="28">
        <v>559.48275862068965</v>
      </c>
      <c r="AG786" s="28">
        <v>649</v>
      </c>
      <c r="AH786" s="22" t="s">
        <v>64</v>
      </c>
      <c r="AI786" s="29">
        <v>45703</v>
      </c>
      <c r="AJ786" s="29">
        <v>46433</v>
      </c>
      <c r="AK7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6" s="30"/>
      <c r="AN786" s="20" t="s">
        <v>65</v>
      </c>
      <c r="AP786" s="20" t="s">
        <v>84</v>
      </c>
    </row>
    <row r="787" spans="1:43" ht="16">
      <c r="A787" s="20">
        <v>4423723246</v>
      </c>
      <c r="B787" s="214">
        <v>1075176</v>
      </c>
      <c r="C787" s="20" t="s">
        <v>3710</v>
      </c>
      <c r="D787" s="20" t="s">
        <v>1598</v>
      </c>
      <c r="E787" s="20" t="s">
        <v>3711</v>
      </c>
      <c r="F787" s="20" t="s">
        <v>104</v>
      </c>
      <c r="G787" s="20" t="s">
        <v>104</v>
      </c>
      <c r="H787" s="20" t="s">
        <v>48</v>
      </c>
      <c r="I787" s="20" t="s">
        <v>104</v>
      </c>
      <c r="J787" s="37" t="s">
        <v>3712</v>
      </c>
      <c r="K787" s="37" t="s">
        <v>3712</v>
      </c>
      <c r="L787" s="25" t="s">
        <v>3671</v>
      </c>
      <c r="M787" s="24" t="s">
        <v>7742</v>
      </c>
      <c r="N787" s="23">
        <v>18738003</v>
      </c>
      <c r="O787" s="25" t="s">
        <v>93</v>
      </c>
      <c r="P787" s="25" t="s">
        <v>53</v>
      </c>
      <c r="Q787" s="20" t="s">
        <v>3713</v>
      </c>
      <c r="R787" s="20">
        <v>62123213</v>
      </c>
      <c r="S787" s="25" t="s">
        <v>3714</v>
      </c>
      <c r="T787" s="26" t="s">
        <v>57</v>
      </c>
      <c r="U787" s="23">
        <v>860478063793787</v>
      </c>
      <c r="V787" s="45" t="s">
        <v>110</v>
      </c>
      <c r="W787" s="20" t="s">
        <v>302</v>
      </c>
      <c r="X787" s="20" t="s">
        <v>303</v>
      </c>
      <c r="Y787" s="20" t="s">
        <v>303</v>
      </c>
      <c r="Z787" s="20" t="s">
        <v>131</v>
      </c>
      <c r="AA787" s="20" t="s">
        <v>132</v>
      </c>
      <c r="AB787" s="20" t="s">
        <v>82</v>
      </c>
      <c r="AC787" s="28">
        <v>559.48</v>
      </c>
      <c r="AD787" s="28">
        <f>SUM(BASE[[#This Row],[MONTO DE RENTA ]]*1.16)</f>
        <v>648.99680000000001</v>
      </c>
      <c r="AE787" s="28" t="s">
        <v>83</v>
      </c>
      <c r="AF787" s="28">
        <v>559.48275862068965</v>
      </c>
      <c r="AG787" s="28">
        <v>649</v>
      </c>
      <c r="AH787" s="22" t="s">
        <v>64</v>
      </c>
      <c r="AI787" s="29">
        <v>45703</v>
      </c>
      <c r="AJ787" s="29">
        <v>46433</v>
      </c>
      <c r="AK7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787" s="34"/>
      <c r="AM787" s="42"/>
      <c r="AN787" s="20" t="s">
        <v>65</v>
      </c>
      <c r="AP787" s="20" t="s">
        <v>84</v>
      </c>
    </row>
    <row r="788" spans="1:43" ht="16">
      <c r="A788" s="20">
        <v>9931626362</v>
      </c>
      <c r="B788" s="21">
        <v>390152</v>
      </c>
      <c r="C788" s="20" t="s">
        <v>1597</v>
      </c>
      <c r="D788" s="20" t="s">
        <v>895</v>
      </c>
      <c r="E788" s="20" t="s">
        <v>477</v>
      </c>
      <c r="F788" s="20" t="s">
        <v>104</v>
      </c>
      <c r="G788" s="20" t="s">
        <v>104</v>
      </c>
      <c r="H788" s="20" t="s">
        <v>48</v>
      </c>
      <c r="I788" s="20" t="s">
        <v>104</v>
      </c>
      <c r="J788" s="32" t="s">
        <v>3715</v>
      </c>
      <c r="K788" s="32" t="s">
        <v>3715</v>
      </c>
      <c r="L788" s="23" t="s">
        <v>3716</v>
      </c>
      <c r="M788" s="24" t="s">
        <v>7751</v>
      </c>
      <c r="N788" s="23">
        <v>18739003</v>
      </c>
      <c r="O788" s="25" t="s">
        <v>1035</v>
      </c>
      <c r="P788" s="25" t="s">
        <v>53</v>
      </c>
      <c r="Q788" s="20" t="s">
        <v>3717</v>
      </c>
      <c r="R788" s="20">
        <v>82278851</v>
      </c>
      <c r="S788" s="25" t="s">
        <v>3718</v>
      </c>
      <c r="T788" s="26" t="s">
        <v>57</v>
      </c>
      <c r="U788" s="23">
        <v>860478064951715</v>
      </c>
      <c r="V788" s="45" t="s">
        <v>110</v>
      </c>
      <c r="W788" s="20" t="s">
        <v>302</v>
      </c>
      <c r="X788" s="20" t="s">
        <v>303</v>
      </c>
      <c r="Y788" s="20" t="s">
        <v>303</v>
      </c>
      <c r="Z788" s="20" t="s">
        <v>80</v>
      </c>
      <c r="AA788" s="20" t="s">
        <v>81</v>
      </c>
      <c r="AB788" s="20" t="s">
        <v>82</v>
      </c>
      <c r="AC788" s="28">
        <v>559.48</v>
      </c>
      <c r="AD788" s="28">
        <f>SUM(BASE[[#This Row],[MONTO DE RENTA ]]*1.16)</f>
        <v>648.99680000000001</v>
      </c>
      <c r="AE788" s="28" t="s">
        <v>83</v>
      </c>
      <c r="AF788" s="28">
        <v>559.48275862068965</v>
      </c>
      <c r="AG788" s="28">
        <v>649</v>
      </c>
      <c r="AH788" s="22" t="s">
        <v>64</v>
      </c>
      <c r="AI788" s="63">
        <v>45713</v>
      </c>
      <c r="AJ788" s="63">
        <v>46433</v>
      </c>
      <c r="AK7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8" s="30"/>
      <c r="AN788" s="20" t="s">
        <v>65</v>
      </c>
      <c r="AP788" s="20" t="s">
        <v>84</v>
      </c>
    </row>
    <row r="789" spans="1:43" ht="16">
      <c r="A789" s="20">
        <v>4422191893</v>
      </c>
      <c r="B789" s="21">
        <v>380014</v>
      </c>
      <c r="C789" s="20" t="s">
        <v>3719</v>
      </c>
      <c r="D789" s="20" t="s">
        <v>1736</v>
      </c>
      <c r="E789" s="20" t="s">
        <v>3720</v>
      </c>
      <c r="F789" s="20" t="s">
        <v>384</v>
      </c>
      <c r="G789" s="20" t="s">
        <v>122</v>
      </c>
      <c r="H789" s="20" t="s">
        <v>48</v>
      </c>
      <c r="I789" s="20" t="s">
        <v>384</v>
      </c>
      <c r="J789" s="22" t="s">
        <v>3721</v>
      </c>
      <c r="K789" s="22" t="s">
        <v>3721</v>
      </c>
      <c r="L789" s="23" t="s">
        <v>3671</v>
      </c>
      <c r="M789" s="24" t="s">
        <v>7742</v>
      </c>
      <c r="N789" s="23">
        <v>18738003</v>
      </c>
      <c r="O789" s="25" t="s">
        <v>93</v>
      </c>
      <c r="P789" s="25" t="s">
        <v>53</v>
      </c>
      <c r="Q789" s="20" t="s">
        <v>3722</v>
      </c>
      <c r="R789" s="20">
        <v>62205727</v>
      </c>
      <c r="S789" s="25" t="s">
        <v>3723</v>
      </c>
      <c r="T789" s="26" t="s">
        <v>57</v>
      </c>
      <c r="U789" s="23">
        <v>860900062258371</v>
      </c>
      <c r="V789" s="27" t="s">
        <v>57</v>
      </c>
      <c r="W789" s="20" t="s">
        <v>58</v>
      </c>
      <c r="X789" s="20" t="s">
        <v>59</v>
      </c>
      <c r="Y789" s="20" t="s">
        <v>59</v>
      </c>
      <c r="Z789" s="20" t="s">
        <v>131</v>
      </c>
      <c r="AA789" s="20" t="s">
        <v>132</v>
      </c>
      <c r="AB789" s="20" t="s">
        <v>96</v>
      </c>
      <c r="AC789" s="28">
        <v>369.83</v>
      </c>
      <c r="AD789" s="28">
        <f>SUM(BASE[[#This Row],[MONTO DE RENTA ]]*1.16)</f>
        <v>429.00279999999998</v>
      </c>
      <c r="AE789" s="28" t="s">
        <v>63</v>
      </c>
      <c r="AF789" s="28">
        <v>369.82758620689657</v>
      </c>
      <c r="AG789" s="28">
        <v>429</v>
      </c>
      <c r="AH789" s="22" t="s">
        <v>64</v>
      </c>
      <c r="AI789" s="63">
        <v>45703</v>
      </c>
      <c r="AJ789" s="63">
        <v>46433</v>
      </c>
      <c r="AK7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89" s="30"/>
      <c r="AN789" s="20" t="s">
        <v>65</v>
      </c>
      <c r="AP789" s="20" t="s">
        <v>84</v>
      </c>
    </row>
    <row r="790" spans="1:43" ht="16">
      <c r="A790" s="20">
        <v>4423292391</v>
      </c>
      <c r="B790" s="49">
        <v>260062</v>
      </c>
      <c r="C790" s="20" t="s">
        <v>3724</v>
      </c>
      <c r="D790" s="20" t="s">
        <v>461</v>
      </c>
      <c r="E790" s="20" t="s">
        <v>1524</v>
      </c>
      <c r="F790" s="20" t="s">
        <v>70</v>
      </c>
      <c r="G790" s="20" t="s">
        <v>70</v>
      </c>
      <c r="H790" s="20" t="s">
        <v>48</v>
      </c>
      <c r="I790" s="20" t="s">
        <v>70</v>
      </c>
      <c r="J790" s="22" t="s">
        <v>3725</v>
      </c>
      <c r="K790" s="32" t="s">
        <v>3725</v>
      </c>
      <c r="L790" s="23" t="s">
        <v>3671</v>
      </c>
      <c r="M790" s="24" t="s">
        <v>7742</v>
      </c>
      <c r="N790" s="23">
        <v>18738003</v>
      </c>
      <c r="O790" s="25" t="s">
        <v>93</v>
      </c>
      <c r="P790" s="25" t="s">
        <v>53</v>
      </c>
      <c r="Q790" s="20" t="s">
        <v>3726</v>
      </c>
      <c r="R790" s="20">
        <v>62025793</v>
      </c>
      <c r="S790" s="25" t="s">
        <v>55</v>
      </c>
      <c r="T790" s="26" t="s">
        <v>56</v>
      </c>
      <c r="U790" s="23">
        <v>357654177971267</v>
      </c>
      <c r="V790" s="27" t="s">
        <v>78</v>
      </c>
      <c r="W790" s="20" t="s">
        <v>95</v>
      </c>
      <c r="X790" s="20" t="s">
        <v>95</v>
      </c>
      <c r="Y790" s="20" t="s">
        <v>95</v>
      </c>
      <c r="Z790" s="20" t="s">
        <v>60</v>
      </c>
      <c r="AA790" s="20" t="s">
        <v>61</v>
      </c>
      <c r="AB790" s="20" t="s">
        <v>96</v>
      </c>
      <c r="AC790" s="28">
        <v>369.83</v>
      </c>
      <c r="AD790" s="28">
        <f>SUM(BASE[[#This Row],[MONTO DE RENTA ]]*1.16)</f>
        <v>429.00279999999998</v>
      </c>
      <c r="AE790" s="28" t="s">
        <v>83</v>
      </c>
      <c r="AF790" s="28">
        <v>559.48275862068965</v>
      </c>
      <c r="AG790" s="28">
        <v>649</v>
      </c>
      <c r="AI790" s="63">
        <v>44937</v>
      </c>
      <c r="AJ790" s="73">
        <v>46043</v>
      </c>
      <c r="AK7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90" s="30"/>
      <c r="AN790" s="20" t="s">
        <v>99</v>
      </c>
      <c r="AP790" s="20" t="s">
        <v>66</v>
      </c>
      <c r="AQ790" s="20" t="s">
        <v>100</v>
      </c>
    </row>
    <row r="791" spans="1:43" ht="16">
      <c r="A791" s="20">
        <v>9931573467</v>
      </c>
      <c r="B791" s="21">
        <v>390024</v>
      </c>
      <c r="C791" s="20" t="s">
        <v>3727</v>
      </c>
      <c r="D791" s="20" t="s">
        <v>3728</v>
      </c>
      <c r="E791" s="20" t="s">
        <v>598</v>
      </c>
      <c r="F791" s="20" t="s">
        <v>418</v>
      </c>
      <c r="G791" s="20" t="s">
        <v>47</v>
      </c>
      <c r="H791" s="20" t="s">
        <v>48</v>
      </c>
      <c r="I791" s="20" t="s">
        <v>418</v>
      </c>
      <c r="J791" s="22" t="s">
        <v>3729</v>
      </c>
      <c r="K791" s="22" t="s">
        <v>3729</v>
      </c>
      <c r="L791" s="23" t="s">
        <v>3716</v>
      </c>
      <c r="M791" s="24" t="s">
        <v>7751</v>
      </c>
      <c r="N791" s="23">
        <v>18739003</v>
      </c>
      <c r="O791" s="25" t="s">
        <v>1035</v>
      </c>
      <c r="P791" s="25" t="s">
        <v>53</v>
      </c>
      <c r="Q791" s="20" t="s">
        <v>3730</v>
      </c>
      <c r="R791" s="20">
        <v>83180500</v>
      </c>
      <c r="S791" s="25" t="s">
        <v>3731</v>
      </c>
      <c r="T791" s="26" t="s">
        <v>57</v>
      </c>
      <c r="U791" s="23">
        <v>860900062257449</v>
      </c>
      <c r="V791" s="27" t="s">
        <v>57</v>
      </c>
      <c r="W791" s="20" t="s">
        <v>58</v>
      </c>
      <c r="X791" s="20" t="s">
        <v>59</v>
      </c>
      <c r="Y791" s="20" t="s">
        <v>59</v>
      </c>
      <c r="Z791" s="20" t="s">
        <v>80</v>
      </c>
      <c r="AA791" s="20" t="s">
        <v>81</v>
      </c>
      <c r="AB791" s="20" t="s">
        <v>96</v>
      </c>
      <c r="AC791" s="28">
        <v>369.83</v>
      </c>
      <c r="AD791" s="28">
        <f>SUM(BASE[[#This Row],[MONTO DE RENTA ]]*1.16)</f>
        <v>429.00279999999998</v>
      </c>
      <c r="AE791" s="28" t="s">
        <v>63</v>
      </c>
      <c r="AF791" s="28">
        <v>369.82758620689657</v>
      </c>
      <c r="AG791" s="28">
        <v>429</v>
      </c>
      <c r="AH791" s="22" t="s">
        <v>64</v>
      </c>
      <c r="AI791" s="63">
        <v>45713</v>
      </c>
      <c r="AJ791" s="63">
        <v>46433</v>
      </c>
      <c r="AK7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91" s="30"/>
      <c r="AN791" s="20" t="s">
        <v>65</v>
      </c>
      <c r="AP791" s="20" t="s">
        <v>84</v>
      </c>
    </row>
    <row r="792" spans="1:43" ht="16">
      <c r="A792" s="20">
        <v>9931626084</v>
      </c>
      <c r="B792" s="21">
        <v>390065</v>
      </c>
      <c r="C792" s="20" t="s">
        <v>3732</v>
      </c>
      <c r="D792" s="20" t="s">
        <v>895</v>
      </c>
      <c r="E792" s="20" t="s">
        <v>1104</v>
      </c>
      <c r="F792" s="20" t="s">
        <v>451</v>
      </c>
      <c r="G792" s="20" t="s">
        <v>248</v>
      </c>
      <c r="H792" s="20" t="s">
        <v>48</v>
      </c>
      <c r="I792" s="20" t="s">
        <v>451</v>
      </c>
      <c r="J792" s="22" t="s">
        <v>3733</v>
      </c>
      <c r="K792" s="22" t="s">
        <v>3733</v>
      </c>
      <c r="L792" s="23" t="s">
        <v>3716</v>
      </c>
      <c r="M792" s="24" t="s">
        <v>7751</v>
      </c>
      <c r="N792" s="23">
        <v>18739003</v>
      </c>
      <c r="O792" s="25" t="s">
        <v>1035</v>
      </c>
      <c r="P792" s="25" t="s">
        <v>53</v>
      </c>
      <c r="Q792" s="20" t="s">
        <v>3734</v>
      </c>
      <c r="R792" s="20">
        <v>82297905</v>
      </c>
      <c r="S792" s="25" t="s">
        <v>3735</v>
      </c>
      <c r="T792" s="26" t="s">
        <v>57</v>
      </c>
      <c r="U792" s="23">
        <v>860900062256698</v>
      </c>
      <c r="V792" s="27" t="s">
        <v>57</v>
      </c>
      <c r="W792" s="20" t="s">
        <v>58</v>
      </c>
      <c r="X792" s="20" t="s">
        <v>59</v>
      </c>
      <c r="Y792" s="20" t="s">
        <v>59</v>
      </c>
      <c r="Z792" s="20" t="s">
        <v>80</v>
      </c>
      <c r="AA792" s="20" t="s">
        <v>81</v>
      </c>
      <c r="AB792" s="20" t="s">
        <v>96</v>
      </c>
      <c r="AC792" s="28">
        <v>369.83</v>
      </c>
      <c r="AD792" s="28">
        <f>SUM(BASE[[#This Row],[MONTO DE RENTA ]]*1.16)</f>
        <v>429.00279999999998</v>
      </c>
      <c r="AE792" s="28" t="s">
        <v>63</v>
      </c>
      <c r="AF792" s="28">
        <v>369.82758620689657</v>
      </c>
      <c r="AG792" s="28">
        <v>429</v>
      </c>
      <c r="AH792" s="22" t="s">
        <v>64</v>
      </c>
      <c r="AI792" s="63">
        <v>45713</v>
      </c>
      <c r="AJ792" s="63">
        <v>46433</v>
      </c>
      <c r="AK7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92" s="30"/>
      <c r="AN792" s="20" t="s">
        <v>65</v>
      </c>
      <c r="AP792" s="20" t="s">
        <v>84</v>
      </c>
    </row>
    <row r="793" spans="1:43" ht="16">
      <c r="A793" s="20">
        <v>9932072570</v>
      </c>
      <c r="B793" s="21">
        <v>390058</v>
      </c>
      <c r="C793" s="20" t="s">
        <v>3300</v>
      </c>
      <c r="D793" s="20" t="s">
        <v>895</v>
      </c>
      <c r="E793" s="20" t="s">
        <v>1807</v>
      </c>
      <c r="F793" s="20" t="s">
        <v>122</v>
      </c>
      <c r="G793" s="20" t="s">
        <v>122</v>
      </c>
      <c r="H793" s="20" t="s">
        <v>48</v>
      </c>
      <c r="I793" s="20" t="s">
        <v>122</v>
      </c>
      <c r="J793" s="22" t="s">
        <v>3736</v>
      </c>
      <c r="K793" s="32" t="s">
        <v>3737</v>
      </c>
      <c r="L793" s="23" t="s">
        <v>3716</v>
      </c>
      <c r="M793" s="24" t="s">
        <v>7751</v>
      </c>
      <c r="N793" s="23">
        <v>18739003</v>
      </c>
      <c r="O793" s="25" t="s">
        <v>1035</v>
      </c>
      <c r="P793" s="25" t="s">
        <v>53</v>
      </c>
      <c r="Q793" s="20" t="s">
        <v>3738</v>
      </c>
      <c r="R793" s="20">
        <v>83599287</v>
      </c>
      <c r="S793" s="25" t="s">
        <v>3739</v>
      </c>
      <c r="T793" s="26" t="s">
        <v>57</v>
      </c>
      <c r="U793" s="23">
        <v>860900062257506</v>
      </c>
      <c r="V793" s="27" t="s">
        <v>57</v>
      </c>
      <c r="W793" s="20" t="s">
        <v>58</v>
      </c>
      <c r="X793" s="20" t="s">
        <v>59</v>
      </c>
      <c r="Y793" s="20" t="s">
        <v>59</v>
      </c>
      <c r="Z793" s="20" t="s">
        <v>80</v>
      </c>
      <c r="AA793" s="20" t="s">
        <v>81</v>
      </c>
      <c r="AB793" s="20" t="s">
        <v>96</v>
      </c>
      <c r="AC793" s="28">
        <v>369.83</v>
      </c>
      <c r="AD793" s="28">
        <f>SUM(BASE[[#This Row],[MONTO DE RENTA ]]*1.16)</f>
        <v>429.00279999999998</v>
      </c>
      <c r="AE793" s="28" t="s">
        <v>63</v>
      </c>
      <c r="AF793" s="28">
        <v>369.82758620689657</v>
      </c>
      <c r="AG793" s="28">
        <v>429</v>
      </c>
      <c r="AI793" s="63">
        <v>44937</v>
      </c>
      <c r="AJ793" s="84">
        <v>46681</v>
      </c>
      <c r="AK79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793" s="30"/>
      <c r="AN793" s="20" t="s">
        <v>65</v>
      </c>
      <c r="AP793" s="20" t="s">
        <v>84</v>
      </c>
    </row>
    <row r="794" spans="1:43" ht="16">
      <c r="A794" s="20">
        <v>9931625546</v>
      </c>
      <c r="B794" s="21">
        <v>390258</v>
      </c>
      <c r="C794" s="20" t="s">
        <v>3740</v>
      </c>
      <c r="D794" s="20" t="s">
        <v>885</v>
      </c>
      <c r="E794" s="20" t="s">
        <v>45</v>
      </c>
      <c r="F794" s="20" t="s">
        <v>483</v>
      </c>
      <c r="G794" s="20" t="s">
        <v>257</v>
      </c>
      <c r="H794" s="20" t="s">
        <v>48</v>
      </c>
      <c r="I794" s="20" t="s">
        <v>483</v>
      </c>
      <c r="J794" s="22" t="s">
        <v>3741</v>
      </c>
      <c r="K794" s="22" t="s">
        <v>3741</v>
      </c>
      <c r="L794" s="23" t="s">
        <v>3716</v>
      </c>
      <c r="M794" s="24" t="s">
        <v>7751</v>
      </c>
      <c r="N794" s="23">
        <v>18739003</v>
      </c>
      <c r="O794" s="25" t="s">
        <v>1035</v>
      </c>
      <c r="P794" s="25" t="s">
        <v>53</v>
      </c>
      <c r="Q794" s="20" t="s">
        <v>3742</v>
      </c>
      <c r="R794" s="20">
        <v>82305737</v>
      </c>
      <c r="S794" s="25" t="s">
        <v>3743</v>
      </c>
      <c r="T794" s="26" t="s">
        <v>57</v>
      </c>
      <c r="U794" s="23">
        <v>860478064854828</v>
      </c>
      <c r="V794" s="45" t="s">
        <v>110</v>
      </c>
      <c r="W794" s="20" t="s">
        <v>302</v>
      </c>
      <c r="X794" s="20" t="s">
        <v>303</v>
      </c>
      <c r="Y794" s="20" t="s">
        <v>303</v>
      </c>
      <c r="Z794" s="20" t="s">
        <v>80</v>
      </c>
      <c r="AA794" s="20" t="s">
        <v>81</v>
      </c>
      <c r="AB794" s="20" t="s">
        <v>82</v>
      </c>
      <c r="AC794" s="28">
        <v>559.48</v>
      </c>
      <c r="AD794" s="28">
        <f>SUM(BASE[[#This Row],[MONTO DE RENTA ]]*1.16)</f>
        <v>648.99680000000001</v>
      </c>
      <c r="AE794" s="28" t="s">
        <v>83</v>
      </c>
      <c r="AF794" s="28">
        <v>559.48275862068965</v>
      </c>
      <c r="AG794" s="28">
        <v>649</v>
      </c>
      <c r="AH794" s="22" t="s">
        <v>64</v>
      </c>
      <c r="AI794" s="63">
        <v>45713</v>
      </c>
      <c r="AJ794" s="63">
        <v>46433</v>
      </c>
      <c r="AK7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94" s="30"/>
      <c r="AN794" s="20" t="s">
        <v>65</v>
      </c>
      <c r="AP794" s="20" t="s">
        <v>84</v>
      </c>
    </row>
    <row r="795" spans="1:43" ht="16">
      <c r="A795" s="20">
        <v>9931626955</v>
      </c>
      <c r="B795" s="21">
        <v>390152</v>
      </c>
      <c r="C795" s="20" t="s">
        <v>1597</v>
      </c>
      <c r="D795" s="20" t="s">
        <v>895</v>
      </c>
      <c r="E795" s="20" t="s">
        <v>477</v>
      </c>
      <c r="F795" s="20" t="s">
        <v>104</v>
      </c>
      <c r="G795" s="20" t="s">
        <v>104</v>
      </c>
      <c r="H795" s="20" t="s">
        <v>48</v>
      </c>
      <c r="I795" s="20" t="s">
        <v>104</v>
      </c>
      <c r="J795" s="32" t="s">
        <v>3744</v>
      </c>
      <c r="K795" s="32" t="s">
        <v>3744</v>
      </c>
      <c r="L795" s="23" t="s">
        <v>3716</v>
      </c>
      <c r="M795" s="24" t="s">
        <v>7751</v>
      </c>
      <c r="N795" s="23">
        <v>18739003</v>
      </c>
      <c r="O795" s="25" t="s">
        <v>1035</v>
      </c>
      <c r="P795" s="25" t="s">
        <v>53</v>
      </c>
      <c r="Q795" s="20" t="s">
        <v>3745</v>
      </c>
      <c r="R795" s="20">
        <v>82305740</v>
      </c>
      <c r="S795" s="25" t="s">
        <v>3746</v>
      </c>
      <c r="T795" s="26" t="s">
        <v>57</v>
      </c>
      <c r="U795" s="23">
        <v>860478064845396</v>
      </c>
      <c r="V795" s="45" t="s">
        <v>110</v>
      </c>
      <c r="W795" s="20" t="s">
        <v>302</v>
      </c>
      <c r="X795" s="20" t="s">
        <v>303</v>
      </c>
      <c r="Y795" s="20" t="s">
        <v>303</v>
      </c>
      <c r="Z795" s="20" t="s">
        <v>80</v>
      </c>
      <c r="AA795" s="20" t="s">
        <v>81</v>
      </c>
      <c r="AB795" s="20" t="s">
        <v>82</v>
      </c>
      <c r="AC795" s="28">
        <v>559.48</v>
      </c>
      <c r="AD795" s="28">
        <f>SUM(BASE[[#This Row],[MONTO DE RENTA ]]*1.16)</f>
        <v>648.99680000000001</v>
      </c>
      <c r="AE795" s="28" t="s">
        <v>83</v>
      </c>
      <c r="AF795" s="28">
        <v>559.48275862068965</v>
      </c>
      <c r="AG795" s="28">
        <v>649</v>
      </c>
      <c r="AH795" s="22" t="s">
        <v>64</v>
      </c>
      <c r="AI795" s="63">
        <v>45713</v>
      </c>
      <c r="AJ795" s="63">
        <v>46433</v>
      </c>
      <c r="AK7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95" s="30"/>
      <c r="AN795" s="20" t="s">
        <v>65</v>
      </c>
      <c r="AP795" s="20" t="s">
        <v>84</v>
      </c>
    </row>
    <row r="796" spans="1:43" ht="16">
      <c r="A796" s="20">
        <v>3111284615</v>
      </c>
      <c r="B796" s="21">
        <v>625020</v>
      </c>
      <c r="C796" s="20" t="s">
        <v>3747</v>
      </c>
      <c r="D796" s="20" t="s">
        <v>3748</v>
      </c>
      <c r="E796" s="20" t="s">
        <v>657</v>
      </c>
      <c r="F796" s="20" t="s">
        <v>483</v>
      </c>
      <c r="G796" s="20" t="s">
        <v>257</v>
      </c>
      <c r="H796" s="20" t="s">
        <v>48</v>
      </c>
      <c r="I796" s="20" t="s">
        <v>483</v>
      </c>
      <c r="J796" s="22" t="s">
        <v>3749</v>
      </c>
      <c r="K796" s="22" t="s">
        <v>3749</v>
      </c>
      <c r="L796" s="23" t="s">
        <v>2329</v>
      </c>
      <c r="M796" s="24" t="s">
        <v>7746</v>
      </c>
      <c r="N796" s="23">
        <v>18662000</v>
      </c>
      <c r="O796" s="25" t="s">
        <v>677</v>
      </c>
      <c r="P796" s="25" t="s">
        <v>53</v>
      </c>
      <c r="Q796" s="20" t="s">
        <v>3750</v>
      </c>
      <c r="R796" s="20">
        <v>53375198</v>
      </c>
      <c r="S796" s="25" t="s">
        <v>3751</v>
      </c>
      <c r="T796" s="26" t="s">
        <v>57</v>
      </c>
      <c r="U796" s="23">
        <v>860478062099178</v>
      </c>
      <c r="V796" s="45" t="s">
        <v>110</v>
      </c>
      <c r="W796" s="20" t="s">
        <v>302</v>
      </c>
      <c r="X796" s="20" t="s">
        <v>303</v>
      </c>
      <c r="Y796" s="20" t="s">
        <v>303</v>
      </c>
      <c r="Z796" s="20" t="s">
        <v>80</v>
      </c>
      <c r="AA796" s="20" t="s">
        <v>81</v>
      </c>
      <c r="AB796" s="20" t="s">
        <v>82</v>
      </c>
      <c r="AC796" s="28">
        <v>559.48</v>
      </c>
      <c r="AD796" s="28">
        <f>SUM(BASE[[#This Row],[MONTO DE RENTA ]]*1.16)</f>
        <v>648.99680000000001</v>
      </c>
      <c r="AE796" s="28" t="s">
        <v>83</v>
      </c>
      <c r="AF796" s="28">
        <v>559.48275862068965</v>
      </c>
      <c r="AG796" s="28">
        <v>649</v>
      </c>
      <c r="AH796" s="22" t="s">
        <v>64</v>
      </c>
      <c r="AI796" s="63">
        <v>45703</v>
      </c>
      <c r="AJ796" s="63">
        <v>46433</v>
      </c>
      <c r="AK7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796" s="30"/>
      <c r="AN796" s="20" t="s">
        <v>65</v>
      </c>
      <c r="AP796" s="20" t="s">
        <v>84</v>
      </c>
    </row>
    <row r="797" spans="1:43" ht="16">
      <c r="A797" s="20">
        <v>9933425453</v>
      </c>
      <c r="B797" s="49">
        <v>390278</v>
      </c>
      <c r="C797" s="20" t="s">
        <v>3752</v>
      </c>
      <c r="D797" s="20" t="s">
        <v>376</v>
      </c>
      <c r="E797" s="20" t="s">
        <v>3753</v>
      </c>
      <c r="F797" s="20" t="s">
        <v>122</v>
      </c>
      <c r="G797" s="20" t="s">
        <v>122</v>
      </c>
      <c r="H797" s="20" t="s">
        <v>48</v>
      </c>
      <c r="I797" s="20" t="s">
        <v>122</v>
      </c>
      <c r="J797" s="97" t="s">
        <v>3737</v>
      </c>
      <c r="K797" s="97" t="s">
        <v>3754</v>
      </c>
      <c r="L797" s="23" t="s">
        <v>3716</v>
      </c>
      <c r="M797" s="24" t="s">
        <v>7751</v>
      </c>
      <c r="N797" s="23">
        <v>18739003</v>
      </c>
      <c r="O797" s="25" t="s">
        <v>1035</v>
      </c>
      <c r="P797" s="25" t="s">
        <v>53</v>
      </c>
      <c r="Q797" s="20" t="s">
        <v>3755</v>
      </c>
      <c r="R797" s="20">
        <v>82113430</v>
      </c>
      <c r="S797" s="25" t="s">
        <v>55</v>
      </c>
      <c r="T797" s="26" t="s">
        <v>56</v>
      </c>
      <c r="U797" s="23">
        <v>860900062257506</v>
      </c>
      <c r="V797" s="27" t="s">
        <v>183</v>
      </c>
      <c r="W797" s="20" t="s">
        <v>58</v>
      </c>
      <c r="X797" s="20" t="s">
        <v>59</v>
      </c>
      <c r="Y797" s="20" t="s">
        <v>59</v>
      </c>
      <c r="Z797" s="20" t="s">
        <v>60</v>
      </c>
      <c r="AA797" s="20" t="s">
        <v>61</v>
      </c>
      <c r="AB797" s="20" t="s">
        <v>96</v>
      </c>
      <c r="AC797" s="28">
        <v>369.83</v>
      </c>
      <c r="AD797" s="28">
        <f>SUM(BASE[[#This Row],[MONTO DE RENTA ]]*1.16)</f>
        <v>429.00279999999998</v>
      </c>
      <c r="AE797" s="28" t="s">
        <v>63</v>
      </c>
      <c r="AF797" s="28">
        <v>369.82758620689657</v>
      </c>
      <c r="AG797" s="28">
        <v>429</v>
      </c>
      <c r="AH797" s="36" t="s">
        <v>64</v>
      </c>
      <c r="AI797" s="84">
        <v>45323</v>
      </c>
      <c r="AJ797" s="84">
        <v>46054</v>
      </c>
      <c r="AK7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97" s="30"/>
      <c r="AN797" s="20" t="s">
        <v>99</v>
      </c>
      <c r="AP797" s="20" t="s">
        <v>84</v>
      </c>
      <c r="AQ797" s="20" t="s">
        <v>100</v>
      </c>
    </row>
    <row r="798" spans="1:43" ht="16">
      <c r="A798" s="20">
        <v>9933980219</v>
      </c>
      <c r="B798" s="49">
        <v>390301</v>
      </c>
      <c r="C798" s="20" t="s">
        <v>3756</v>
      </c>
      <c r="D798" s="20" t="s">
        <v>3757</v>
      </c>
      <c r="E798" s="20" t="s">
        <v>1104</v>
      </c>
      <c r="F798" s="20" t="s">
        <v>122</v>
      </c>
      <c r="G798" s="20" t="s">
        <v>122</v>
      </c>
      <c r="H798" s="20" t="s">
        <v>48</v>
      </c>
      <c r="I798" s="20" t="s">
        <v>122</v>
      </c>
      <c r="J798" s="97" t="s">
        <v>3737</v>
      </c>
      <c r="K798" s="97" t="s">
        <v>3737</v>
      </c>
      <c r="L798" s="23" t="s">
        <v>3716</v>
      </c>
      <c r="M798" s="24" t="s">
        <v>7751</v>
      </c>
      <c r="N798" s="23">
        <v>18739003</v>
      </c>
      <c r="O798" s="25" t="s">
        <v>1035</v>
      </c>
      <c r="P798" s="25" t="s">
        <v>53</v>
      </c>
      <c r="Q798" s="20" t="s">
        <v>3758</v>
      </c>
      <c r="R798" s="20">
        <v>83596123</v>
      </c>
      <c r="S798" s="25" t="s">
        <v>55</v>
      </c>
      <c r="T798" s="26" t="s">
        <v>56</v>
      </c>
      <c r="U798" s="23">
        <v>860900062257506</v>
      </c>
      <c r="V798" s="27" t="s">
        <v>183</v>
      </c>
      <c r="W798" s="20" t="s">
        <v>58</v>
      </c>
      <c r="X798" s="20" t="s">
        <v>59</v>
      </c>
      <c r="Y798" s="20" t="s">
        <v>59</v>
      </c>
      <c r="Z798" s="20" t="s">
        <v>60</v>
      </c>
      <c r="AA798" s="20" t="s">
        <v>61</v>
      </c>
      <c r="AB798" s="20" t="s">
        <v>96</v>
      </c>
      <c r="AC798" s="28">
        <v>369.83</v>
      </c>
      <c r="AD798" s="28">
        <f>SUM(BASE[[#This Row],[MONTO DE RENTA ]]*1.16)</f>
        <v>429.00279999999998</v>
      </c>
      <c r="AE798" s="28" t="s">
        <v>63</v>
      </c>
      <c r="AF798" s="28">
        <v>369.82758620689657</v>
      </c>
      <c r="AG798" s="28">
        <v>429</v>
      </c>
      <c r="AH798" s="36" t="s">
        <v>64</v>
      </c>
      <c r="AI798" s="84">
        <v>45323</v>
      </c>
      <c r="AJ798" s="84">
        <v>46054</v>
      </c>
      <c r="AK7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98" s="30"/>
      <c r="AN798" s="20" t="s">
        <v>99</v>
      </c>
      <c r="AP798" s="20" t="s">
        <v>84</v>
      </c>
      <c r="AQ798" s="20" t="s">
        <v>100</v>
      </c>
    </row>
    <row r="799" spans="1:43" ht="16">
      <c r="A799" s="20">
        <v>9931802497</v>
      </c>
      <c r="B799" s="49">
        <v>250198</v>
      </c>
      <c r="C799" s="20" t="s">
        <v>1319</v>
      </c>
      <c r="D799" s="20" t="s">
        <v>1205</v>
      </c>
      <c r="E799" s="20" t="s">
        <v>3759</v>
      </c>
      <c r="F799" s="20" t="s">
        <v>70</v>
      </c>
      <c r="G799" s="20" t="s">
        <v>70</v>
      </c>
      <c r="H799" s="20" t="s">
        <v>48</v>
      </c>
      <c r="I799" s="20" t="s">
        <v>70</v>
      </c>
      <c r="J799" s="22" t="s">
        <v>3760</v>
      </c>
      <c r="K799" s="22" t="s">
        <v>3760</v>
      </c>
      <c r="L799" s="23" t="s">
        <v>3716</v>
      </c>
      <c r="M799" s="24" t="s">
        <v>7751</v>
      </c>
      <c r="N799" s="23">
        <v>18739003</v>
      </c>
      <c r="O799" s="25" t="s">
        <v>1035</v>
      </c>
      <c r="P799" s="25" t="s">
        <v>53</v>
      </c>
      <c r="Q799" s="20" t="s">
        <v>3761</v>
      </c>
      <c r="R799" s="20">
        <v>82200534</v>
      </c>
      <c r="S799" s="25" t="s">
        <v>55</v>
      </c>
      <c r="T799" s="26" t="s">
        <v>56</v>
      </c>
      <c r="U799" s="23">
        <v>357654178731975</v>
      </c>
      <c r="V799" s="27" t="s">
        <v>78</v>
      </c>
      <c r="W799" s="20" t="s">
        <v>95</v>
      </c>
      <c r="X799" s="20" t="s">
        <v>95</v>
      </c>
      <c r="Y799" s="20" t="s">
        <v>95</v>
      </c>
      <c r="Z799" s="20" t="s">
        <v>60</v>
      </c>
      <c r="AA799" s="20" t="s">
        <v>61</v>
      </c>
      <c r="AB799" s="20" t="s">
        <v>82</v>
      </c>
      <c r="AC799" s="28">
        <v>559.48</v>
      </c>
      <c r="AD799" s="28">
        <f>SUM(BASE[[#This Row],[MONTO DE RENTA ]]*1.16)</f>
        <v>648.99680000000001</v>
      </c>
      <c r="AE799" s="28" t="s">
        <v>83</v>
      </c>
      <c r="AF799" s="28">
        <v>559.48275862068965</v>
      </c>
      <c r="AG799" s="28">
        <v>649</v>
      </c>
      <c r="AI799" s="63">
        <v>44937</v>
      </c>
      <c r="AJ799" s="73">
        <v>46043</v>
      </c>
      <c r="AK79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799" s="30"/>
      <c r="AN799" s="20" t="s">
        <v>99</v>
      </c>
      <c r="AP799" s="20" t="s">
        <v>84</v>
      </c>
      <c r="AQ799" s="20" t="s">
        <v>100</v>
      </c>
    </row>
    <row r="800" spans="1:43" ht="16">
      <c r="A800" s="20">
        <v>4771551553</v>
      </c>
      <c r="B800" s="21">
        <v>400302</v>
      </c>
      <c r="C800" s="20" t="s">
        <v>3762</v>
      </c>
      <c r="D800" s="20" t="s">
        <v>3022</v>
      </c>
      <c r="E800" s="20" t="s">
        <v>427</v>
      </c>
      <c r="F800" s="20" t="s">
        <v>418</v>
      </c>
      <c r="G800" s="20" t="s">
        <v>47</v>
      </c>
      <c r="H800" s="20" t="s">
        <v>48</v>
      </c>
      <c r="I800" s="20" t="s">
        <v>418</v>
      </c>
      <c r="J800" s="22" t="s">
        <v>3763</v>
      </c>
      <c r="K800" s="22" t="s">
        <v>3763</v>
      </c>
      <c r="L800" s="23" t="s">
        <v>3764</v>
      </c>
      <c r="M800" s="24" t="s">
        <v>7743</v>
      </c>
      <c r="N800" s="23">
        <v>18740003</v>
      </c>
      <c r="O800" s="25" t="s">
        <v>93</v>
      </c>
      <c r="P800" s="25" t="s">
        <v>53</v>
      </c>
      <c r="Q800" s="20" t="s">
        <v>3765</v>
      </c>
      <c r="R800" s="20">
        <v>62129228</v>
      </c>
      <c r="S800" s="25" t="s">
        <v>3766</v>
      </c>
      <c r="T800" s="26" t="s">
        <v>57</v>
      </c>
      <c r="U800" s="23">
        <v>860900062336110</v>
      </c>
      <c r="V800" s="27" t="s">
        <v>57</v>
      </c>
      <c r="W800" s="20" t="s">
        <v>58</v>
      </c>
      <c r="X800" s="20" t="s">
        <v>59</v>
      </c>
      <c r="Y800" s="20" t="s">
        <v>59</v>
      </c>
      <c r="Z800" s="20" t="s">
        <v>60</v>
      </c>
      <c r="AA800" s="20" t="s">
        <v>61</v>
      </c>
      <c r="AB800" s="20" t="s">
        <v>96</v>
      </c>
      <c r="AC800" s="28">
        <v>369.83</v>
      </c>
      <c r="AD800" s="28">
        <f>SUM(BASE[[#This Row],[MONTO DE RENTA ]]*1.16)</f>
        <v>429.00279999999998</v>
      </c>
      <c r="AE800" s="28" t="s">
        <v>63</v>
      </c>
      <c r="AF800" s="28">
        <v>369.82758620689657</v>
      </c>
      <c r="AG800" s="28">
        <v>429</v>
      </c>
      <c r="AH800" s="22" t="s">
        <v>64</v>
      </c>
      <c r="AI800" s="63">
        <v>45703</v>
      </c>
      <c r="AJ800" s="63">
        <v>46433</v>
      </c>
      <c r="AK8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0" s="30"/>
      <c r="AN800" s="20" t="s">
        <v>65</v>
      </c>
      <c r="AP800" s="20" t="s">
        <v>84</v>
      </c>
    </row>
    <row r="801" spans="1:43" ht="16">
      <c r="A801" s="20">
        <v>4773160477</v>
      </c>
      <c r="B801" s="21">
        <v>995389</v>
      </c>
      <c r="C801" s="20" t="s">
        <v>748</v>
      </c>
      <c r="D801" s="20" t="s">
        <v>442</v>
      </c>
      <c r="E801" s="20" t="s">
        <v>598</v>
      </c>
      <c r="F801" s="20" t="s">
        <v>451</v>
      </c>
      <c r="G801" s="20" t="s">
        <v>248</v>
      </c>
      <c r="H801" s="20" t="s">
        <v>48</v>
      </c>
      <c r="I801" s="20" t="s">
        <v>451</v>
      </c>
      <c r="J801" s="22" t="s">
        <v>3767</v>
      </c>
      <c r="K801" s="22" t="s">
        <v>3767</v>
      </c>
      <c r="L801" s="23" t="s">
        <v>3764</v>
      </c>
      <c r="M801" s="24" t="s">
        <v>7743</v>
      </c>
      <c r="N801" s="23">
        <v>18740003</v>
      </c>
      <c r="O801" s="25" t="s">
        <v>93</v>
      </c>
      <c r="P801" s="25" t="s">
        <v>53</v>
      </c>
      <c r="Q801" s="20" t="s">
        <v>3768</v>
      </c>
      <c r="R801" s="20">
        <v>62116044</v>
      </c>
      <c r="S801" s="25" t="s">
        <v>3769</v>
      </c>
      <c r="T801" s="26" t="s">
        <v>57</v>
      </c>
      <c r="U801" s="23">
        <v>860900062334529</v>
      </c>
      <c r="V801" s="27" t="s">
        <v>57</v>
      </c>
      <c r="W801" s="20" t="s">
        <v>58</v>
      </c>
      <c r="X801" s="20" t="s">
        <v>59</v>
      </c>
      <c r="Y801" s="20" t="s">
        <v>59</v>
      </c>
      <c r="Z801" s="20" t="s">
        <v>60</v>
      </c>
      <c r="AA801" s="20" t="s">
        <v>61</v>
      </c>
      <c r="AB801" s="20" t="s">
        <v>96</v>
      </c>
      <c r="AC801" s="28">
        <v>369.83</v>
      </c>
      <c r="AD801" s="28">
        <f>SUM(BASE[[#This Row],[MONTO DE RENTA ]]*1.16)</f>
        <v>429.00279999999998</v>
      </c>
      <c r="AE801" s="28" t="s">
        <v>63</v>
      </c>
      <c r="AF801" s="28">
        <v>369.82758620689657</v>
      </c>
      <c r="AG801" s="28">
        <v>429</v>
      </c>
      <c r="AH801" s="22" t="s">
        <v>64</v>
      </c>
      <c r="AI801" s="63">
        <v>45703</v>
      </c>
      <c r="AJ801" s="63">
        <v>46433</v>
      </c>
      <c r="AK8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1" s="30"/>
      <c r="AN801" s="20" t="s">
        <v>65</v>
      </c>
      <c r="AP801" s="20" t="s">
        <v>84</v>
      </c>
    </row>
    <row r="802" spans="1:43" ht="16">
      <c r="A802" s="20">
        <v>4773576875</v>
      </c>
      <c r="B802" s="21">
        <v>160595</v>
      </c>
      <c r="C802" s="20" t="s">
        <v>3770</v>
      </c>
      <c r="D802" s="20" t="s">
        <v>657</v>
      </c>
      <c r="E802" s="20" t="s">
        <v>476</v>
      </c>
      <c r="F802" s="20" t="s">
        <v>257</v>
      </c>
      <c r="G802" s="20" t="s">
        <v>257</v>
      </c>
      <c r="H802" s="20" t="s">
        <v>48</v>
      </c>
      <c r="I802" s="20" t="s">
        <v>257</v>
      </c>
      <c r="J802" s="22" t="s">
        <v>3771</v>
      </c>
      <c r="K802" s="22" t="s">
        <v>3771</v>
      </c>
      <c r="L802" s="23" t="s">
        <v>3764</v>
      </c>
      <c r="M802" s="24" t="s">
        <v>7743</v>
      </c>
      <c r="N802" s="23">
        <v>18740003</v>
      </c>
      <c r="O802" s="25" t="s">
        <v>93</v>
      </c>
      <c r="P802" s="25" t="s">
        <v>53</v>
      </c>
      <c r="Q802" s="20" t="s">
        <v>3772</v>
      </c>
      <c r="R802" s="20">
        <v>62144793</v>
      </c>
      <c r="S802" s="25" t="s">
        <v>3773</v>
      </c>
      <c r="T802" s="26" t="s">
        <v>57</v>
      </c>
      <c r="U802" s="23">
        <v>860478064978668</v>
      </c>
      <c r="V802" s="45" t="s">
        <v>110</v>
      </c>
      <c r="W802" s="20" t="s">
        <v>302</v>
      </c>
      <c r="X802" s="20" t="s">
        <v>303</v>
      </c>
      <c r="Y802" s="20" t="s">
        <v>303</v>
      </c>
      <c r="Z802" s="20" t="s">
        <v>80</v>
      </c>
      <c r="AA802" s="20" t="s">
        <v>81</v>
      </c>
      <c r="AB802" s="20" t="s">
        <v>82</v>
      </c>
      <c r="AC802" s="28">
        <v>559.48</v>
      </c>
      <c r="AD802" s="28">
        <f>SUM(BASE[[#This Row],[MONTO DE RENTA ]]*1.16)</f>
        <v>648.99680000000001</v>
      </c>
      <c r="AE802" s="28" t="s">
        <v>83</v>
      </c>
      <c r="AF802" s="28">
        <v>559.48275862068965</v>
      </c>
      <c r="AG802" s="28">
        <v>649</v>
      </c>
      <c r="AH802" s="22" t="s">
        <v>64</v>
      </c>
      <c r="AI802" s="63">
        <v>45703</v>
      </c>
      <c r="AJ802" s="63">
        <v>46433</v>
      </c>
      <c r="AK8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2" s="30"/>
      <c r="AN802" s="20" t="s">
        <v>65</v>
      </c>
      <c r="AP802" s="20" t="s">
        <v>84</v>
      </c>
    </row>
    <row r="803" spans="1:43" ht="16">
      <c r="A803" s="20">
        <v>4773575435</v>
      </c>
      <c r="B803" s="21">
        <v>1037021</v>
      </c>
      <c r="C803" s="20" t="s">
        <v>1820</v>
      </c>
      <c r="D803" s="20" t="s">
        <v>3774</v>
      </c>
      <c r="E803" s="20" t="s">
        <v>3503</v>
      </c>
      <c r="F803" s="20" t="s">
        <v>104</v>
      </c>
      <c r="G803" s="20" t="s">
        <v>104</v>
      </c>
      <c r="H803" s="20" t="s">
        <v>48</v>
      </c>
      <c r="I803" s="20" t="s">
        <v>104</v>
      </c>
      <c r="J803" s="22" t="s">
        <v>3775</v>
      </c>
      <c r="K803" s="22" t="s">
        <v>3775</v>
      </c>
      <c r="L803" s="23" t="s">
        <v>3764</v>
      </c>
      <c r="M803" s="24" t="s">
        <v>7743</v>
      </c>
      <c r="N803" s="23">
        <v>18740003</v>
      </c>
      <c r="O803" s="25" t="s">
        <v>93</v>
      </c>
      <c r="P803" s="25" t="s">
        <v>53</v>
      </c>
      <c r="Q803" s="20" t="s">
        <v>3776</v>
      </c>
      <c r="R803" s="20">
        <v>62144790</v>
      </c>
      <c r="S803" s="25" t="s">
        <v>3777</v>
      </c>
      <c r="T803" s="26" t="s">
        <v>57</v>
      </c>
      <c r="U803" s="23">
        <v>860478064976035</v>
      </c>
      <c r="V803" s="45" t="s">
        <v>110</v>
      </c>
      <c r="W803" s="20" t="s">
        <v>302</v>
      </c>
      <c r="X803" s="20" t="s">
        <v>303</v>
      </c>
      <c r="Y803" s="20" t="s">
        <v>303</v>
      </c>
      <c r="Z803" s="20" t="s">
        <v>80</v>
      </c>
      <c r="AA803" s="20" t="s">
        <v>81</v>
      </c>
      <c r="AB803" s="20" t="s">
        <v>82</v>
      </c>
      <c r="AC803" s="28">
        <v>559.48</v>
      </c>
      <c r="AD803" s="28">
        <f>SUM(BASE[[#This Row],[MONTO DE RENTA ]]*1.16)</f>
        <v>648.99680000000001</v>
      </c>
      <c r="AE803" s="28" t="s">
        <v>83</v>
      </c>
      <c r="AF803" s="28">
        <v>559.48275862068965</v>
      </c>
      <c r="AG803" s="28">
        <v>649</v>
      </c>
      <c r="AH803" s="22" t="s">
        <v>64</v>
      </c>
      <c r="AI803" s="63">
        <v>45703</v>
      </c>
      <c r="AJ803" s="63">
        <v>46433</v>
      </c>
      <c r="AK8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3" s="30"/>
      <c r="AN803" s="20" t="s">
        <v>65</v>
      </c>
      <c r="AP803" s="20" t="s">
        <v>84</v>
      </c>
    </row>
    <row r="804" spans="1:43" ht="16">
      <c r="A804" s="20">
        <v>4773576441</v>
      </c>
      <c r="B804" s="49">
        <v>1037021</v>
      </c>
      <c r="C804" s="20" t="s">
        <v>1820</v>
      </c>
      <c r="D804" s="20" t="s">
        <v>3774</v>
      </c>
      <c r="E804" s="20" t="s">
        <v>3503</v>
      </c>
      <c r="F804" s="20" t="s">
        <v>104</v>
      </c>
      <c r="G804" s="20" t="s">
        <v>104</v>
      </c>
      <c r="H804" s="20" t="s">
        <v>48</v>
      </c>
      <c r="I804" s="20" t="s">
        <v>104</v>
      </c>
      <c r="J804" s="22" t="s">
        <v>3778</v>
      </c>
      <c r="K804" s="54" t="s">
        <v>3778</v>
      </c>
      <c r="L804" s="23" t="s">
        <v>3764</v>
      </c>
      <c r="M804" s="24" t="s">
        <v>7743</v>
      </c>
      <c r="N804" s="23">
        <v>18740003</v>
      </c>
      <c r="O804" s="25" t="s">
        <v>93</v>
      </c>
      <c r="P804" s="25" t="s">
        <v>53</v>
      </c>
      <c r="Q804" s="20" t="s">
        <v>3779</v>
      </c>
      <c r="R804" s="20">
        <v>62144792</v>
      </c>
      <c r="S804" s="25" t="s">
        <v>55</v>
      </c>
      <c r="T804" s="67" t="s">
        <v>56</v>
      </c>
      <c r="U804" s="23">
        <v>867353050207385</v>
      </c>
      <c r="V804" s="45" t="s">
        <v>110</v>
      </c>
      <c r="W804" s="20" t="s">
        <v>149</v>
      </c>
      <c r="X804" s="20" t="s">
        <v>150</v>
      </c>
      <c r="Y804" s="20" t="s">
        <v>150</v>
      </c>
      <c r="Z804" s="20" t="s">
        <v>60</v>
      </c>
      <c r="AA804" s="20" t="s">
        <v>61</v>
      </c>
      <c r="AB804" s="20" t="s">
        <v>96</v>
      </c>
      <c r="AC804" s="28">
        <v>369.83</v>
      </c>
      <c r="AD804" s="28">
        <f>SUM(BASE[[#This Row],[MONTO DE RENTA ]]*1.16)</f>
        <v>429.00279999999998</v>
      </c>
      <c r="AE804" s="28" t="s">
        <v>97</v>
      </c>
      <c r="AF804" s="28">
        <v>473.27586206896552</v>
      </c>
      <c r="AG804" s="28">
        <v>549</v>
      </c>
      <c r="AI804" s="68">
        <v>45142</v>
      </c>
      <c r="AJ804" s="68">
        <v>46024</v>
      </c>
      <c r="AK804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804" s="30"/>
      <c r="AN804" s="20" t="s">
        <v>99</v>
      </c>
      <c r="AP804" s="20" t="s">
        <v>66</v>
      </c>
      <c r="AQ804" s="20" t="s">
        <v>100</v>
      </c>
    </row>
    <row r="805" spans="1:43" ht="16">
      <c r="A805" s="20">
        <v>4771561981</v>
      </c>
      <c r="B805" s="49">
        <v>1039896</v>
      </c>
      <c r="C805" s="20" t="s">
        <v>964</v>
      </c>
      <c r="D805" s="20" t="s">
        <v>2689</v>
      </c>
      <c r="E805" s="20" t="s">
        <v>3780</v>
      </c>
      <c r="F805" s="20" t="s">
        <v>70</v>
      </c>
      <c r="G805" s="20" t="s">
        <v>70</v>
      </c>
      <c r="H805" s="20" t="s">
        <v>48</v>
      </c>
      <c r="I805" s="20" t="s">
        <v>70</v>
      </c>
      <c r="J805" s="22" t="s">
        <v>3781</v>
      </c>
      <c r="K805" s="22" t="s">
        <v>3781</v>
      </c>
      <c r="L805" s="23" t="s">
        <v>3764</v>
      </c>
      <c r="M805" s="24" t="s">
        <v>7743</v>
      </c>
      <c r="N805" s="23">
        <v>18740003</v>
      </c>
      <c r="O805" s="25" t="s">
        <v>93</v>
      </c>
      <c r="P805" s="25" t="s">
        <v>53</v>
      </c>
      <c r="Q805" s="20" t="s">
        <v>3782</v>
      </c>
      <c r="R805" s="20">
        <v>62025821</v>
      </c>
      <c r="S805" s="25" t="s">
        <v>55</v>
      </c>
      <c r="T805" s="26" t="s">
        <v>56</v>
      </c>
      <c r="U805" s="23">
        <v>357894929990591</v>
      </c>
      <c r="V805" s="27" t="s">
        <v>78</v>
      </c>
      <c r="W805" s="20" t="s">
        <v>95</v>
      </c>
      <c r="X805" s="20" t="s">
        <v>95</v>
      </c>
      <c r="Y805" s="20" t="s">
        <v>95</v>
      </c>
      <c r="Z805" s="20" t="s">
        <v>60</v>
      </c>
      <c r="AA805" s="20" t="s">
        <v>61</v>
      </c>
      <c r="AB805" s="20" t="s">
        <v>82</v>
      </c>
      <c r="AC805" s="28">
        <v>559.48</v>
      </c>
      <c r="AD805" s="28">
        <f>SUM(BASE[[#This Row],[MONTO DE RENTA ]]*1.16)</f>
        <v>648.99680000000001</v>
      </c>
      <c r="AE805" s="28" t="s">
        <v>83</v>
      </c>
      <c r="AF805" s="28">
        <v>559.48275862068965</v>
      </c>
      <c r="AG805" s="28">
        <v>649</v>
      </c>
      <c r="AI805" s="63">
        <v>44937</v>
      </c>
      <c r="AJ805" s="73">
        <v>46043</v>
      </c>
      <c r="AK8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05" s="30"/>
      <c r="AN805" s="20" t="s">
        <v>99</v>
      </c>
      <c r="AP805" s="20" t="s">
        <v>84</v>
      </c>
      <c r="AQ805" s="20" t="s">
        <v>100</v>
      </c>
    </row>
    <row r="806" spans="1:43" ht="16">
      <c r="A806" s="20">
        <v>4431629119</v>
      </c>
      <c r="B806" s="21">
        <v>410141</v>
      </c>
      <c r="C806" s="20" t="s">
        <v>263</v>
      </c>
      <c r="D806" s="20" t="s">
        <v>3783</v>
      </c>
      <c r="E806" s="20" t="s">
        <v>172</v>
      </c>
      <c r="F806" s="20" t="s">
        <v>47</v>
      </c>
      <c r="G806" s="20" t="s">
        <v>47</v>
      </c>
      <c r="H806" s="20" t="s">
        <v>48</v>
      </c>
      <c r="I806" s="20" t="s">
        <v>47</v>
      </c>
      <c r="J806" s="22" t="s">
        <v>3784</v>
      </c>
      <c r="K806" s="22" t="s">
        <v>3785</v>
      </c>
      <c r="L806" s="23" t="s">
        <v>3786</v>
      </c>
      <c r="M806" s="24" t="s">
        <v>7743</v>
      </c>
      <c r="N806" s="23">
        <v>18741003</v>
      </c>
      <c r="O806" s="25" t="s">
        <v>677</v>
      </c>
      <c r="P806" s="25" t="s">
        <v>53</v>
      </c>
      <c r="Q806" s="20" t="s">
        <v>3787</v>
      </c>
      <c r="R806" s="20">
        <v>53354236</v>
      </c>
      <c r="S806" s="25" t="s">
        <v>3788</v>
      </c>
      <c r="T806" s="26" t="s">
        <v>57</v>
      </c>
      <c r="U806" s="23">
        <v>860900062336425</v>
      </c>
      <c r="V806" s="27" t="s">
        <v>57</v>
      </c>
      <c r="W806" s="20" t="s">
        <v>58</v>
      </c>
      <c r="X806" s="20" t="s">
        <v>59</v>
      </c>
      <c r="Y806" s="20" t="s">
        <v>59</v>
      </c>
      <c r="Z806" s="20" t="s">
        <v>60</v>
      </c>
      <c r="AA806" s="20" t="s">
        <v>61</v>
      </c>
      <c r="AB806" s="20" t="s">
        <v>96</v>
      </c>
      <c r="AC806" s="28">
        <v>369.83</v>
      </c>
      <c r="AD806" s="28">
        <f>SUM(BASE[[#This Row],[MONTO DE RENTA ]]*1.16)</f>
        <v>429.00279999999998</v>
      </c>
      <c r="AE806" s="28" t="s">
        <v>63</v>
      </c>
      <c r="AF806" s="28">
        <v>369.82758620689657</v>
      </c>
      <c r="AG806" s="28">
        <v>429</v>
      </c>
      <c r="AH806" s="22" t="s">
        <v>64</v>
      </c>
      <c r="AI806" s="63">
        <v>45703</v>
      </c>
      <c r="AJ806" s="63">
        <v>46433</v>
      </c>
      <c r="AK8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6" s="30"/>
      <c r="AN806" s="20" t="s">
        <v>65</v>
      </c>
      <c r="AP806" s="20" t="s">
        <v>84</v>
      </c>
    </row>
    <row r="807" spans="1:43" ht="16">
      <c r="A807" s="20">
        <v>4431940603</v>
      </c>
      <c r="B807" s="59">
        <v>410229</v>
      </c>
      <c r="C807" s="20" t="s">
        <v>1810</v>
      </c>
      <c r="D807" s="20" t="s">
        <v>358</v>
      </c>
      <c r="E807" s="20" t="s">
        <v>293</v>
      </c>
      <c r="F807" s="20" t="s">
        <v>248</v>
      </c>
      <c r="G807" s="20" t="s">
        <v>248</v>
      </c>
      <c r="H807" s="20" t="s">
        <v>48</v>
      </c>
      <c r="I807" s="20" t="s">
        <v>248</v>
      </c>
      <c r="J807" s="22" t="s">
        <v>3789</v>
      </c>
      <c r="K807" s="22" t="s">
        <v>3789</v>
      </c>
      <c r="L807" s="23" t="s">
        <v>3786</v>
      </c>
      <c r="M807" s="24" t="s">
        <v>7743</v>
      </c>
      <c r="N807" s="23">
        <v>18741003</v>
      </c>
      <c r="O807" s="25" t="s">
        <v>677</v>
      </c>
      <c r="P807" s="25" t="s">
        <v>53</v>
      </c>
      <c r="Q807" s="20" t="s">
        <v>3790</v>
      </c>
      <c r="R807" s="20">
        <v>53335829</v>
      </c>
      <c r="S807" s="25" t="s">
        <v>3791</v>
      </c>
      <c r="T807" s="26" t="s">
        <v>57</v>
      </c>
      <c r="U807" s="23">
        <v>860900062334438</v>
      </c>
      <c r="V807" s="27" t="s">
        <v>57</v>
      </c>
      <c r="W807" s="20" t="s">
        <v>58</v>
      </c>
      <c r="X807" s="20" t="s">
        <v>59</v>
      </c>
      <c r="Y807" s="20" t="s">
        <v>59</v>
      </c>
      <c r="Z807" s="20" t="s">
        <v>60</v>
      </c>
      <c r="AA807" s="20" t="s">
        <v>61</v>
      </c>
      <c r="AB807" s="20" t="s">
        <v>96</v>
      </c>
      <c r="AC807" s="28">
        <v>369.83</v>
      </c>
      <c r="AD807" s="28">
        <f>SUM(BASE[[#This Row],[MONTO DE RENTA ]]*1.16)</f>
        <v>429.00279999999998</v>
      </c>
      <c r="AE807" s="28" t="s">
        <v>63</v>
      </c>
      <c r="AF807" s="28">
        <v>369.82758620689657</v>
      </c>
      <c r="AG807" s="28">
        <v>429</v>
      </c>
      <c r="AH807" s="22" t="s">
        <v>64</v>
      </c>
      <c r="AI807" s="63">
        <v>45703</v>
      </c>
      <c r="AJ807" s="63">
        <v>46433</v>
      </c>
      <c r="AK8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7" s="30"/>
      <c r="AN807" s="20" t="s">
        <v>65</v>
      </c>
      <c r="AP807" s="20" t="s">
        <v>84</v>
      </c>
    </row>
    <row r="808" spans="1:43" ht="16">
      <c r="A808" s="20">
        <v>4432530524</v>
      </c>
      <c r="B808" s="21">
        <v>1080561</v>
      </c>
      <c r="C808" s="20" t="s">
        <v>663</v>
      </c>
      <c r="D808" s="20" t="s">
        <v>1330</v>
      </c>
      <c r="E808" s="20" t="s">
        <v>206</v>
      </c>
      <c r="F808" s="20" t="s">
        <v>257</v>
      </c>
      <c r="G808" s="20" t="s">
        <v>257</v>
      </c>
      <c r="H808" s="20" t="s">
        <v>48</v>
      </c>
      <c r="I808" s="20" t="s">
        <v>257</v>
      </c>
      <c r="J808" s="22" t="s">
        <v>3792</v>
      </c>
      <c r="K808" s="22" t="s">
        <v>3792</v>
      </c>
      <c r="L808" s="25" t="s">
        <v>3786</v>
      </c>
      <c r="M808" s="24" t="s">
        <v>7743</v>
      </c>
      <c r="N808" s="23">
        <v>18741003</v>
      </c>
      <c r="O808" s="25" t="s">
        <v>677</v>
      </c>
      <c r="P808" s="25" t="s">
        <v>53</v>
      </c>
      <c r="Q808" s="20" t="s">
        <v>3793</v>
      </c>
      <c r="R808" s="20">
        <v>53345640</v>
      </c>
      <c r="S808" s="25" t="s">
        <v>3794</v>
      </c>
      <c r="T808" s="26" t="s">
        <v>57</v>
      </c>
      <c r="U808" s="23">
        <v>860478064847350</v>
      </c>
      <c r="V808" s="45" t="s">
        <v>110</v>
      </c>
      <c r="W808" s="20" t="s">
        <v>302</v>
      </c>
      <c r="X808" s="20" t="s">
        <v>303</v>
      </c>
      <c r="Y808" s="20" t="s">
        <v>303</v>
      </c>
      <c r="Z808" s="20" t="s">
        <v>80</v>
      </c>
      <c r="AA808" s="20" t="s">
        <v>81</v>
      </c>
      <c r="AB808" s="20" t="s">
        <v>82</v>
      </c>
      <c r="AC808" s="28">
        <v>559.48</v>
      </c>
      <c r="AD808" s="28">
        <f>SUM(BASE[[#This Row],[MONTO DE RENTA ]]*1.16)</f>
        <v>648.99680000000001</v>
      </c>
      <c r="AE808" s="28" t="s">
        <v>83</v>
      </c>
      <c r="AF808" s="28">
        <v>559.48275862068965</v>
      </c>
      <c r="AG808" s="28">
        <v>649</v>
      </c>
      <c r="AH808" s="22" t="s">
        <v>64</v>
      </c>
      <c r="AI808" s="29">
        <v>45703</v>
      </c>
      <c r="AJ808" s="29">
        <v>46433</v>
      </c>
      <c r="AK8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8" s="30"/>
      <c r="AN808" s="20" t="s">
        <v>65</v>
      </c>
      <c r="AP808" s="20" t="s">
        <v>84</v>
      </c>
    </row>
    <row r="809" spans="1:43" ht="16">
      <c r="A809" s="20">
        <v>4431052147</v>
      </c>
      <c r="B809" s="49">
        <v>410099</v>
      </c>
      <c r="C809" s="20" t="s">
        <v>1358</v>
      </c>
      <c r="D809" s="20" t="s">
        <v>3152</v>
      </c>
      <c r="E809" s="20" t="s">
        <v>476</v>
      </c>
      <c r="F809" s="20" t="s">
        <v>104</v>
      </c>
      <c r="G809" s="20" t="s">
        <v>104</v>
      </c>
      <c r="H809" s="20" t="s">
        <v>48</v>
      </c>
      <c r="I809" s="20" t="s">
        <v>104</v>
      </c>
      <c r="J809" s="22" t="s">
        <v>3795</v>
      </c>
      <c r="K809" s="22" t="s">
        <v>3795</v>
      </c>
      <c r="L809" s="23" t="s">
        <v>3786</v>
      </c>
      <c r="M809" s="24" t="s">
        <v>7743</v>
      </c>
      <c r="N809" s="23">
        <v>18741003</v>
      </c>
      <c r="O809" s="25" t="s">
        <v>677</v>
      </c>
      <c r="P809" s="25" t="s">
        <v>53</v>
      </c>
      <c r="Q809" s="20" t="s">
        <v>3796</v>
      </c>
      <c r="R809" s="20">
        <v>53345636</v>
      </c>
      <c r="S809" s="25" t="s">
        <v>3797</v>
      </c>
      <c r="T809" s="26" t="s">
        <v>57</v>
      </c>
      <c r="U809" s="23">
        <v>860478064847285</v>
      </c>
      <c r="V809" s="45" t="s">
        <v>110</v>
      </c>
      <c r="W809" s="20" t="s">
        <v>302</v>
      </c>
      <c r="X809" s="20" t="s">
        <v>303</v>
      </c>
      <c r="Y809" s="20" t="s">
        <v>303</v>
      </c>
      <c r="Z809" s="20" t="s">
        <v>80</v>
      </c>
      <c r="AA809" s="20" t="s">
        <v>81</v>
      </c>
      <c r="AB809" s="20" t="s">
        <v>82</v>
      </c>
      <c r="AC809" s="28">
        <v>559.48</v>
      </c>
      <c r="AD809" s="28">
        <f>SUM(BASE[[#This Row],[MONTO DE RENTA ]]*1.16)</f>
        <v>648.99680000000001</v>
      </c>
      <c r="AE809" s="28" t="s">
        <v>83</v>
      </c>
      <c r="AF809" s="28">
        <v>559.48275862068965</v>
      </c>
      <c r="AG809" s="28">
        <v>649</v>
      </c>
      <c r="AH809" s="22" t="s">
        <v>64</v>
      </c>
      <c r="AI809" s="63">
        <v>45703</v>
      </c>
      <c r="AJ809" s="63">
        <v>46433</v>
      </c>
      <c r="AK8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09" s="30"/>
      <c r="AN809" s="20" t="s">
        <v>65</v>
      </c>
      <c r="AP809" s="20" t="s">
        <v>84</v>
      </c>
    </row>
    <row r="810" spans="1:43" ht="16">
      <c r="A810" s="20">
        <v>4432530522</v>
      </c>
      <c r="B810" s="21">
        <v>410118</v>
      </c>
      <c r="C810" s="20" t="s">
        <v>1820</v>
      </c>
      <c r="D810" s="20" t="s">
        <v>377</v>
      </c>
      <c r="E810" s="20" t="s">
        <v>3798</v>
      </c>
      <c r="F810" s="20" t="s">
        <v>104</v>
      </c>
      <c r="G810" s="20" t="s">
        <v>104</v>
      </c>
      <c r="H810" s="20" t="s">
        <v>48</v>
      </c>
      <c r="I810" s="20" t="s">
        <v>104</v>
      </c>
      <c r="J810" s="22" t="s">
        <v>3799</v>
      </c>
      <c r="K810" s="22" t="s">
        <v>3799</v>
      </c>
      <c r="L810" s="23" t="s">
        <v>3786</v>
      </c>
      <c r="M810" s="24" t="s">
        <v>7743</v>
      </c>
      <c r="N810" s="23">
        <v>18741003</v>
      </c>
      <c r="O810" s="25" t="s">
        <v>677</v>
      </c>
      <c r="P810" s="25" t="s">
        <v>53</v>
      </c>
      <c r="Q810" s="20" t="s">
        <v>3800</v>
      </c>
      <c r="R810" s="20">
        <v>53345637</v>
      </c>
      <c r="S810" s="25" t="s">
        <v>3801</v>
      </c>
      <c r="T810" s="26" t="s">
        <v>57</v>
      </c>
      <c r="U810" s="23">
        <v>860478064847277</v>
      </c>
      <c r="V810" s="45" t="s">
        <v>110</v>
      </c>
      <c r="W810" s="20" t="s">
        <v>302</v>
      </c>
      <c r="X810" s="20" t="s">
        <v>303</v>
      </c>
      <c r="Y810" s="20" t="s">
        <v>303</v>
      </c>
      <c r="Z810" s="20" t="s">
        <v>80</v>
      </c>
      <c r="AA810" s="20" t="s">
        <v>81</v>
      </c>
      <c r="AB810" s="20" t="s">
        <v>82</v>
      </c>
      <c r="AC810" s="28">
        <v>559.48</v>
      </c>
      <c r="AD810" s="28">
        <f>SUM(BASE[[#This Row],[MONTO DE RENTA ]]*1.16)</f>
        <v>648.99680000000001</v>
      </c>
      <c r="AE810" s="28" t="s">
        <v>83</v>
      </c>
      <c r="AF810" s="28">
        <v>559.48275862068965</v>
      </c>
      <c r="AG810" s="28">
        <v>649</v>
      </c>
      <c r="AH810" s="22" t="s">
        <v>64</v>
      </c>
      <c r="AI810" s="63">
        <v>45703</v>
      </c>
      <c r="AJ810" s="63">
        <v>46433</v>
      </c>
      <c r="AK8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0" s="30"/>
      <c r="AN810" s="20" t="s">
        <v>65</v>
      </c>
      <c r="AP810" s="20" t="s">
        <v>84</v>
      </c>
    </row>
    <row r="811" spans="1:43" ht="16">
      <c r="A811" s="20">
        <v>4431977269</v>
      </c>
      <c r="B811" s="49">
        <v>70256</v>
      </c>
      <c r="C811" s="20" t="s">
        <v>3802</v>
      </c>
      <c r="D811" s="20" t="s">
        <v>952</v>
      </c>
      <c r="E811" s="20" t="s">
        <v>636</v>
      </c>
      <c r="F811" s="20" t="s">
        <v>70</v>
      </c>
      <c r="G811" s="20" t="s">
        <v>70</v>
      </c>
      <c r="H811" s="20" t="s">
        <v>48</v>
      </c>
      <c r="I811" s="20" t="s">
        <v>70</v>
      </c>
      <c r="J811" s="22" t="s">
        <v>3803</v>
      </c>
      <c r="K811" s="22" t="s">
        <v>3803</v>
      </c>
      <c r="L811" s="23" t="s">
        <v>3786</v>
      </c>
      <c r="M811" s="24" t="s">
        <v>7743</v>
      </c>
      <c r="N811" s="23">
        <v>18741003</v>
      </c>
      <c r="O811" s="25" t="s">
        <v>677</v>
      </c>
      <c r="P811" s="25" t="s">
        <v>53</v>
      </c>
      <c r="Q811" s="20" t="s">
        <v>3804</v>
      </c>
      <c r="R811" s="20">
        <v>53197238</v>
      </c>
      <c r="S811" s="25" t="s">
        <v>55</v>
      </c>
      <c r="T811" s="26" t="s">
        <v>56</v>
      </c>
      <c r="U811" s="23">
        <v>357654177843516</v>
      </c>
      <c r="V811" s="27" t="s">
        <v>78</v>
      </c>
      <c r="W811" s="20" t="s">
        <v>95</v>
      </c>
      <c r="X811" s="20" t="s">
        <v>95</v>
      </c>
      <c r="Y811" s="20" t="s">
        <v>95</v>
      </c>
      <c r="Z811" s="20" t="s">
        <v>60</v>
      </c>
      <c r="AA811" s="20" t="s">
        <v>61</v>
      </c>
      <c r="AB811" s="20" t="s">
        <v>82</v>
      </c>
      <c r="AC811" s="28">
        <v>559.48</v>
      </c>
      <c r="AD811" s="28">
        <f>SUM(BASE[[#This Row],[MONTO DE RENTA ]]*1.16)</f>
        <v>648.99680000000001</v>
      </c>
      <c r="AE811" s="28" t="s">
        <v>83</v>
      </c>
      <c r="AF811" s="28">
        <v>559.48275862068965</v>
      </c>
      <c r="AG811" s="28">
        <v>649</v>
      </c>
      <c r="AI811" s="63">
        <v>44937</v>
      </c>
      <c r="AJ811" s="73">
        <v>46043</v>
      </c>
      <c r="AK8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11" s="30"/>
      <c r="AN811" s="20" t="s">
        <v>99</v>
      </c>
      <c r="AP811" s="20" t="s">
        <v>84</v>
      </c>
      <c r="AQ811" s="20" t="s">
        <v>100</v>
      </c>
    </row>
    <row r="812" spans="1:43" ht="16">
      <c r="A812" s="20">
        <v>3310428312</v>
      </c>
      <c r="B812" s="49">
        <v>420066</v>
      </c>
      <c r="C812" s="20" t="s">
        <v>2549</v>
      </c>
      <c r="D812" s="20" t="s">
        <v>657</v>
      </c>
      <c r="E812" s="20" t="s">
        <v>411</v>
      </c>
      <c r="F812" s="20" t="s">
        <v>47</v>
      </c>
      <c r="G812" s="20" t="s">
        <v>47</v>
      </c>
      <c r="H812" s="20" t="s">
        <v>48</v>
      </c>
      <c r="I812" s="20" t="s">
        <v>47</v>
      </c>
      <c r="J812" s="22" t="s">
        <v>3805</v>
      </c>
      <c r="K812" s="22" t="s">
        <v>3805</v>
      </c>
      <c r="L812" s="23" t="s">
        <v>3806</v>
      </c>
      <c r="M812" s="24" t="s">
        <v>7746</v>
      </c>
      <c r="N812" s="23">
        <v>18742003</v>
      </c>
      <c r="O812" s="25" t="s">
        <v>677</v>
      </c>
      <c r="P812" s="25" t="s">
        <v>53</v>
      </c>
      <c r="Q812" s="20" t="s">
        <v>3807</v>
      </c>
      <c r="R812" s="20">
        <v>55157666</v>
      </c>
      <c r="S812" s="25" t="s">
        <v>55</v>
      </c>
      <c r="T812" s="26" t="s">
        <v>56</v>
      </c>
      <c r="U812" s="23">
        <v>865356065729147</v>
      </c>
      <c r="V812" s="27" t="s">
        <v>183</v>
      </c>
      <c r="W812" s="20" t="s">
        <v>129</v>
      </c>
      <c r="X812" s="20" t="s">
        <v>130</v>
      </c>
      <c r="Y812" s="20" t="s">
        <v>130</v>
      </c>
      <c r="Z812" s="20" t="s">
        <v>60</v>
      </c>
      <c r="AA812" s="20" t="s">
        <v>61</v>
      </c>
      <c r="AB812" s="20" t="s">
        <v>96</v>
      </c>
      <c r="AC812" s="28">
        <v>369.83</v>
      </c>
      <c r="AD812" s="28">
        <f>SUM(BASE[[#This Row],[MONTO DE RENTA ]]*1.16)</f>
        <v>429.00279999999998</v>
      </c>
      <c r="AE812" s="28" t="s">
        <v>63</v>
      </c>
      <c r="AF812" s="28">
        <v>369.82758620689657</v>
      </c>
      <c r="AG812" s="28">
        <v>429</v>
      </c>
      <c r="AI812" s="63">
        <v>44937</v>
      </c>
      <c r="AJ812" s="73">
        <v>46043</v>
      </c>
      <c r="AK8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12" s="30"/>
      <c r="AN812" s="20" t="s">
        <v>99</v>
      </c>
      <c r="AP812" s="20" t="s">
        <v>84</v>
      </c>
      <c r="AQ812" s="20" t="s">
        <v>100</v>
      </c>
    </row>
    <row r="813" spans="1:43" ht="16">
      <c r="A813" s="20">
        <v>3311530155</v>
      </c>
      <c r="B813" s="21">
        <v>1028989</v>
      </c>
      <c r="C813" s="20" t="s">
        <v>3808</v>
      </c>
      <c r="D813" s="20" t="s">
        <v>143</v>
      </c>
      <c r="E813" s="20" t="s">
        <v>1598</v>
      </c>
      <c r="F813" s="20" t="s">
        <v>483</v>
      </c>
      <c r="G813" s="20" t="s">
        <v>248</v>
      </c>
      <c r="H813" s="20" t="s">
        <v>48</v>
      </c>
      <c r="I813" s="20" t="s">
        <v>483</v>
      </c>
      <c r="J813" s="22" t="s">
        <v>3809</v>
      </c>
      <c r="K813" s="22" t="s">
        <v>3809</v>
      </c>
      <c r="L813" s="23" t="s">
        <v>3810</v>
      </c>
      <c r="M813" s="24" t="s">
        <v>7751</v>
      </c>
      <c r="N813" s="23">
        <v>18727000</v>
      </c>
      <c r="O813" s="25" t="s">
        <v>677</v>
      </c>
      <c r="P813" s="25" t="s">
        <v>53</v>
      </c>
      <c r="Q813" s="20" t="s">
        <v>3811</v>
      </c>
      <c r="R813" s="20">
        <v>53335814</v>
      </c>
      <c r="S813" s="25" t="s">
        <v>3812</v>
      </c>
      <c r="T813" s="26" t="s">
        <v>57</v>
      </c>
      <c r="U813" s="23">
        <v>860900062255914</v>
      </c>
      <c r="V813" s="27" t="s">
        <v>57</v>
      </c>
      <c r="W813" s="20" t="s">
        <v>58</v>
      </c>
      <c r="X813" s="20" t="s">
        <v>59</v>
      </c>
      <c r="Y813" s="20" t="s">
        <v>59</v>
      </c>
      <c r="Z813" s="20" t="s">
        <v>80</v>
      </c>
      <c r="AA813" s="20" t="s">
        <v>81</v>
      </c>
      <c r="AB813" s="20" t="s">
        <v>96</v>
      </c>
      <c r="AC813" s="28">
        <v>369.83</v>
      </c>
      <c r="AD813" s="28">
        <f>SUM(BASE[[#This Row],[MONTO DE RENTA ]]*1.16)</f>
        <v>429.00279999999998</v>
      </c>
      <c r="AE813" s="28" t="s">
        <v>63</v>
      </c>
      <c r="AF813" s="28">
        <v>369.82758620689657</v>
      </c>
      <c r="AG813" s="28">
        <v>429</v>
      </c>
      <c r="AH813" s="22" t="s">
        <v>64</v>
      </c>
      <c r="AI813" s="63">
        <v>45703</v>
      </c>
      <c r="AJ813" s="63">
        <v>46433</v>
      </c>
      <c r="AK8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3" s="30"/>
      <c r="AN813" s="20" t="s">
        <v>65</v>
      </c>
      <c r="AP813" s="20" t="s">
        <v>84</v>
      </c>
    </row>
    <row r="814" spans="1:43" ht="16">
      <c r="A814" s="20">
        <v>3314750137</v>
      </c>
      <c r="B814" s="59">
        <v>720106</v>
      </c>
      <c r="C814" s="20" t="s">
        <v>3813</v>
      </c>
      <c r="D814" s="20" t="s">
        <v>383</v>
      </c>
      <c r="E814" s="20" t="s">
        <v>657</v>
      </c>
      <c r="F814" s="20" t="s">
        <v>257</v>
      </c>
      <c r="G814" s="20" t="s">
        <v>257</v>
      </c>
      <c r="H814" s="20" t="s">
        <v>48</v>
      </c>
      <c r="I814" s="20" t="s">
        <v>257</v>
      </c>
      <c r="J814" s="22" t="s">
        <v>3814</v>
      </c>
      <c r="K814" s="22" t="s">
        <v>3814</v>
      </c>
      <c r="L814" s="23" t="s">
        <v>3806</v>
      </c>
      <c r="M814" s="24" t="s">
        <v>7746</v>
      </c>
      <c r="N814" s="23">
        <v>18742003</v>
      </c>
      <c r="O814" s="25" t="s">
        <v>677</v>
      </c>
      <c r="P814" s="25" t="s">
        <v>53</v>
      </c>
      <c r="Q814" s="20" t="s">
        <v>3815</v>
      </c>
      <c r="R814" s="20">
        <v>53309226</v>
      </c>
      <c r="S814" s="25" t="s">
        <v>3816</v>
      </c>
      <c r="T814" s="26" t="s">
        <v>57</v>
      </c>
      <c r="U814" s="23">
        <v>860478063746983</v>
      </c>
      <c r="V814" s="45" t="s">
        <v>110</v>
      </c>
      <c r="W814" s="20" t="s">
        <v>302</v>
      </c>
      <c r="X814" s="20" t="s">
        <v>303</v>
      </c>
      <c r="Y814" s="20" t="s">
        <v>303</v>
      </c>
      <c r="Z814" s="20" t="s">
        <v>80</v>
      </c>
      <c r="AA814" s="20" t="s">
        <v>81</v>
      </c>
      <c r="AB814" s="20" t="s">
        <v>82</v>
      </c>
      <c r="AC814" s="28">
        <v>559.48</v>
      </c>
      <c r="AD814" s="28">
        <f>SUM(BASE[[#This Row],[MONTO DE RENTA ]]*1.16)</f>
        <v>648.99680000000001</v>
      </c>
      <c r="AE814" s="28" t="s">
        <v>83</v>
      </c>
      <c r="AF814" s="28">
        <v>559.48275862068965</v>
      </c>
      <c r="AG814" s="28">
        <v>649</v>
      </c>
      <c r="AH814" s="22" t="s">
        <v>64</v>
      </c>
      <c r="AI814" s="63">
        <v>45703</v>
      </c>
      <c r="AJ814" s="63">
        <v>46433</v>
      </c>
      <c r="AK8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4" s="30"/>
      <c r="AN814" s="20" t="s">
        <v>65</v>
      </c>
      <c r="AP814" s="20" t="s">
        <v>84</v>
      </c>
    </row>
    <row r="815" spans="1:43" ht="16">
      <c r="A815" s="20">
        <v>3314750134</v>
      </c>
      <c r="B815" s="21">
        <v>420405</v>
      </c>
      <c r="C815" s="20" t="s">
        <v>3817</v>
      </c>
      <c r="D815" s="20" t="s">
        <v>383</v>
      </c>
      <c r="E815" s="20" t="s">
        <v>2567</v>
      </c>
      <c r="F815" s="20" t="s">
        <v>104</v>
      </c>
      <c r="G815" s="20" t="s">
        <v>104</v>
      </c>
      <c r="H815" s="20" t="s">
        <v>48</v>
      </c>
      <c r="I815" s="20" t="s">
        <v>104</v>
      </c>
      <c r="J815" s="32" t="s">
        <v>3818</v>
      </c>
      <c r="K815" s="32" t="s">
        <v>3818</v>
      </c>
      <c r="L815" s="23" t="s">
        <v>3806</v>
      </c>
      <c r="M815" s="24" t="s">
        <v>7746</v>
      </c>
      <c r="N815" s="23">
        <v>18742003</v>
      </c>
      <c r="O815" s="25" t="s">
        <v>677</v>
      </c>
      <c r="P815" s="25" t="s">
        <v>53</v>
      </c>
      <c r="Q815" s="20" t="s">
        <v>3819</v>
      </c>
      <c r="R815" s="20">
        <v>53345572</v>
      </c>
      <c r="S815" s="25" t="s">
        <v>3820</v>
      </c>
      <c r="T815" s="26" t="s">
        <v>57</v>
      </c>
      <c r="U815" s="23">
        <v>860478063794207</v>
      </c>
      <c r="V815" s="45" t="s">
        <v>110</v>
      </c>
      <c r="W815" s="20" t="s">
        <v>302</v>
      </c>
      <c r="X815" s="20" t="s">
        <v>303</v>
      </c>
      <c r="Y815" s="20" t="s">
        <v>303</v>
      </c>
      <c r="Z815" s="20" t="s">
        <v>80</v>
      </c>
      <c r="AA815" s="20" t="s">
        <v>81</v>
      </c>
      <c r="AB815" s="20" t="s">
        <v>82</v>
      </c>
      <c r="AC815" s="28">
        <v>559.48</v>
      </c>
      <c r="AD815" s="28">
        <f>SUM(BASE[[#This Row],[MONTO DE RENTA ]]*1.16)</f>
        <v>648.99680000000001</v>
      </c>
      <c r="AE815" s="28" t="s">
        <v>83</v>
      </c>
      <c r="AF815" s="28">
        <v>559.48275862068965</v>
      </c>
      <c r="AG815" s="28">
        <v>649</v>
      </c>
      <c r="AH815" s="22" t="s">
        <v>64</v>
      </c>
      <c r="AI815" s="63">
        <v>45703</v>
      </c>
      <c r="AJ815" s="63">
        <v>46433</v>
      </c>
      <c r="AK8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5" s="30"/>
      <c r="AN815" s="20" t="s">
        <v>65</v>
      </c>
      <c r="AP815" s="20" t="s">
        <v>84</v>
      </c>
    </row>
    <row r="816" spans="1:43" ht="16">
      <c r="A816" s="20">
        <v>3334077902</v>
      </c>
      <c r="B816" s="48">
        <v>420405</v>
      </c>
      <c r="C816" s="20" t="s">
        <v>3817</v>
      </c>
      <c r="D816" s="20" t="s">
        <v>383</v>
      </c>
      <c r="E816" s="20" t="s">
        <v>2567</v>
      </c>
      <c r="F816" s="20" t="s">
        <v>104</v>
      </c>
      <c r="G816" s="20" t="s">
        <v>104</v>
      </c>
      <c r="H816" s="20" t="s">
        <v>48</v>
      </c>
      <c r="I816" s="20" t="s">
        <v>104</v>
      </c>
      <c r="J816" s="54" t="s">
        <v>3821</v>
      </c>
      <c r="K816" s="54" t="s">
        <v>3821</v>
      </c>
      <c r="L816" s="23" t="s">
        <v>3806</v>
      </c>
      <c r="M816" s="24" t="s">
        <v>7746</v>
      </c>
      <c r="N816" s="23">
        <v>18742003</v>
      </c>
      <c r="O816" s="25" t="s">
        <v>677</v>
      </c>
      <c r="P816" s="25" t="s">
        <v>53</v>
      </c>
      <c r="Q816" s="20" t="s">
        <v>3822</v>
      </c>
      <c r="R816" s="20">
        <v>55716961</v>
      </c>
      <c r="S816" s="25" t="s">
        <v>3823</v>
      </c>
      <c r="T816" s="44" t="s">
        <v>77</v>
      </c>
      <c r="U816" s="23">
        <v>860478064862375</v>
      </c>
      <c r="V816" s="45" t="s">
        <v>110</v>
      </c>
      <c r="W816" s="20" t="s">
        <v>302</v>
      </c>
      <c r="X816" s="20" t="s">
        <v>303</v>
      </c>
      <c r="Y816" s="20" t="s">
        <v>303</v>
      </c>
      <c r="Z816" s="20" t="s">
        <v>80</v>
      </c>
      <c r="AA816" s="20" t="s">
        <v>81</v>
      </c>
      <c r="AB816" s="20" t="s">
        <v>82</v>
      </c>
      <c r="AC816" s="28">
        <v>559.48</v>
      </c>
      <c r="AD816" s="28">
        <f>SUM(BASE[[#This Row],[MONTO DE RENTA ]]*1.16)</f>
        <v>648.99680000000001</v>
      </c>
      <c r="AE816" s="28" t="s">
        <v>83</v>
      </c>
      <c r="AF816" s="28">
        <v>559.48275862068965</v>
      </c>
      <c r="AG816" s="28">
        <v>649</v>
      </c>
      <c r="AH816" s="22" t="s">
        <v>64</v>
      </c>
      <c r="AI816" s="63">
        <v>45713</v>
      </c>
      <c r="AJ816" s="63">
        <v>46433</v>
      </c>
      <c r="AK8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6" s="30"/>
      <c r="AN816" s="20" t="s">
        <v>65</v>
      </c>
      <c r="AP816" s="20" t="s">
        <v>84</v>
      </c>
    </row>
    <row r="817" spans="1:43" ht="16">
      <c r="A817" s="20">
        <v>3312809880</v>
      </c>
      <c r="B817" s="49">
        <v>1018833</v>
      </c>
      <c r="C817" s="20" t="s">
        <v>3824</v>
      </c>
      <c r="D817" s="20" t="s">
        <v>187</v>
      </c>
      <c r="E817" s="20" t="s">
        <v>3825</v>
      </c>
      <c r="F817" s="20" t="s">
        <v>3826</v>
      </c>
      <c r="G817" s="20" t="s">
        <v>122</v>
      </c>
      <c r="H817" s="20" t="s">
        <v>48</v>
      </c>
      <c r="I817" s="20" t="s">
        <v>3826</v>
      </c>
      <c r="J817" s="22" t="s">
        <v>3827</v>
      </c>
      <c r="K817" s="22" t="s">
        <v>3827</v>
      </c>
      <c r="L817" s="23" t="s">
        <v>3828</v>
      </c>
      <c r="M817" s="24" t="s">
        <v>7746</v>
      </c>
      <c r="N817" s="23">
        <v>18772000</v>
      </c>
      <c r="O817" s="25" t="s">
        <v>677</v>
      </c>
      <c r="P817" s="25" t="s">
        <v>53</v>
      </c>
      <c r="Q817" s="20" t="s">
        <v>3829</v>
      </c>
      <c r="R817" s="20">
        <v>53804770</v>
      </c>
      <c r="S817" s="25" t="s">
        <v>55</v>
      </c>
      <c r="T817" s="44" t="s">
        <v>56</v>
      </c>
      <c r="U817" s="23">
        <v>865356065730228</v>
      </c>
      <c r="V817" s="27" t="s">
        <v>183</v>
      </c>
      <c r="W817" s="20" t="s">
        <v>129</v>
      </c>
      <c r="X817" s="20" t="s">
        <v>130</v>
      </c>
      <c r="Y817" s="20" t="s">
        <v>130</v>
      </c>
      <c r="Z817" s="20" t="s">
        <v>60</v>
      </c>
      <c r="AA817" s="20" t="s">
        <v>61</v>
      </c>
      <c r="AB817" s="20" t="s">
        <v>96</v>
      </c>
      <c r="AC817" s="28">
        <v>369.83</v>
      </c>
      <c r="AD817" s="28">
        <f>SUM(BASE[[#This Row],[MONTO DE RENTA ]]*1.16)</f>
        <v>429.00279999999998</v>
      </c>
      <c r="AE817" s="28" t="s">
        <v>63</v>
      </c>
      <c r="AF817" s="28">
        <v>369.82758620689657</v>
      </c>
      <c r="AG817" s="28">
        <v>429</v>
      </c>
      <c r="AH817" s="22" t="s">
        <v>64</v>
      </c>
      <c r="AI817" s="63">
        <v>45323</v>
      </c>
      <c r="AJ817" s="63">
        <v>46054</v>
      </c>
      <c r="AK81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17" s="30"/>
      <c r="AN817" s="20" t="s">
        <v>99</v>
      </c>
      <c r="AP817" s="20" t="s">
        <v>84</v>
      </c>
      <c r="AQ817" s="20" t="s">
        <v>100</v>
      </c>
    </row>
    <row r="818" spans="1:43" ht="16">
      <c r="A818" s="20">
        <v>3318620325</v>
      </c>
      <c r="B818" s="49">
        <v>270237</v>
      </c>
      <c r="C818" s="20" t="s">
        <v>3830</v>
      </c>
      <c r="D818" s="20" t="s">
        <v>3831</v>
      </c>
      <c r="E818" s="20" t="s">
        <v>937</v>
      </c>
      <c r="F818" s="20" t="s">
        <v>70</v>
      </c>
      <c r="G818" s="20" t="s">
        <v>70</v>
      </c>
      <c r="H818" s="20" t="s">
        <v>48</v>
      </c>
      <c r="I818" s="20" t="s">
        <v>70</v>
      </c>
      <c r="J818" s="22" t="s">
        <v>3832</v>
      </c>
      <c r="K818" s="22" t="s">
        <v>3832</v>
      </c>
      <c r="L818" s="23" t="s">
        <v>3806</v>
      </c>
      <c r="M818" s="24" t="s">
        <v>7746</v>
      </c>
      <c r="N818" s="23">
        <v>18742003</v>
      </c>
      <c r="O818" s="25" t="s">
        <v>677</v>
      </c>
      <c r="P818" s="25" t="s">
        <v>53</v>
      </c>
      <c r="Q818" s="20" t="s">
        <v>3833</v>
      </c>
      <c r="R818" s="20">
        <v>53162350</v>
      </c>
      <c r="S818" s="25" t="s">
        <v>55</v>
      </c>
      <c r="T818" s="26" t="s">
        <v>56</v>
      </c>
      <c r="U818" s="23">
        <v>357654178822758</v>
      </c>
      <c r="V818" s="27" t="s">
        <v>78</v>
      </c>
      <c r="W818" s="20" t="s">
        <v>95</v>
      </c>
      <c r="X818" s="20" t="s">
        <v>95</v>
      </c>
      <c r="Y818" s="20" t="s">
        <v>95</v>
      </c>
      <c r="Z818" s="20" t="s">
        <v>60</v>
      </c>
      <c r="AA818" s="20" t="s">
        <v>61</v>
      </c>
      <c r="AB818" s="20" t="s">
        <v>82</v>
      </c>
      <c r="AC818" s="28">
        <v>559.48</v>
      </c>
      <c r="AD818" s="28">
        <f>SUM(BASE[[#This Row],[MONTO DE RENTA ]]*1.16)</f>
        <v>648.99680000000001</v>
      </c>
      <c r="AE818" s="28" t="s">
        <v>83</v>
      </c>
      <c r="AF818" s="28">
        <v>559.48275862068965</v>
      </c>
      <c r="AG818" s="28">
        <v>649</v>
      </c>
      <c r="AI818" s="63">
        <v>44937</v>
      </c>
      <c r="AJ818" s="73">
        <v>46043</v>
      </c>
      <c r="AK8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18" s="30"/>
      <c r="AN818" s="20" t="s">
        <v>99</v>
      </c>
      <c r="AP818" s="20" t="s">
        <v>84</v>
      </c>
      <c r="AQ818" s="20" t="s">
        <v>100</v>
      </c>
    </row>
    <row r="819" spans="1:43" ht="16">
      <c r="A819" s="20">
        <v>9992025995</v>
      </c>
      <c r="B819" s="21">
        <v>430415</v>
      </c>
      <c r="C819" s="20" t="s">
        <v>3834</v>
      </c>
      <c r="D819" s="20" t="s">
        <v>3835</v>
      </c>
      <c r="E819" s="20" t="s">
        <v>1151</v>
      </c>
      <c r="F819" s="20" t="s">
        <v>47</v>
      </c>
      <c r="G819" s="20" t="s">
        <v>47</v>
      </c>
      <c r="H819" s="20" t="s">
        <v>48</v>
      </c>
      <c r="I819" s="20" t="s">
        <v>47</v>
      </c>
      <c r="J819" s="22" t="s">
        <v>3836</v>
      </c>
      <c r="K819" s="22" t="s">
        <v>3836</v>
      </c>
      <c r="L819" s="23" t="s">
        <v>3810</v>
      </c>
      <c r="M819" s="24" t="s">
        <v>7751</v>
      </c>
      <c r="N819" s="23">
        <v>18743003</v>
      </c>
      <c r="O819" s="25" t="s">
        <v>1035</v>
      </c>
      <c r="P819" s="25" t="s">
        <v>53</v>
      </c>
      <c r="Q819" s="20" t="s">
        <v>3837</v>
      </c>
      <c r="R819" s="20">
        <v>82311634</v>
      </c>
      <c r="S819" s="25" t="s">
        <v>3838</v>
      </c>
      <c r="T819" s="26" t="s">
        <v>57</v>
      </c>
      <c r="U819" s="23">
        <v>860900062257399</v>
      </c>
      <c r="V819" s="27" t="s">
        <v>57</v>
      </c>
      <c r="W819" s="20" t="s">
        <v>58</v>
      </c>
      <c r="X819" s="20" t="s">
        <v>59</v>
      </c>
      <c r="Y819" s="20" t="s">
        <v>59</v>
      </c>
      <c r="Z819" s="20" t="s">
        <v>80</v>
      </c>
      <c r="AA819" s="20" t="s">
        <v>81</v>
      </c>
      <c r="AB819" s="20" t="s">
        <v>96</v>
      </c>
      <c r="AC819" s="28">
        <v>369.83</v>
      </c>
      <c r="AD819" s="28">
        <f>SUM(BASE[[#This Row],[MONTO DE RENTA ]]*1.16)</f>
        <v>429.00279999999998</v>
      </c>
      <c r="AE819" s="28" t="s">
        <v>63</v>
      </c>
      <c r="AF819" s="28">
        <v>369.82758620689657</v>
      </c>
      <c r="AG819" s="28">
        <v>429</v>
      </c>
      <c r="AH819" s="22" t="s">
        <v>64</v>
      </c>
      <c r="AI819" s="63">
        <v>45713</v>
      </c>
      <c r="AJ819" s="63">
        <v>46433</v>
      </c>
      <c r="AK8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19" s="30"/>
      <c r="AN819" s="20" t="s">
        <v>65</v>
      </c>
      <c r="AP819" s="20" t="s">
        <v>84</v>
      </c>
    </row>
    <row r="820" spans="1:43" ht="16">
      <c r="A820" s="20">
        <v>9992071793</v>
      </c>
      <c r="B820" s="21">
        <v>1032571</v>
      </c>
      <c r="C820" s="20" t="s">
        <v>3839</v>
      </c>
      <c r="D820" s="20" t="s">
        <v>3753</v>
      </c>
      <c r="E820" s="20" t="s">
        <v>437</v>
      </c>
      <c r="F820" s="20" t="s">
        <v>1923</v>
      </c>
      <c r="G820" s="20" t="s">
        <v>248</v>
      </c>
      <c r="H820" s="20" t="s">
        <v>48</v>
      </c>
      <c r="I820" s="20" t="s">
        <v>1923</v>
      </c>
      <c r="J820" s="22" t="s">
        <v>3840</v>
      </c>
      <c r="K820" s="22" t="s">
        <v>3840</v>
      </c>
      <c r="L820" s="23" t="s">
        <v>3810</v>
      </c>
      <c r="M820" s="24" t="s">
        <v>7751</v>
      </c>
      <c r="N820" s="23">
        <v>18743003</v>
      </c>
      <c r="O820" s="25" t="s">
        <v>1035</v>
      </c>
      <c r="P820" s="25" t="s">
        <v>53</v>
      </c>
      <c r="Q820" s="20" t="s">
        <v>3841</v>
      </c>
      <c r="R820" s="20">
        <v>82297910</v>
      </c>
      <c r="S820" s="25" t="s">
        <v>3842</v>
      </c>
      <c r="T820" s="26" t="s">
        <v>57</v>
      </c>
      <c r="U820" s="23">
        <v>860900062256714</v>
      </c>
      <c r="V820" s="27" t="s">
        <v>57</v>
      </c>
      <c r="W820" s="20" t="s">
        <v>58</v>
      </c>
      <c r="X820" s="20" t="s">
        <v>59</v>
      </c>
      <c r="Y820" s="20" t="s">
        <v>59</v>
      </c>
      <c r="Z820" s="20" t="s">
        <v>80</v>
      </c>
      <c r="AA820" s="20" t="s">
        <v>81</v>
      </c>
      <c r="AB820" s="20" t="s">
        <v>96</v>
      </c>
      <c r="AC820" s="28">
        <v>369.83</v>
      </c>
      <c r="AD820" s="28">
        <f>SUM(BASE[[#This Row],[MONTO DE RENTA ]]*1.16)</f>
        <v>429.00279999999998</v>
      </c>
      <c r="AE820" s="28" t="s">
        <v>63</v>
      </c>
      <c r="AF820" s="28">
        <v>369.82758620689657</v>
      </c>
      <c r="AG820" s="28">
        <v>429</v>
      </c>
      <c r="AH820" s="22" t="s">
        <v>64</v>
      </c>
      <c r="AI820" s="63">
        <v>45713</v>
      </c>
      <c r="AJ820" s="63">
        <v>46433</v>
      </c>
      <c r="AK8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0" s="192"/>
      <c r="AN820" s="20" t="s">
        <v>65</v>
      </c>
      <c r="AP820" s="20" t="s">
        <v>84</v>
      </c>
    </row>
    <row r="821" spans="1:43" ht="16">
      <c r="A821" s="20">
        <v>9991872282</v>
      </c>
      <c r="B821" s="21">
        <v>998630</v>
      </c>
      <c r="C821" s="20" t="s">
        <v>3843</v>
      </c>
      <c r="D821" s="20" t="s">
        <v>3844</v>
      </c>
      <c r="E821" s="20" t="s">
        <v>376</v>
      </c>
      <c r="F821" s="20" t="s">
        <v>530</v>
      </c>
      <c r="G821" s="20" t="s">
        <v>257</v>
      </c>
      <c r="H821" s="20" t="s">
        <v>48</v>
      </c>
      <c r="I821" s="20" t="s">
        <v>530</v>
      </c>
      <c r="J821" s="22" t="s">
        <v>3845</v>
      </c>
      <c r="K821" s="22" t="s">
        <v>3845</v>
      </c>
      <c r="L821" s="23" t="s">
        <v>3810</v>
      </c>
      <c r="M821" s="24" t="s">
        <v>7751</v>
      </c>
      <c r="N821" s="23">
        <v>18743003</v>
      </c>
      <c r="O821" s="25" t="s">
        <v>1035</v>
      </c>
      <c r="P821" s="25" t="s">
        <v>53</v>
      </c>
      <c r="Q821" s="20" t="s">
        <v>3846</v>
      </c>
      <c r="R821" s="20">
        <v>82305743</v>
      </c>
      <c r="S821" s="25" t="s">
        <v>3847</v>
      </c>
      <c r="T821" s="26" t="s">
        <v>57</v>
      </c>
      <c r="U821" s="23">
        <v>867471072383115</v>
      </c>
      <c r="V821" s="45" t="s">
        <v>110</v>
      </c>
      <c r="W821" s="20" t="s">
        <v>269</v>
      </c>
      <c r="X821" s="20" t="s">
        <v>270</v>
      </c>
      <c r="Y821" s="20" t="s">
        <v>270</v>
      </c>
      <c r="Z821" s="20" t="s">
        <v>80</v>
      </c>
      <c r="AA821" s="20" t="s">
        <v>81</v>
      </c>
      <c r="AB821" s="20" t="s">
        <v>82</v>
      </c>
      <c r="AC821" s="28">
        <v>559.48</v>
      </c>
      <c r="AD821" s="28">
        <f>SUM(BASE[[#This Row],[MONTO DE RENTA ]]*1.16)</f>
        <v>648.99680000000001</v>
      </c>
      <c r="AE821" s="28" t="s">
        <v>83</v>
      </c>
      <c r="AF821" s="28">
        <v>559.48275862068965</v>
      </c>
      <c r="AG821" s="28">
        <v>649</v>
      </c>
      <c r="AH821" s="22" t="s">
        <v>140</v>
      </c>
      <c r="AI821" s="63">
        <v>45988</v>
      </c>
      <c r="AJ821" s="63">
        <v>46718</v>
      </c>
      <c r="AK821" s="30">
        <f ca="1">IFERROR(IF(BASE[[#This Row],[FECHA DE RENOVACION ]]&gt;TODAY(), DATEDIF(TODAY(),BASE[[#This Row],[FECHA DE RENOVACION ]],"M"), -DATEDIF(BASE[[#This Row],[FECHA DE RENOVACION ]],TODAY(),"M")), "Sin fecha")</f>
        <v>20</v>
      </c>
      <c r="AL821" s="20" t="s">
        <v>3848</v>
      </c>
      <c r="AM821" s="30"/>
      <c r="AN821" s="20" t="s">
        <v>65</v>
      </c>
      <c r="AP821" s="20" t="s">
        <v>84</v>
      </c>
    </row>
    <row r="822" spans="1:43" ht="16">
      <c r="A822" s="20">
        <v>9991791200</v>
      </c>
      <c r="B822" s="21">
        <v>430465</v>
      </c>
      <c r="C822" s="20" t="s">
        <v>3849</v>
      </c>
      <c r="D822" s="20" t="s">
        <v>1152</v>
      </c>
      <c r="E822" s="20" t="s">
        <v>1922</v>
      </c>
      <c r="F822" s="20" t="s">
        <v>104</v>
      </c>
      <c r="G822" s="20" t="s">
        <v>104</v>
      </c>
      <c r="H822" s="20" t="s">
        <v>48</v>
      </c>
      <c r="I822" s="20" t="s">
        <v>104</v>
      </c>
      <c r="J822" s="32" t="s">
        <v>3850</v>
      </c>
      <c r="K822" s="32" t="s">
        <v>3851</v>
      </c>
      <c r="L822" s="23" t="s">
        <v>3810</v>
      </c>
      <c r="M822" s="24" t="s">
        <v>7751</v>
      </c>
      <c r="N822" s="23">
        <v>18743003</v>
      </c>
      <c r="O822" s="25" t="s">
        <v>1035</v>
      </c>
      <c r="P822" s="25" t="s">
        <v>53</v>
      </c>
      <c r="Q822" s="20" t="s">
        <v>3852</v>
      </c>
      <c r="R822" s="20">
        <v>82305756</v>
      </c>
      <c r="S822" s="25" t="s">
        <v>3853</v>
      </c>
      <c r="T822" s="26" t="s">
        <v>57</v>
      </c>
      <c r="U822" s="23">
        <v>860478064969188</v>
      </c>
      <c r="V822" s="45" t="s">
        <v>110</v>
      </c>
      <c r="W822" s="20" t="s">
        <v>302</v>
      </c>
      <c r="X822" s="20" t="s">
        <v>303</v>
      </c>
      <c r="Y822" s="20" t="s">
        <v>303</v>
      </c>
      <c r="Z822" s="20" t="s">
        <v>80</v>
      </c>
      <c r="AA822" s="20" t="s">
        <v>81</v>
      </c>
      <c r="AB822" s="20" t="s">
        <v>82</v>
      </c>
      <c r="AC822" s="28">
        <v>559.48</v>
      </c>
      <c r="AD822" s="28">
        <f>SUM(BASE[[#This Row],[MONTO DE RENTA ]]*1.16)</f>
        <v>648.99680000000001</v>
      </c>
      <c r="AE822" s="28" t="s">
        <v>83</v>
      </c>
      <c r="AF822" s="28">
        <v>559.48275862068965</v>
      </c>
      <c r="AG822" s="28">
        <v>649</v>
      </c>
      <c r="AI822" s="63">
        <v>44937</v>
      </c>
      <c r="AJ822" s="84">
        <v>46681</v>
      </c>
      <c r="AK822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822" s="30"/>
      <c r="AN822" s="20" t="s">
        <v>65</v>
      </c>
      <c r="AP822" s="20" t="s">
        <v>84</v>
      </c>
    </row>
    <row r="823" spans="1:43" s="87" customFormat="1" ht="16">
      <c r="A823" s="87">
        <v>5535004095</v>
      </c>
      <c r="B823" s="215">
        <v>0</v>
      </c>
      <c r="C823" s="87" t="s">
        <v>1653</v>
      </c>
      <c r="D823" s="87" t="s">
        <v>1654</v>
      </c>
      <c r="E823" s="87" t="s">
        <v>1655</v>
      </c>
      <c r="F823" s="87" t="s">
        <v>1656</v>
      </c>
      <c r="G823" s="87" t="s">
        <v>122</v>
      </c>
      <c r="H823" s="87" t="s">
        <v>1657</v>
      </c>
      <c r="I823" s="87" t="s">
        <v>1658</v>
      </c>
      <c r="J823" s="216" t="s">
        <v>3854</v>
      </c>
      <c r="K823" s="217" t="s">
        <v>3855</v>
      </c>
      <c r="L823" s="218" t="s">
        <v>3856</v>
      </c>
      <c r="M823" s="219" t="s">
        <v>7736</v>
      </c>
      <c r="N823" s="218" t="s">
        <v>1661</v>
      </c>
      <c r="O823" s="220" t="s">
        <v>52</v>
      </c>
      <c r="P823" s="220" t="s">
        <v>3857</v>
      </c>
      <c r="Q823" s="87" t="s">
        <v>3858</v>
      </c>
      <c r="R823" s="87">
        <v>97803368</v>
      </c>
      <c r="S823" s="220" t="s">
        <v>55</v>
      </c>
      <c r="T823" s="221" t="s">
        <v>56</v>
      </c>
      <c r="U823" s="218">
        <v>860900062258181</v>
      </c>
      <c r="V823" s="222" t="s">
        <v>57</v>
      </c>
      <c r="W823" s="87" t="s">
        <v>58</v>
      </c>
      <c r="X823" s="87" t="s">
        <v>59</v>
      </c>
      <c r="Y823" s="87" t="s">
        <v>59</v>
      </c>
      <c r="Z823" s="87" t="s">
        <v>60</v>
      </c>
      <c r="AA823" s="87" t="s">
        <v>61</v>
      </c>
      <c r="AB823" s="87" t="s">
        <v>62</v>
      </c>
      <c r="AC823" s="223">
        <v>197.41</v>
      </c>
      <c r="AD823" s="223">
        <f>SUM(BASE[[#This Row],[MONTO DE RENTA ]]*1.16)</f>
        <v>228.99559999999997</v>
      </c>
      <c r="AE823" s="223" t="s">
        <v>63</v>
      </c>
      <c r="AF823" s="223">
        <v>369.82758620689657</v>
      </c>
      <c r="AG823" s="223">
        <v>429</v>
      </c>
      <c r="AH823" s="217" t="s">
        <v>64</v>
      </c>
      <c r="AI823" s="224">
        <v>45703</v>
      </c>
      <c r="AJ823" s="224">
        <v>46433</v>
      </c>
      <c r="AK823" s="225">
        <f ca="1">IFERROR(IF(BASE[[#This Row],[FECHA DE RENOVACION ]]&gt;TODAY(), DATEDIF(TODAY(),BASE[[#This Row],[FECHA DE RENOVACION ]],"M"), -DATEDIF(BASE[[#This Row],[FECHA DE RENOVACION ]],TODAY(),"M")), "Sin fecha")</f>
        <v>11</v>
      </c>
      <c r="AM823" s="225"/>
      <c r="AN823" s="87" t="s">
        <v>65</v>
      </c>
      <c r="AO823" s="20"/>
      <c r="AP823" s="87" t="s">
        <v>66</v>
      </c>
    </row>
    <row r="824" spans="1:43" ht="16">
      <c r="A824" s="20">
        <v>9991872104</v>
      </c>
      <c r="B824" s="59">
        <v>1086763</v>
      </c>
      <c r="C824" s="20" t="s">
        <v>3859</v>
      </c>
      <c r="D824" s="20" t="s">
        <v>3860</v>
      </c>
      <c r="E824" s="20" t="s">
        <v>3861</v>
      </c>
      <c r="F824" s="20" t="s">
        <v>104</v>
      </c>
      <c r="G824" s="20" t="s">
        <v>104</v>
      </c>
      <c r="H824" s="20" t="s">
        <v>48</v>
      </c>
      <c r="I824" s="20" t="s">
        <v>104</v>
      </c>
      <c r="J824" s="32" t="s">
        <v>3862</v>
      </c>
      <c r="K824" s="32" t="s">
        <v>3862</v>
      </c>
      <c r="L824" s="23" t="s">
        <v>3810</v>
      </c>
      <c r="M824" s="24" t="s">
        <v>7751</v>
      </c>
      <c r="N824" s="23">
        <v>18743003</v>
      </c>
      <c r="O824" s="25" t="s">
        <v>1035</v>
      </c>
      <c r="P824" s="25" t="s">
        <v>53</v>
      </c>
      <c r="Q824" s="20" t="s">
        <v>3863</v>
      </c>
      <c r="R824" s="20">
        <v>82305757</v>
      </c>
      <c r="S824" s="25" t="s">
        <v>3864</v>
      </c>
      <c r="T824" s="26" t="s">
        <v>57</v>
      </c>
      <c r="U824" s="23">
        <v>860478063558867</v>
      </c>
      <c r="V824" s="45" t="s">
        <v>110</v>
      </c>
      <c r="W824" s="20" t="s">
        <v>302</v>
      </c>
      <c r="X824" s="20" t="s">
        <v>303</v>
      </c>
      <c r="Y824" s="20" t="s">
        <v>303</v>
      </c>
      <c r="Z824" s="20" t="s">
        <v>80</v>
      </c>
      <c r="AA824" s="20" t="s">
        <v>81</v>
      </c>
      <c r="AB824" s="20" t="s">
        <v>82</v>
      </c>
      <c r="AC824" s="28">
        <v>559.48</v>
      </c>
      <c r="AD824" s="28">
        <f>SUM(BASE[[#This Row],[MONTO DE RENTA ]]*1.16)</f>
        <v>648.99680000000001</v>
      </c>
      <c r="AE824" s="28" t="s">
        <v>83</v>
      </c>
      <c r="AF824" s="28">
        <v>559.48275862068965</v>
      </c>
      <c r="AG824" s="28">
        <v>649</v>
      </c>
      <c r="AH824" s="22" t="s">
        <v>64</v>
      </c>
      <c r="AI824" s="63">
        <v>45713</v>
      </c>
      <c r="AJ824" s="63">
        <v>46433</v>
      </c>
      <c r="AK8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4" s="30"/>
      <c r="AN824" s="20" t="s">
        <v>65</v>
      </c>
      <c r="AP824" s="20" t="s">
        <v>84</v>
      </c>
    </row>
    <row r="825" spans="1:43" ht="16">
      <c r="A825" s="20">
        <v>9992074446</v>
      </c>
      <c r="B825" s="49">
        <v>430377</v>
      </c>
      <c r="C825" s="20" t="s">
        <v>1862</v>
      </c>
      <c r="D825" s="20" t="s">
        <v>143</v>
      </c>
      <c r="E825" s="20" t="s">
        <v>347</v>
      </c>
      <c r="F825" s="20" t="s">
        <v>70</v>
      </c>
      <c r="G825" s="20" t="s">
        <v>70</v>
      </c>
      <c r="H825" s="20" t="s">
        <v>48</v>
      </c>
      <c r="I825" s="20" t="s">
        <v>70</v>
      </c>
      <c r="J825" s="22" t="s">
        <v>3865</v>
      </c>
      <c r="K825" s="22" t="s">
        <v>3865</v>
      </c>
      <c r="L825" s="23" t="s">
        <v>3810</v>
      </c>
      <c r="M825" s="24" t="s">
        <v>7751</v>
      </c>
      <c r="N825" s="23">
        <v>18743003</v>
      </c>
      <c r="O825" s="25" t="s">
        <v>1035</v>
      </c>
      <c r="P825" s="25" t="s">
        <v>53</v>
      </c>
      <c r="Q825" s="20" t="s">
        <v>3866</v>
      </c>
      <c r="R825" s="20">
        <v>82200535</v>
      </c>
      <c r="S825" s="25" t="s">
        <v>55</v>
      </c>
      <c r="T825" s="26" t="s">
        <v>56</v>
      </c>
      <c r="U825" s="23">
        <v>357654178971621</v>
      </c>
      <c r="V825" s="27" t="s">
        <v>78</v>
      </c>
      <c r="W825" s="20" t="s">
        <v>95</v>
      </c>
      <c r="X825" s="20" t="s">
        <v>95</v>
      </c>
      <c r="Y825" s="20" t="s">
        <v>95</v>
      </c>
      <c r="Z825" s="20" t="s">
        <v>60</v>
      </c>
      <c r="AA825" s="20" t="s">
        <v>61</v>
      </c>
      <c r="AB825" s="20" t="s">
        <v>82</v>
      </c>
      <c r="AC825" s="28">
        <v>559.48</v>
      </c>
      <c r="AD825" s="28">
        <f>SUM(BASE[[#This Row],[MONTO DE RENTA ]]*1.16)</f>
        <v>648.99680000000001</v>
      </c>
      <c r="AE825" s="28" t="s">
        <v>83</v>
      </c>
      <c r="AF825" s="28">
        <v>559.48275862068965</v>
      </c>
      <c r="AG825" s="28">
        <v>649</v>
      </c>
      <c r="AI825" s="63">
        <v>44937</v>
      </c>
      <c r="AJ825" s="73">
        <v>46043</v>
      </c>
      <c r="AK8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25" s="30"/>
      <c r="AN825" s="20" t="s">
        <v>99</v>
      </c>
      <c r="AP825" s="20" t="s">
        <v>84</v>
      </c>
      <c r="AQ825" s="20" t="s">
        <v>100</v>
      </c>
    </row>
    <row r="826" spans="1:43" ht="16">
      <c r="A826" s="20">
        <v>5533965700</v>
      </c>
      <c r="B826" s="21">
        <v>440434</v>
      </c>
      <c r="C826" s="20" t="s">
        <v>3222</v>
      </c>
      <c r="D826" s="20" t="s">
        <v>3867</v>
      </c>
      <c r="E826" s="20" t="s">
        <v>1245</v>
      </c>
      <c r="F826" s="20" t="s">
        <v>418</v>
      </c>
      <c r="G826" s="20" t="s">
        <v>47</v>
      </c>
      <c r="H826" s="20" t="s">
        <v>48</v>
      </c>
      <c r="I826" s="20" t="s">
        <v>418</v>
      </c>
      <c r="J826" s="22" t="s">
        <v>3868</v>
      </c>
      <c r="K826" s="22" t="s">
        <v>3868</v>
      </c>
      <c r="L826" s="23" t="s">
        <v>3856</v>
      </c>
      <c r="M826" s="24" t="s">
        <v>7736</v>
      </c>
      <c r="N826" s="23">
        <v>18744003</v>
      </c>
      <c r="O826" s="25" t="s">
        <v>52</v>
      </c>
      <c r="P826" s="25" t="s">
        <v>53</v>
      </c>
      <c r="Q826" s="20" t="s">
        <v>3869</v>
      </c>
      <c r="R826" s="20">
        <v>90182564</v>
      </c>
      <c r="S826" s="25" t="s">
        <v>3870</v>
      </c>
      <c r="T826" s="26" t="s">
        <v>57</v>
      </c>
      <c r="U826" s="23">
        <v>860900062323530</v>
      </c>
      <c r="V826" s="27" t="s">
        <v>57</v>
      </c>
      <c r="W826" s="20" t="s">
        <v>58</v>
      </c>
      <c r="X826" s="20" t="s">
        <v>59</v>
      </c>
      <c r="Y826" s="20" t="s">
        <v>59</v>
      </c>
      <c r="Z826" s="20" t="s">
        <v>60</v>
      </c>
      <c r="AA826" s="20" t="s">
        <v>61</v>
      </c>
      <c r="AB826" s="20" t="s">
        <v>96</v>
      </c>
      <c r="AC826" s="28">
        <v>369.83</v>
      </c>
      <c r="AD826" s="28">
        <f>SUM(BASE[[#This Row],[MONTO DE RENTA ]]*1.16)</f>
        <v>429.00279999999998</v>
      </c>
      <c r="AE826" s="28" t="s">
        <v>63</v>
      </c>
      <c r="AF826" s="28">
        <v>369.82758620689657</v>
      </c>
      <c r="AG826" s="28">
        <v>429</v>
      </c>
      <c r="AH826" s="22" t="s">
        <v>64</v>
      </c>
      <c r="AI826" s="63">
        <v>45703</v>
      </c>
      <c r="AJ826" s="63">
        <v>46433</v>
      </c>
      <c r="AK8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6" s="30"/>
      <c r="AN826" s="20" t="s">
        <v>65</v>
      </c>
      <c r="AP826" s="20" t="s">
        <v>84</v>
      </c>
    </row>
    <row r="827" spans="1:43" ht="16">
      <c r="A827" s="20">
        <v>5514037042</v>
      </c>
      <c r="B827" s="21">
        <v>1006255</v>
      </c>
      <c r="C827" s="20" t="s">
        <v>902</v>
      </c>
      <c r="D827" s="20" t="s">
        <v>437</v>
      </c>
      <c r="E827" s="20" t="s">
        <v>411</v>
      </c>
      <c r="F827" s="20" t="s">
        <v>451</v>
      </c>
      <c r="G827" s="20" t="s">
        <v>248</v>
      </c>
      <c r="H827" s="20" t="s">
        <v>48</v>
      </c>
      <c r="I827" s="20" t="s">
        <v>451</v>
      </c>
      <c r="J827" s="22" t="s">
        <v>3871</v>
      </c>
      <c r="K827" s="22" t="s">
        <v>3871</v>
      </c>
      <c r="L827" s="23" t="s">
        <v>3856</v>
      </c>
      <c r="M827" s="24" t="s">
        <v>7736</v>
      </c>
      <c r="N827" s="23">
        <v>18702000</v>
      </c>
      <c r="O827" s="25" t="s">
        <v>52</v>
      </c>
      <c r="P827" s="25" t="s">
        <v>53</v>
      </c>
      <c r="Q827" s="20" t="s">
        <v>3872</v>
      </c>
      <c r="R827" s="20">
        <v>90135398</v>
      </c>
      <c r="S827" s="25" t="s">
        <v>3873</v>
      </c>
      <c r="T827" s="26" t="s">
        <v>57</v>
      </c>
      <c r="U827" s="23">
        <v>860900062320411</v>
      </c>
      <c r="V827" s="27" t="s">
        <v>57</v>
      </c>
      <c r="W827" s="20" t="s">
        <v>58</v>
      </c>
      <c r="X827" s="20" t="s">
        <v>59</v>
      </c>
      <c r="Y827" s="20" t="s">
        <v>59</v>
      </c>
      <c r="Z827" s="20" t="s">
        <v>60</v>
      </c>
      <c r="AA827" s="20" t="s">
        <v>61</v>
      </c>
      <c r="AB827" s="20" t="s">
        <v>96</v>
      </c>
      <c r="AC827" s="28">
        <v>369.83</v>
      </c>
      <c r="AD827" s="28">
        <f>SUM(BASE[[#This Row],[MONTO DE RENTA ]]*1.16)</f>
        <v>429.00279999999998</v>
      </c>
      <c r="AE827" s="28" t="s">
        <v>63</v>
      </c>
      <c r="AF827" s="28">
        <v>369.82758620689657</v>
      </c>
      <c r="AG827" s="28">
        <v>429</v>
      </c>
      <c r="AH827" s="22" t="s">
        <v>64</v>
      </c>
      <c r="AI827" s="63">
        <v>45703</v>
      </c>
      <c r="AJ827" s="63">
        <v>46433</v>
      </c>
      <c r="AK8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7" s="30"/>
      <c r="AN827" s="20" t="s">
        <v>65</v>
      </c>
      <c r="AP827" s="20" t="s">
        <v>84</v>
      </c>
    </row>
    <row r="828" spans="1:43" ht="16">
      <c r="A828" s="20">
        <v>5516266700</v>
      </c>
      <c r="B828" s="21">
        <v>1084533</v>
      </c>
      <c r="C828" s="20" t="s">
        <v>3874</v>
      </c>
      <c r="D828" s="20" t="s">
        <v>1346</v>
      </c>
      <c r="E828" s="20" t="s">
        <v>3703</v>
      </c>
      <c r="F828" s="20" t="s">
        <v>104</v>
      </c>
      <c r="G828" s="20" t="s">
        <v>104</v>
      </c>
      <c r="H828" s="20" t="s">
        <v>48</v>
      </c>
      <c r="I828" s="20" t="s">
        <v>104</v>
      </c>
      <c r="J828" s="32" t="s">
        <v>3875</v>
      </c>
      <c r="K828" s="32" t="s">
        <v>3875</v>
      </c>
      <c r="L828" s="23" t="s">
        <v>3856</v>
      </c>
      <c r="M828" s="24" t="s">
        <v>7736</v>
      </c>
      <c r="N828" s="23">
        <v>18744003</v>
      </c>
      <c r="O828" s="25" t="s">
        <v>52</v>
      </c>
      <c r="P828" s="25" t="s">
        <v>53</v>
      </c>
      <c r="Q828" s="20" t="s">
        <v>3876</v>
      </c>
      <c r="R828" s="20">
        <v>90069787</v>
      </c>
      <c r="S828" s="25" t="s">
        <v>3877</v>
      </c>
      <c r="T828" s="26" t="s">
        <v>57</v>
      </c>
      <c r="U828" s="23">
        <v>860478064863217</v>
      </c>
      <c r="V828" s="45" t="s">
        <v>110</v>
      </c>
      <c r="W828" s="20" t="s">
        <v>302</v>
      </c>
      <c r="X828" s="20" t="s">
        <v>303</v>
      </c>
      <c r="Y828" s="20" t="s">
        <v>303</v>
      </c>
      <c r="Z828" s="20" t="s">
        <v>80</v>
      </c>
      <c r="AA828" s="20" t="s">
        <v>81</v>
      </c>
      <c r="AB828" s="20" t="s">
        <v>82</v>
      </c>
      <c r="AC828" s="28">
        <v>559.48</v>
      </c>
      <c r="AD828" s="28">
        <f>SUM(BASE[[#This Row],[MONTO DE RENTA ]]*1.16)</f>
        <v>648.99680000000001</v>
      </c>
      <c r="AE828" s="28" t="s">
        <v>83</v>
      </c>
      <c r="AF828" s="28">
        <v>559.48275862068965</v>
      </c>
      <c r="AG828" s="28">
        <v>649</v>
      </c>
      <c r="AH828" s="22" t="s">
        <v>140</v>
      </c>
      <c r="AI828" s="63">
        <v>45755</v>
      </c>
      <c r="AJ828" s="63">
        <v>46485</v>
      </c>
      <c r="AK828" s="30">
        <f ca="1">IFERROR(IF(BASE[[#This Row],[FECHA DE RENOVACION ]]&gt;TODAY(), DATEDIF(TODAY(),BASE[[#This Row],[FECHA DE RENOVACION ]],"M"), -DATEDIF(BASE[[#This Row],[FECHA DE RENOVACION ]],TODAY(),"M")), "Sin fecha")</f>
        <v>13</v>
      </c>
      <c r="AL828" s="20">
        <v>18744003</v>
      </c>
      <c r="AM828" s="30"/>
      <c r="AN828" s="20" t="s">
        <v>65</v>
      </c>
      <c r="AP828" s="20" t="s">
        <v>84</v>
      </c>
    </row>
    <row r="829" spans="1:43" ht="16">
      <c r="A829" s="20">
        <v>5533034588</v>
      </c>
      <c r="B829" s="21">
        <v>996756</v>
      </c>
      <c r="C829" s="20" t="s">
        <v>3878</v>
      </c>
      <c r="D829" s="20" t="s">
        <v>456</v>
      </c>
      <c r="E829" s="20" t="s">
        <v>3879</v>
      </c>
      <c r="F829" s="20" t="s">
        <v>104</v>
      </c>
      <c r="G829" s="20" t="s">
        <v>104</v>
      </c>
      <c r="H829" s="20" t="s">
        <v>48</v>
      </c>
      <c r="I829" s="20" t="s">
        <v>104</v>
      </c>
      <c r="J829" s="32" t="s">
        <v>3880</v>
      </c>
      <c r="K829" s="32" t="s">
        <v>3880</v>
      </c>
      <c r="L829" s="23" t="s">
        <v>3856</v>
      </c>
      <c r="M829" s="24" t="s">
        <v>7736</v>
      </c>
      <c r="N829" s="23">
        <v>18702000</v>
      </c>
      <c r="O829" s="25" t="s">
        <v>52</v>
      </c>
      <c r="P829" s="25" t="s">
        <v>53</v>
      </c>
      <c r="Q829" s="20" t="s">
        <v>3881</v>
      </c>
      <c r="R829" s="20">
        <v>90069846</v>
      </c>
      <c r="S829" s="25" t="s">
        <v>3882</v>
      </c>
      <c r="T829" s="26" t="s">
        <v>57</v>
      </c>
      <c r="U829" s="23">
        <v>860478064858860</v>
      </c>
      <c r="V829" s="45" t="s">
        <v>110</v>
      </c>
      <c r="W829" s="20" t="s">
        <v>302</v>
      </c>
      <c r="X829" s="20" t="s">
        <v>303</v>
      </c>
      <c r="Y829" s="20" t="s">
        <v>303</v>
      </c>
      <c r="Z829" s="20" t="s">
        <v>60</v>
      </c>
      <c r="AA829" s="20" t="s">
        <v>61</v>
      </c>
      <c r="AB829" s="20" t="s">
        <v>96</v>
      </c>
      <c r="AC829" s="28">
        <v>369.83</v>
      </c>
      <c r="AD829" s="28">
        <f>SUM(BASE[[#This Row],[MONTO DE RENTA ]]*1.16)</f>
        <v>429.00279999999998</v>
      </c>
      <c r="AE829" s="28" t="s">
        <v>97</v>
      </c>
      <c r="AF829" s="28">
        <v>473.27586206896552</v>
      </c>
      <c r="AG829" s="28">
        <v>549</v>
      </c>
      <c r="AH829" s="22" t="s">
        <v>64</v>
      </c>
      <c r="AI829" s="63">
        <v>45703</v>
      </c>
      <c r="AJ829" s="63">
        <v>46433</v>
      </c>
      <c r="AK8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29" s="30"/>
      <c r="AN829" s="20" t="s">
        <v>65</v>
      </c>
      <c r="AP829" s="20" t="s">
        <v>66</v>
      </c>
    </row>
    <row r="830" spans="1:43" ht="16">
      <c r="A830" s="20">
        <v>9992780200</v>
      </c>
      <c r="B830" s="113">
        <v>1013672</v>
      </c>
      <c r="C830" s="20" t="s">
        <v>3883</v>
      </c>
      <c r="D830" s="20" t="s">
        <v>45</v>
      </c>
      <c r="E830" s="20" t="s">
        <v>3748</v>
      </c>
      <c r="F830" s="20" t="s">
        <v>122</v>
      </c>
      <c r="G830" s="20" t="s">
        <v>122</v>
      </c>
      <c r="H830" s="20" t="s">
        <v>48</v>
      </c>
      <c r="I830" s="20" t="s">
        <v>122</v>
      </c>
      <c r="J830" s="22" t="s">
        <v>3884</v>
      </c>
      <c r="K830" s="22" t="s">
        <v>3884</v>
      </c>
      <c r="L830" s="23" t="s">
        <v>3810</v>
      </c>
      <c r="M830" s="24" t="s">
        <v>7751</v>
      </c>
      <c r="N830" s="23">
        <v>18745003</v>
      </c>
      <c r="O830" s="25" t="s">
        <v>1035</v>
      </c>
      <c r="P830" s="25" t="s">
        <v>53</v>
      </c>
      <c r="Q830" s="20" t="s">
        <v>3885</v>
      </c>
      <c r="R830" s="20">
        <v>82688771</v>
      </c>
      <c r="S830" s="25" t="s">
        <v>55</v>
      </c>
      <c r="T830" s="26" t="s">
        <v>56</v>
      </c>
      <c r="U830" s="23">
        <v>860982060869649</v>
      </c>
      <c r="V830" s="27" t="s">
        <v>183</v>
      </c>
      <c r="W830" s="20" t="s">
        <v>129</v>
      </c>
      <c r="X830" s="20" t="s">
        <v>130</v>
      </c>
      <c r="Y830" s="20" t="s">
        <v>130</v>
      </c>
      <c r="Z830" s="20" t="s">
        <v>60</v>
      </c>
      <c r="AA830" s="20" t="s">
        <v>61</v>
      </c>
      <c r="AB830" s="20" t="s">
        <v>96</v>
      </c>
      <c r="AC830" s="28">
        <v>369.83</v>
      </c>
      <c r="AD830" s="28">
        <f>SUM(BASE[[#This Row],[MONTO DE RENTA ]]*1.16)</f>
        <v>429.00279999999998</v>
      </c>
      <c r="AE830" s="28" t="s">
        <v>63</v>
      </c>
      <c r="AF830" s="28">
        <v>369.82758620689657</v>
      </c>
      <c r="AG830" s="28">
        <v>429</v>
      </c>
      <c r="AI830" s="29">
        <v>44937</v>
      </c>
      <c r="AJ830" s="50">
        <v>46043</v>
      </c>
      <c r="AK83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30" s="30"/>
      <c r="AN830" s="20" t="s">
        <v>99</v>
      </c>
      <c r="AP830" s="20" t="s">
        <v>84</v>
      </c>
      <c r="AQ830" s="20" t="s">
        <v>100</v>
      </c>
    </row>
    <row r="831" spans="1:43" ht="16">
      <c r="A831" s="20">
        <v>5527888608</v>
      </c>
      <c r="B831" s="49">
        <v>760005</v>
      </c>
      <c r="C831" s="20" t="s">
        <v>2321</v>
      </c>
      <c r="D831" s="20" t="s">
        <v>2322</v>
      </c>
      <c r="E831" s="20" t="s">
        <v>187</v>
      </c>
      <c r="F831" s="20" t="s">
        <v>70</v>
      </c>
      <c r="G831" s="20" t="s">
        <v>70</v>
      </c>
      <c r="H831" s="20" t="s">
        <v>48</v>
      </c>
      <c r="I831" s="20" t="s">
        <v>70</v>
      </c>
      <c r="J831" s="22" t="s">
        <v>3886</v>
      </c>
      <c r="K831" s="22" t="s">
        <v>3886</v>
      </c>
      <c r="L831" s="23" t="s">
        <v>3856</v>
      </c>
      <c r="M831" s="24" t="s">
        <v>7736</v>
      </c>
      <c r="N831" s="23">
        <v>18744003</v>
      </c>
      <c r="O831" s="25" t="s">
        <v>52</v>
      </c>
      <c r="P831" s="25" t="s">
        <v>53</v>
      </c>
      <c r="Q831" s="20" t="s">
        <v>3887</v>
      </c>
      <c r="R831" s="20">
        <v>9808595</v>
      </c>
      <c r="S831" s="25" t="s">
        <v>3888</v>
      </c>
      <c r="T831" s="26" t="s">
        <v>77</v>
      </c>
      <c r="U831" s="23">
        <v>357654177758953</v>
      </c>
      <c r="V831" s="27" t="s">
        <v>78</v>
      </c>
      <c r="W831" s="20" t="s">
        <v>95</v>
      </c>
      <c r="X831" s="20" t="s">
        <v>95</v>
      </c>
      <c r="Y831" s="20" t="s">
        <v>95</v>
      </c>
      <c r="Z831" s="20" t="s">
        <v>261</v>
      </c>
      <c r="AA831" s="20" t="s">
        <v>473</v>
      </c>
      <c r="AB831" s="20" t="s">
        <v>474</v>
      </c>
      <c r="AC831" s="28">
        <v>559.48</v>
      </c>
      <c r="AD831" s="28">
        <f>SUM(BASE[[#This Row],[MONTO DE RENTA ]]*1.16)</f>
        <v>648.99680000000001</v>
      </c>
      <c r="AE831" s="28" t="s">
        <v>83</v>
      </c>
      <c r="AF831" s="28">
        <v>559.48275862068965</v>
      </c>
      <c r="AG831" s="28">
        <v>649</v>
      </c>
      <c r="AI831" s="63">
        <v>44937</v>
      </c>
      <c r="AJ831" s="73">
        <v>46043</v>
      </c>
      <c r="AK83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31" s="30"/>
      <c r="AN831" s="20" t="s">
        <v>99</v>
      </c>
      <c r="AP831" s="20" t="s">
        <v>84</v>
      </c>
      <c r="AQ831" s="20" t="s">
        <v>100</v>
      </c>
    </row>
    <row r="832" spans="1:43" ht="16">
      <c r="A832" s="20">
        <v>5579633020</v>
      </c>
      <c r="B832" s="113">
        <v>1049984</v>
      </c>
      <c r="C832" s="20" t="s">
        <v>3889</v>
      </c>
      <c r="D832" s="20" t="s">
        <v>186</v>
      </c>
      <c r="E832" s="20" t="s">
        <v>376</v>
      </c>
      <c r="F832" s="20" t="s">
        <v>418</v>
      </c>
      <c r="G832" s="20" t="s">
        <v>47</v>
      </c>
      <c r="H832" s="20" t="s">
        <v>48</v>
      </c>
      <c r="I832" s="20" t="s">
        <v>418</v>
      </c>
      <c r="J832" s="22" t="s">
        <v>3890</v>
      </c>
      <c r="K832" s="22" t="s">
        <v>3890</v>
      </c>
      <c r="L832" s="23" t="s">
        <v>3891</v>
      </c>
      <c r="M832" s="24" t="s">
        <v>7741</v>
      </c>
      <c r="N832" s="23">
        <v>18745003</v>
      </c>
      <c r="O832" s="25" t="s">
        <v>52</v>
      </c>
      <c r="P832" s="25" t="s">
        <v>53</v>
      </c>
      <c r="Q832" s="20" t="s">
        <v>3892</v>
      </c>
      <c r="R832" s="20">
        <v>95131247</v>
      </c>
      <c r="S832" s="25" t="s">
        <v>3893</v>
      </c>
      <c r="T832" s="26" t="s">
        <v>57</v>
      </c>
      <c r="U832" s="23">
        <v>860900062334156</v>
      </c>
      <c r="V832" s="27" t="s">
        <v>57</v>
      </c>
      <c r="W832" s="20" t="s">
        <v>58</v>
      </c>
      <c r="X832" s="20" t="s">
        <v>59</v>
      </c>
      <c r="Y832" s="20" t="s">
        <v>59</v>
      </c>
      <c r="Z832" s="20" t="s">
        <v>60</v>
      </c>
      <c r="AA832" s="20" t="s">
        <v>61</v>
      </c>
      <c r="AB832" s="20" t="s">
        <v>96</v>
      </c>
      <c r="AC832" s="28">
        <v>369.83</v>
      </c>
      <c r="AD832" s="28">
        <f>SUM(BASE[[#This Row],[MONTO DE RENTA ]]*1.16)</f>
        <v>429.00279999999998</v>
      </c>
      <c r="AE832" s="28" t="s">
        <v>63</v>
      </c>
      <c r="AF832" s="28">
        <v>369.82758620689657</v>
      </c>
      <c r="AG832" s="28">
        <v>429</v>
      </c>
      <c r="AH832" s="22" t="s">
        <v>64</v>
      </c>
      <c r="AI832" s="63">
        <v>45713</v>
      </c>
      <c r="AJ832" s="63">
        <v>46433</v>
      </c>
      <c r="AK8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2" s="30"/>
      <c r="AN832" s="20" t="s">
        <v>65</v>
      </c>
      <c r="AP832" s="20" t="s">
        <v>84</v>
      </c>
    </row>
    <row r="833" spans="1:43" ht="16">
      <c r="A833" s="20">
        <v>5518825158</v>
      </c>
      <c r="B833" s="21">
        <v>1013013</v>
      </c>
      <c r="C833" s="20" t="s">
        <v>927</v>
      </c>
      <c r="D833" s="20" t="s">
        <v>186</v>
      </c>
      <c r="E833" s="20" t="s">
        <v>442</v>
      </c>
      <c r="F833" s="20" t="s">
        <v>723</v>
      </c>
      <c r="G833" s="20" t="s">
        <v>47</v>
      </c>
      <c r="H833" s="20" t="s">
        <v>48</v>
      </c>
      <c r="I833" s="20" t="s">
        <v>723</v>
      </c>
      <c r="J833" s="54" t="s">
        <v>3894</v>
      </c>
      <c r="K833" s="54" t="s">
        <v>3894</v>
      </c>
      <c r="L833" s="23" t="s">
        <v>3891</v>
      </c>
      <c r="M833" s="24" t="s">
        <v>7741</v>
      </c>
      <c r="N833" s="23">
        <v>11317000</v>
      </c>
      <c r="O833" s="25" t="s">
        <v>52</v>
      </c>
      <c r="P833" s="25" t="s">
        <v>53</v>
      </c>
      <c r="Q833" s="20" t="s">
        <v>3895</v>
      </c>
      <c r="R833" s="20">
        <v>90182530</v>
      </c>
      <c r="S833" s="25" t="s">
        <v>3896</v>
      </c>
      <c r="T833" s="65" t="s">
        <v>57</v>
      </c>
      <c r="U833" s="23">
        <v>860900062334156</v>
      </c>
      <c r="V833" s="27" t="s">
        <v>57</v>
      </c>
      <c r="W833" s="20" t="s">
        <v>58</v>
      </c>
      <c r="X833" s="20" t="s">
        <v>59</v>
      </c>
      <c r="Y833" s="20" t="s">
        <v>59</v>
      </c>
      <c r="Z833" s="20" t="s">
        <v>60</v>
      </c>
      <c r="AA833" s="20" t="s">
        <v>61</v>
      </c>
      <c r="AB833" s="20" t="s">
        <v>96</v>
      </c>
      <c r="AC833" s="28">
        <v>369.83</v>
      </c>
      <c r="AD833" s="28">
        <f>SUM(BASE[[#This Row],[MONTO DE RENTA ]]*1.16)</f>
        <v>429.00279999999998</v>
      </c>
      <c r="AE833" s="28" t="s">
        <v>63</v>
      </c>
      <c r="AF833" s="28">
        <v>369.82758620689657</v>
      </c>
      <c r="AG833" s="28">
        <v>429</v>
      </c>
      <c r="AH833" s="22" t="s">
        <v>448</v>
      </c>
      <c r="AI833" s="63">
        <v>45407</v>
      </c>
      <c r="AJ833" s="63">
        <v>46402</v>
      </c>
      <c r="AK83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833" s="20">
        <v>18745003</v>
      </c>
      <c r="AM833" s="30"/>
      <c r="AN833" s="20" t="s">
        <v>65</v>
      </c>
      <c r="AP833" s="20" t="s">
        <v>84</v>
      </c>
    </row>
    <row r="834" spans="1:43" ht="16">
      <c r="A834" s="20">
        <v>5579453486</v>
      </c>
      <c r="B834" s="49">
        <v>240078</v>
      </c>
      <c r="C834" s="20" t="s">
        <v>3897</v>
      </c>
      <c r="D834" s="20" t="s">
        <v>456</v>
      </c>
      <c r="E834" s="20" t="s">
        <v>1768</v>
      </c>
      <c r="F834" s="20" t="s">
        <v>463</v>
      </c>
      <c r="G834" s="20" t="s">
        <v>463</v>
      </c>
      <c r="H834" s="20" t="s">
        <v>48</v>
      </c>
      <c r="I834" s="20" t="s">
        <v>463</v>
      </c>
      <c r="J834" s="32" t="s">
        <v>3898</v>
      </c>
      <c r="K834" s="32" t="s">
        <v>3898</v>
      </c>
      <c r="L834" s="23" t="s">
        <v>3891</v>
      </c>
      <c r="M834" s="24" t="s">
        <v>7741</v>
      </c>
      <c r="N834" s="23">
        <v>18745003</v>
      </c>
      <c r="O834" s="25" t="s">
        <v>52</v>
      </c>
      <c r="P834" s="25" t="s">
        <v>53</v>
      </c>
      <c r="Q834" s="20" t="s">
        <v>3899</v>
      </c>
      <c r="R834" s="20">
        <v>96213737</v>
      </c>
      <c r="S834" s="25" t="s">
        <v>55</v>
      </c>
      <c r="T834" s="26" t="s">
        <v>56</v>
      </c>
      <c r="U834" s="23">
        <v>350578543199831</v>
      </c>
      <c r="V834" s="27" t="s">
        <v>183</v>
      </c>
      <c r="W834" s="20" t="s">
        <v>3900</v>
      </c>
      <c r="X834" s="20" t="s">
        <v>3901</v>
      </c>
      <c r="Y834" s="20" t="s">
        <v>3901</v>
      </c>
      <c r="Z834" s="20" t="s">
        <v>60</v>
      </c>
      <c r="AA834" s="20" t="s">
        <v>61</v>
      </c>
      <c r="AB834" s="20" t="s">
        <v>96</v>
      </c>
      <c r="AC834" s="28">
        <v>369.83</v>
      </c>
      <c r="AD834" s="28">
        <f>SUM(BASE[[#This Row],[MONTO DE RENTA ]]*1.16)</f>
        <v>429.00279999999998</v>
      </c>
      <c r="AE834" s="28" t="s">
        <v>63</v>
      </c>
      <c r="AF834" s="28">
        <v>369.82758620689657</v>
      </c>
      <c r="AG834" s="28">
        <v>429</v>
      </c>
      <c r="AI834" s="63">
        <v>44937</v>
      </c>
      <c r="AJ834" s="73">
        <v>46043</v>
      </c>
      <c r="AK8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34" s="30"/>
      <c r="AN834" s="20" t="s">
        <v>99</v>
      </c>
      <c r="AP834" s="20" t="s">
        <v>84</v>
      </c>
      <c r="AQ834" s="20" t="s">
        <v>100</v>
      </c>
    </row>
    <row r="835" spans="1:43" ht="16">
      <c r="A835" s="20">
        <v>5518816852</v>
      </c>
      <c r="B835" s="21">
        <v>1003239</v>
      </c>
      <c r="C835" s="20" t="s">
        <v>3902</v>
      </c>
      <c r="D835" s="20" t="s">
        <v>3521</v>
      </c>
      <c r="E835" s="20" t="s">
        <v>247</v>
      </c>
      <c r="F835" s="20" t="s">
        <v>451</v>
      </c>
      <c r="G835" s="20" t="s">
        <v>248</v>
      </c>
      <c r="H835" s="20" t="s">
        <v>48</v>
      </c>
      <c r="I835" s="20" t="s">
        <v>451</v>
      </c>
      <c r="J835" s="22" t="s">
        <v>3903</v>
      </c>
      <c r="K835" s="22" t="s">
        <v>3903</v>
      </c>
      <c r="L835" s="23" t="s">
        <v>3891</v>
      </c>
      <c r="M835" s="24" t="s">
        <v>7741</v>
      </c>
      <c r="N835" s="23">
        <v>18745003</v>
      </c>
      <c r="O835" s="25" t="s">
        <v>52</v>
      </c>
      <c r="P835" s="25" t="s">
        <v>53</v>
      </c>
      <c r="Q835" s="20" t="s">
        <v>3904</v>
      </c>
      <c r="R835" s="20">
        <v>90136515</v>
      </c>
      <c r="S835" s="25" t="s">
        <v>3905</v>
      </c>
      <c r="T835" s="26" t="s">
        <v>57</v>
      </c>
      <c r="U835" s="23">
        <v>860900062323621</v>
      </c>
      <c r="V835" s="27" t="s">
        <v>57</v>
      </c>
      <c r="W835" s="20" t="s">
        <v>58</v>
      </c>
      <c r="X835" s="20" t="s">
        <v>59</v>
      </c>
      <c r="Y835" s="20" t="s">
        <v>59</v>
      </c>
      <c r="Z835" s="20" t="s">
        <v>60</v>
      </c>
      <c r="AA835" s="20" t="s">
        <v>61</v>
      </c>
      <c r="AB835" s="20" t="s">
        <v>96</v>
      </c>
      <c r="AC835" s="28">
        <v>369.83</v>
      </c>
      <c r="AD835" s="28">
        <f>SUM(BASE[[#This Row],[MONTO DE RENTA ]]*1.16)</f>
        <v>429.00279999999998</v>
      </c>
      <c r="AE835" s="28" t="s">
        <v>63</v>
      </c>
      <c r="AF835" s="28">
        <v>369.82758620689657</v>
      </c>
      <c r="AG835" s="28">
        <v>429</v>
      </c>
      <c r="AH835" s="22" t="s">
        <v>64</v>
      </c>
      <c r="AI835" s="63">
        <v>45703</v>
      </c>
      <c r="AJ835" s="63">
        <v>46433</v>
      </c>
      <c r="AK8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5" s="30"/>
      <c r="AN835" s="20" t="s">
        <v>65</v>
      </c>
      <c r="AP835" s="20" t="s">
        <v>84</v>
      </c>
    </row>
    <row r="836" spans="1:43" ht="16">
      <c r="A836" s="20">
        <v>5533078398</v>
      </c>
      <c r="B836" s="21">
        <v>250439</v>
      </c>
      <c r="C836" s="20" t="s">
        <v>3906</v>
      </c>
      <c r="D836" s="20" t="s">
        <v>186</v>
      </c>
      <c r="E836" s="20" t="s">
        <v>461</v>
      </c>
      <c r="F836" s="20" t="s">
        <v>257</v>
      </c>
      <c r="G836" s="20" t="s">
        <v>257</v>
      </c>
      <c r="H836" s="20" t="s">
        <v>48</v>
      </c>
      <c r="I836" s="20" t="s">
        <v>257</v>
      </c>
      <c r="J836" s="22" t="s">
        <v>3907</v>
      </c>
      <c r="K836" s="22" t="s">
        <v>3907</v>
      </c>
      <c r="L836" s="23" t="s">
        <v>3891</v>
      </c>
      <c r="M836" s="24" t="s">
        <v>7741</v>
      </c>
      <c r="N836" s="23">
        <v>18745003</v>
      </c>
      <c r="O836" s="25" t="s">
        <v>52</v>
      </c>
      <c r="P836" s="25" t="s">
        <v>53</v>
      </c>
      <c r="Q836" s="20" t="s">
        <v>3908</v>
      </c>
      <c r="R836" s="20">
        <v>90069911</v>
      </c>
      <c r="S836" s="25" t="s">
        <v>3909</v>
      </c>
      <c r="T836" s="26" t="s">
        <v>57</v>
      </c>
      <c r="U836" s="23">
        <v>860478060203467</v>
      </c>
      <c r="V836" s="45" t="s">
        <v>110</v>
      </c>
      <c r="W836" s="20" t="s">
        <v>302</v>
      </c>
      <c r="X836" s="20" t="s">
        <v>303</v>
      </c>
      <c r="Y836" s="20" t="s">
        <v>303</v>
      </c>
      <c r="Z836" s="20" t="s">
        <v>131</v>
      </c>
      <c r="AA836" s="20" t="s">
        <v>132</v>
      </c>
      <c r="AB836" s="20" t="s">
        <v>82</v>
      </c>
      <c r="AC836" s="28">
        <v>559.48</v>
      </c>
      <c r="AD836" s="28">
        <f>SUM(BASE[[#This Row],[MONTO DE RENTA ]]*1.16)</f>
        <v>648.99680000000001</v>
      </c>
      <c r="AE836" s="28" t="s">
        <v>83</v>
      </c>
      <c r="AF836" s="28">
        <v>559.48275862068965</v>
      </c>
      <c r="AG836" s="28">
        <v>649</v>
      </c>
      <c r="AH836" s="22" t="s">
        <v>64</v>
      </c>
      <c r="AI836" s="63">
        <v>45703</v>
      </c>
      <c r="AJ836" s="63">
        <v>46433</v>
      </c>
      <c r="AK8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6" s="30"/>
      <c r="AN836" s="20" t="s">
        <v>65</v>
      </c>
      <c r="AP836" s="20" t="s">
        <v>84</v>
      </c>
    </row>
    <row r="837" spans="1:43" ht="16">
      <c r="A837" s="20">
        <v>5533954828</v>
      </c>
      <c r="B837" s="59">
        <v>450039</v>
      </c>
      <c r="C837" s="20" t="s">
        <v>3910</v>
      </c>
      <c r="D837" s="20" t="s">
        <v>2538</v>
      </c>
      <c r="E837" s="20" t="s">
        <v>3911</v>
      </c>
      <c r="F837" s="20" t="s">
        <v>104</v>
      </c>
      <c r="G837" s="20" t="s">
        <v>104</v>
      </c>
      <c r="H837" s="20" t="s">
        <v>48</v>
      </c>
      <c r="I837" s="20" t="s">
        <v>104</v>
      </c>
      <c r="J837" s="22" t="s">
        <v>3912</v>
      </c>
      <c r="K837" s="22" t="s">
        <v>3912</v>
      </c>
      <c r="L837" s="23" t="s">
        <v>3891</v>
      </c>
      <c r="M837" s="24" t="s">
        <v>7741</v>
      </c>
      <c r="N837" s="23">
        <v>18745003</v>
      </c>
      <c r="O837" s="25" t="s">
        <v>52</v>
      </c>
      <c r="P837" s="25" t="s">
        <v>53</v>
      </c>
      <c r="Q837" s="20" t="s">
        <v>3913</v>
      </c>
      <c r="R837" s="20">
        <v>90069560</v>
      </c>
      <c r="S837" s="25" t="s">
        <v>3914</v>
      </c>
      <c r="T837" s="26" t="s">
        <v>57</v>
      </c>
      <c r="U837" s="23">
        <v>860478064810937</v>
      </c>
      <c r="V837" s="45" t="s">
        <v>110</v>
      </c>
      <c r="W837" s="20" t="s">
        <v>302</v>
      </c>
      <c r="X837" s="20" t="s">
        <v>303</v>
      </c>
      <c r="Y837" s="20" t="s">
        <v>303</v>
      </c>
      <c r="Z837" s="20" t="s">
        <v>131</v>
      </c>
      <c r="AA837" s="20" t="s">
        <v>132</v>
      </c>
      <c r="AB837" s="20" t="s">
        <v>82</v>
      </c>
      <c r="AC837" s="28">
        <v>559.48</v>
      </c>
      <c r="AD837" s="28">
        <f>SUM(BASE[[#This Row],[MONTO DE RENTA ]]*1.16)</f>
        <v>648.99680000000001</v>
      </c>
      <c r="AE837" s="28" t="s">
        <v>83</v>
      </c>
      <c r="AF837" s="28">
        <v>559.48275862068965</v>
      </c>
      <c r="AG837" s="28">
        <v>649</v>
      </c>
      <c r="AH837" s="22" t="s">
        <v>64</v>
      </c>
      <c r="AI837" s="63">
        <v>45703</v>
      </c>
      <c r="AJ837" s="63">
        <v>46433</v>
      </c>
      <c r="AK8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7" s="30"/>
      <c r="AN837" s="20" t="s">
        <v>65</v>
      </c>
      <c r="AP837" s="20" t="s">
        <v>84</v>
      </c>
    </row>
    <row r="838" spans="1:43" ht="16">
      <c r="A838" s="20">
        <v>5533078005</v>
      </c>
      <c r="B838" s="21">
        <v>240179</v>
      </c>
      <c r="C838" s="20" t="s">
        <v>279</v>
      </c>
      <c r="D838" s="20" t="s">
        <v>994</v>
      </c>
      <c r="E838" s="20" t="s">
        <v>3236</v>
      </c>
      <c r="F838" s="20" t="s">
        <v>104</v>
      </c>
      <c r="G838" s="20" t="s">
        <v>104</v>
      </c>
      <c r="H838" s="20" t="s">
        <v>48</v>
      </c>
      <c r="I838" s="20" t="s">
        <v>104</v>
      </c>
      <c r="J838" s="22" t="s">
        <v>3915</v>
      </c>
      <c r="K838" s="32" t="s">
        <v>3915</v>
      </c>
      <c r="L838" s="23" t="s">
        <v>3891</v>
      </c>
      <c r="M838" s="24" t="s">
        <v>7741</v>
      </c>
      <c r="N838" s="23">
        <v>18745003</v>
      </c>
      <c r="O838" s="25" t="s">
        <v>52</v>
      </c>
      <c r="P838" s="25" t="s">
        <v>53</v>
      </c>
      <c r="Q838" s="20" t="s">
        <v>3916</v>
      </c>
      <c r="R838" s="20">
        <v>90069888</v>
      </c>
      <c r="S838" s="25" t="s">
        <v>3917</v>
      </c>
      <c r="T838" s="26" t="s">
        <v>57</v>
      </c>
      <c r="U838" s="23">
        <v>860478062371379</v>
      </c>
      <c r="V838" s="45" t="s">
        <v>110</v>
      </c>
      <c r="W838" s="20" t="s">
        <v>302</v>
      </c>
      <c r="X838" s="20" t="s">
        <v>303</v>
      </c>
      <c r="Y838" s="20" t="s">
        <v>303</v>
      </c>
      <c r="Z838" s="20" t="s">
        <v>131</v>
      </c>
      <c r="AA838" s="20" t="s">
        <v>132</v>
      </c>
      <c r="AB838" s="20" t="s">
        <v>82</v>
      </c>
      <c r="AC838" s="28">
        <v>559.48</v>
      </c>
      <c r="AD838" s="28">
        <f>SUM(BASE[[#This Row],[MONTO DE RENTA ]]*1.16)</f>
        <v>648.99680000000001</v>
      </c>
      <c r="AE838" s="28" t="s">
        <v>83</v>
      </c>
      <c r="AF838" s="28">
        <v>559.48275862068965</v>
      </c>
      <c r="AG838" s="28">
        <v>649</v>
      </c>
      <c r="AH838" s="22" t="s">
        <v>64</v>
      </c>
      <c r="AI838" s="63">
        <v>45703</v>
      </c>
      <c r="AJ838" s="63">
        <v>46433</v>
      </c>
      <c r="AK8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38" s="30"/>
      <c r="AN838" s="20" t="s">
        <v>65</v>
      </c>
      <c r="AP838" s="20" t="s">
        <v>84</v>
      </c>
    </row>
    <row r="839" spans="1:43" ht="16">
      <c r="A839" s="20">
        <v>5538768664</v>
      </c>
      <c r="B839" s="49">
        <v>450039</v>
      </c>
      <c r="C839" s="20" t="s">
        <v>3910</v>
      </c>
      <c r="D839" s="20" t="s">
        <v>2538</v>
      </c>
      <c r="E839" s="20" t="s">
        <v>3911</v>
      </c>
      <c r="F839" s="20" t="s">
        <v>104</v>
      </c>
      <c r="G839" s="20" t="s">
        <v>122</v>
      </c>
      <c r="H839" s="20" t="s">
        <v>48</v>
      </c>
      <c r="I839" s="20" t="s">
        <v>104</v>
      </c>
      <c r="J839" s="22" t="s">
        <v>3918</v>
      </c>
      <c r="K839" s="22" t="s">
        <v>3919</v>
      </c>
      <c r="L839" s="23" t="s">
        <v>3891</v>
      </c>
      <c r="M839" s="24" t="s">
        <v>7741</v>
      </c>
      <c r="N839" s="23">
        <v>18745003</v>
      </c>
      <c r="O839" s="25" t="s">
        <v>52</v>
      </c>
      <c r="P839" s="25" t="s">
        <v>53</v>
      </c>
      <c r="Q839" s="20" t="s">
        <v>3920</v>
      </c>
      <c r="R839" s="20">
        <v>91246592</v>
      </c>
      <c r="S839" s="25" t="s">
        <v>55</v>
      </c>
      <c r="T839" s="26" t="s">
        <v>56</v>
      </c>
      <c r="U839" s="23">
        <v>865356065688418</v>
      </c>
      <c r="V839" s="27" t="s">
        <v>183</v>
      </c>
      <c r="W839" s="20" t="s">
        <v>129</v>
      </c>
      <c r="X839" s="20" t="s">
        <v>130</v>
      </c>
      <c r="Y839" s="20" t="s">
        <v>130</v>
      </c>
      <c r="Z839" s="20" t="s">
        <v>60</v>
      </c>
      <c r="AA839" s="20" t="s">
        <v>61</v>
      </c>
      <c r="AB839" s="20" t="s">
        <v>96</v>
      </c>
      <c r="AC839" s="28">
        <v>369.83</v>
      </c>
      <c r="AD839" s="28">
        <f>SUM(BASE[[#This Row],[MONTO DE RENTA ]]*1.16)</f>
        <v>429.00279999999998</v>
      </c>
      <c r="AE839" s="28" t="s">
        <v>63</v>
      </c>
      <c r="AF839" s="28">
        <v>369.82758620689657</v>
      </c>
      <c r="AG839" s="28">
        <v>429</v>
      </c>
      <c r="AI839" s="63">
        <v>44937</v>
      </c>
      <c r="AJ839" s="73">
        <v>46043</v>
      </c>
      <c r="AK83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39" s="30"/>
      <c r="AN839" s="20" t="s">
        <v>99</v>
      </c>
      <c r="AP839" s="20" t="s">
        <v>84</v>
      </c>
      <c r="AQ839" s="20" t="s">
        <v>100</v>
      </c>
    </row>
    <row r="840" spans="1:43" ht="16">
      <c r="A840" s="20">
        <v>5512979548</v>
      </c>
      <c r="B840" s="49">
        <v>450122</v>
      </c>
      <c r="C840" s="20" t="s">
        <v>263</v>
      </c>
      <c r="D840" s="20" t="s">
        <v>546</v>
      </c>
      <c r="E840" s="20" t="s">
        <v>45</v>
      </c>
      <c r="F840" s="20" t="s">
        <v>104</v>
      </c>
      <c r="G840" s="20" t="s">
        <v>104</v>
      </c>
      <c r="H840" s="20" t="s">
        <v>48</v>
      </c>
      <c r="I840" s="20" t="s">
        <v>104</v>
      </c>
      <c r="J840" s="22" t="s">
        <v>3921</v>
      </c>
      <c r="K840" s="22" t="s">
        <v>3922</v>
      </c>
      <c r="L840" s="23" t="s">
        <v>3891</v>
      </c>
      <c r="M840" s="24" t="s">
        <v>7741</v>
      </c>
      <c r="N840" s="23">
        <v>18745003</v>
      </c>
      <c r="O840" s="25" t="s">
        <v>52</v>
      </c>
      <c r="P840" s="25" t="s">
        <v>53</v>
      </c>
      <c r="Q840" s="20" t="s">
        <v>3923</v>
      </c>
      <c r="R840" s="20">
        <v>91332791</v>
      </c>
      <c r="S840" s="25" t="s">
        <v>55</v>
      </c>
      <c r="T840" s="67" t="s">
        <v>56</v>
      </c>
      <c r="U840" s="23">
        <v>867353050252829</v>
      </c>
      <c r="V840" s="45" t="s">
        <v>110</v>
      </c>
      <c r="W840" s="20" t="s">
        <v>149</v>
      </c>
      <c r="X840" s="20" t="s">
        <v>150</v>
      </c>
      <c r="Y840" s="20" t="s">
        <v>150</v>
      </c>
      <c r="Z840" s="20" t="s">
        <v>60</v>
      </c>
      <c r="AA840" s="20" t="s">
        <v>61</v>
      </c>
      <c r="AB840" s="20" t="s">
        <v>96</v>
      </c>
      <c r="AC840" s="28">
        <v>369.83</v>
      </c>
      <c r="AD840" s="28">
        <f>SUM(BASE[[#This Row],[MONTO DE RENTA ]]*1.16)</f>
        <v>429.00279999999998</v>
      </c>
      <c r="AE840" s="28" t="s">
        <v>83</v>
      </c>
      <c r="AF840" s="28">
        <v>559.48275862068965</v>
      </c>
      <c r="AG840" s="28">
        <v>649</v>
      </c>
      <c r="AI840" s="75">
        <v>45145</v>
      </c>
      <c r="AJ840" s="75">
        <v>46024</v>
      </c>
      <c r="AK840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840" s="30"/>
      <c r="AN840" s="20" t="s">
        <v>99</v>
      </c>
      <c r="AP840" s="20" t="s">
        <v>66</v>
      </c>
      <c r="AQ840" s="20" t="s">
        <v>100</v>
      </c>
    </row>
    <row r="841" spans="1:43" ht="16">
      <c r="A841" s="20">
        <v>5533406388</v>
      </c>
      <c r="B841" s="49">
        <v>460580</v>
      </c>
      <c r="C841" s="20" t="s">
        <v>3924</v>
      </c>
      <c r="D841" s="20" t="s">
        <v>377</v>
      </c>
      <c r="E841" s="20" t="s">
        <v>186</v>
      </c>
      <c r="F841" s="20" t="s">
        <v>70</v>
      </c>
      <c r="G841" s="20" t="s">
        <v>70</v>
      </c>
      <c r="H841" s="20" t="s">
        <v>48</v>
      </c>
      <c r="I841" s="20" t="s">
        <v>70</v>
      </c>
      <c r="J841" s="22" t="s">
        <v>3925</v>
      </c>
      <c r="K841" s="22" t="s">
        <v>3925</v>
      </c>
      <c r="L841" s="23" t="s">
        <v>3891</v>
      </c>
      <c r="M841" s="24" t="s">
        <v>7741</v>
      </c>
      <c r="N841" s="23">
        <v>18745003</v>
      </c>
      <c r="O841" s="25" t="s">
        <v>52</v>
      </c>
      <c r="P841" s="25" t="s">
        <v>53</v>
      </c>
      <c r="Q841" s="20" t="s">
        <v>3926</v>
      </c>
      <c r="R841" s="20">
        <v>9808596</v>
      </c>
      <c r="S841" s="25" t="s">
        <v>55</v>
      </c>
      <c r="T841" s="26" t="s">
        <v>56</v>
      </c>
      <c r="U841" s="23">
        <v>357654178979251</v>
      </c>
      <c r="V841" s="27" t="s">
        <v>78</v>
      </c>
      <c r="W841" s="20" t="s">
        <v>95</v>
      </c>
      <c r="X841" s="20" t="s">
        <v>95</v>
      </c>
      <c r="Y841" s="20" t="s">
        <v>95</v>
      </c>
      <c r="Z841" s="20" t="s">
        <v>60</v>
      </c>
      <c r="AA841" s="20" t="s">
        <v>61</v>
      </c>
      <c r="AB841" s="20" t="s">
        <v>82</v>
      </c>
      <c r="AC841" s="28">
        <v>559.48</v>
      </c>
      <c r="AD841" s="28">
        <f>SUM(BASE[[#This Row],[MONTO DE RENTA ]]*1.16)</f>
        <v>648.99680000000001</v>
      </c>
      <c r="AE841" s="28" t="s">
        <v>83</v>
      </c>
      <c r="AF841" s="28">
        <v>559.48275862068965</v>
      </c>
      <c r="AG841" s="28">
        <v>649</v>
      </c>
      <c r="AI841" s="63">
        <v>44937</v>
      </c>
      <c r="AJ841" s="73">
        <v>46043</v>
      </c>
      <c r="AK8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41" s="30"/>
      <c r="AN841" s="20" t="s">
        <v>99</v>
      </c>
      <c r="AP841" s="20" t="s">
        <v>84</v>
      </c>
      <c r="AQ841" s="20" t="s">
        <v>100</v>
      </c>
    </row>
    <row r="842" spans="1:43" ht="16">
      <c r="A842" s="20">
        <v>5518825170</v>
      </c>
      <c r="B842" s="49">
        <v>999340</v>
      </c>
      <c r="C842" s="20" t="s">
        <v>3927</v>
      </c>
      <c r="D842" s="20" t="s">
        <v>657</v>
      </c>
      <c r="E842" s="20" t="s">
        <v>3928</v>
      </c>
      <c r="F842" s="20" t="s">
        <v>418</v>
      </c>
      <c r="G842" s="20" t="s">
        <v>47</v>
      </c>
      <c r="H842" s="20" t="s">
        <v>48</v>
      </c>
      <c r="I842" s="20" t="s">
        <v>418</v>
      </c>
      <c r="J842" s="22" t="s">
        <v>3929</v>
      </c>
      <c r="K842" s="22" t="s">
        <v>3929</v>
      </c>
      <c r="L842" s="23" t="s">
        <v>3930</v>
      </c>
      <c r="M842" s="24" t="s">
        <v>7736</v>
      </c>
      <c r="N842" s="23">
        <v>18746003</v>
      </c>
      <c r="O842" s="25" t="s">
        <v>52</v>
      </c>
      <c r="P842" s="25" t="s">
        <v>53</v>
      </c>
      <c r="Q842" s="20" t="s">
        <v>3931</v>
      </c>
      <c r="R842" s="20">
        <v>90182536</v>
      </c>
      <c r="S842" s="25" t="s">
        <v>3932</v>
      </c>
      <c r="T842" s="26" t="s">
        <v>57</v>
      </c>
      <c r="U842" s="23">
        <v>865356065671497</v>
      </c>
      <c r="V842" s="27" t="s">
        <v>183</v>
      </c>
      <c r="W842" s="20" t="s">
        <v>129</v>
      </c>
      <c r="X842" s="20" t="s">
        <v>130</v>
      </c>
      <c r="Y842" s="20" t="s">
        <v>130</v>
      </c>
      <c r="Z842" s="20" t="s">
        <v>261</v>
      </c>
      <c r="AA842" s="20" t="s">
        <v>473</v>
      </c>
      <c r="AB842" s="20" t="s">
        <v>262</v>
      </c>
      <c r="AC842" s="28">
        <v>369.83</v>
      </c>
      <c r="AD842" s="28">
        <f>SUM(BASE[[#This Row],[MONTO DE RENTA ]]*1.16)</f>
        <v>429.00279999999998</v>
      </c>
      <c r="AE842" s="28" t="s">
        <v>63</v>
      </c>
      <c r="AF842" s="28">
        <v>369.82758620689657</v>
      </c>
      <c r="AG842" s="28">
        <v>429</v>
      </c>
      <c r="AI842" s="63">
        <v>44937</v>
      </c>
      <c r="AJ842" s="73">
        <v>46043</v>
      </c>
      <c r="AK8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42" s="30"/>
      <c r="AN842" s="20" t="s">
        <v>99</v>
      </c>
      <c r="AP842" s="20" t="s">
        <v>84</v>
      </c>
      <c r="AQ842" s="20" t="s">
        <v>100</v>
      </c>
    </row>
    <row r="843" spans="1:43" ht="16">
      <c r="A843" s="20">
        <v>5619885302</v>
      </c>
      <c r="B843" s="21">
        <v>1005795</v>
      </c>
      <c r="C843" s="20" t="s">
        <v>3933</v>
      </c>
      <c r="D843" s="20" t="s">
        <v>519</v>
      </c>
      <c r="E843" s="20" t="s">
        <v>450</v>
      </c>
      <c r="F843" s="20" t="s">
        <v>451</v>
      </c>
      <c r="G843" s="20" t="s">
        <v>248</v>
      </c>
      <c r="H843" s="20" t="s">
        <v>48</v>
      </c>
      <c r="I843" s="20" t="s">
        <v>451</v>
      </c>
      <c r="J843" s="22" t="s">
        <v>3934</v>
      </c>
      <c r="K843" s="22" t="s">
        <v>3934</v>
      </c>
      <c r="L843" s="23" t="s">
        <v>3930</v>
      </c>
      <c r="M843" s="24" t="s">
        <v>7736</v>
      </c>
      <c r="N843" s="23">
        <v>18746003</v>
      </c>
      <c r="O843" s="25" t="s">
        <v>52</v>
      </c>
      <c r="P843" s="25" t="s">
        <v>53</v>
      </c>
      <c r="Q843" s="20" t="s">
        <v>3935</v>
      </c>
      <c r="R843" s="20">
        <v>90136446</v>
      </c>
      <c r="S843" s="25" t="s">
        <v>3936</v>
      </c>
      <c r="T843" s="26" t="s">
        <v>57</v>
      </c>
      <c r="U843" s="23" t="s">
        <v>193</v>
      </c>
      <c r="V843" s="27" t="s">
        <v>57</v>
      </c>
      <c r="W843" s="20" t="s">
        <v>194</v>
      </c>
      <c r="X843" s="20" t="s">
        <v>194</v>
      </c>
      <c r="Y843" s="20" t="s">
        <v>194</v>
      </c>
      <c r="Z843" s="20" t="s">
        <v>131</v>
      </c>
      <c r="AA843" s="20" t="s">
        <v>132</v>
      </c>
      <c r="AB843" s="20" t="s">
        <v>96</v>
      </c>
      <c r="AC843" s="28">
        <v>369.83</v>
      </c>
      <c r="AD843" s="28">
        <f>SUM(BASE[[#This Row],[MONTO DE RENTA ]]*1.16)</f>
        <v>429.00279999999998</v>
      </c>
      <c r="AE843" s="28" t="s">
        <v>63</v>
      </c>
      <c r="AF843" s="28">
        <v>369.82758620689657</v>
      </c>
      <c r="AG843" s="28">
        <v>429</v>
      </c>
      <c r="AI843" s="63">
        <v>44937</v>
      </c>
      <c r="AJ843" s="84">
        <v>46681</v>
      </c>
      <c r="AK84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843" s="30"/>
      <c r="AN843" s="20" t="s">
        <v>65</v>
      </c>
      <c r="AP843" s="20" t="s">
        <v>84</v>
      </c>
    </row>
    <row r="844" spans="1:43" ht="16">
      <c r="A844" s="20">
        <v>5512627045</v>
      </c>
      <c r="B844" s="21">
        <v>460361</v>
      </c>
      <c r="C844" s="20" t="s">
        <v>3937</v>
      </c>
      <c r="D844" s="20" t="s">
        <v>172</v>
      </c>
      <c r="E844" s="20" t="s">
        <v>3938</v>
      </c>
      <c r="F844" s="20" t="s">
        <v>257</v>
      </c>
      <c r="G844" s="20" t="s">
        <v>257</v>
      </c>
      <c r="H844" s="20" t="s">
        <v>48</v>
      </c>
      <c r="I844" s="20" t="s">
        <v>257</v>
      </c>
      <c r="J844" s="22" t="s">
        <v>3939</v>
      </c>
      <c r="K844" s="22" t="s">
        <v>3939</v>
      </c>
      <c r="L844" s="23" t="s">
        <v>3930</v>
      </c>
      <c r="M844" s="24" t="s">
        <v>7736</v>
      </c>
      <c r="N844" s="23">
        <v>18746003</v>
      </c>
      <c r="O844" s="25" t="s">
        <v>52</v>
      </c>
      <c r="P844" s="25" t="s">
        <v>53</v>
      </c>
      <c r="Q844" s="20" t="s">
        <v>3940</v>
      </c>
      <c r="R844" s="20">
        <v>90069663</v>
      </c>
      <c r="S844" s="25" t="s">
        <v>3941</v>
      </c>
      <c r="T844" s="26" t="s">
        <v>57</v>
      </c>
      <c r="U844" s="23">
        <v>861383071457152</v>
      </c>
      <c r="V844" s="45" t="s">
        <v>110</v>
      </c>
      <c r="W844" s="20" t="s">
        <v>111</v>
      </c>
      <c r="X844" s="20" t="s">
        <v>112</v>
      </c>
      <c r="Y844" s="20" t="s">
        <v>112</v>
      </c>
      <c r="Z844" s="20" t="s">
        <v>80</v>
      </c>
      <c r="AA844" s="20" t="s">
        <v>81</v>
      </c>
      <c r="AB844" s="20" t="s">
        <v>82</v>
      </c>
      <c r="AC844" s="28">
        <v>559.48</v>
      </c>
      <c r="AD844" s="28">
        <f>SUM(BASE[[#This Row],[MONTO DE RENTA ]]*1.16)</f>
        <v>648.99680000000001</v>
      </c>
      <c r="AE844" s="28" t="s">
        <v>83</v>
      </c>
      <c r="AF844" s="28">
        <v>559.48275862068965</v>
      </c>
      <c r="AG844" s="28">
        <v>649</v>
      </c>
      <c r="AI844" s="63">
        <v>44937</v>
      </c>
      <c r="AJ844" s="84">
        <v>46316</v>
      </c>
      <c r="AK844" s="30">
        <f ca="1">IFERROR(IF(BASE[[#This Row],[FECHA DE RENOVACION ]]&gt;TODAY(), DATEDIF(TODAY(),BASE[[#This Row],[FECHA DE RENOVACION ]],"M"), -DATEDIF(BASE[[#This Row],[FECHA DE RENOVACION ]],TODAY(),"M")), "Sin fecha")</f>
        <v>7</v>
      </c>
      <c r="AM844" s="30"/>
      <c r="AN844" s="20" t="s">
        <v>65</v>
      </c>
      <c r="AP844" s="20" t="s">
        <v>84</v>
      </c>
    </row>
    <row r="845" spans="1:43" ht="16">
      <c r="A845" s="20">
        <v>5533962476</v>
      </c>
      <c r="B845" s="21">
        <v>1062380</v>
      </c>
      <c r="C845" s="20" t="s">
        <v>1921</v>
      </c>
      <c r="D845" s="20" t="s">
        <v>427</v>
      </c>
      <c r="E845" s="20" t="s">
        <v>797</v>
      </c>
      <c r="F845" s="20" t="s">
        <v>104</v>
      </c>
      <c r="G845" s="20" t="s">
        <v>104</v>
      </c>
      <c r="H845" s="20" t="s">
        <v>48</v>
      </c>
      <c r="I845" s="20" t="s">
        <v>104</v>
      </c>
      <c r="J845" s="226" t="s">
        <v>3942</v>
      </c>
      <c r="K845" s="226" t="s">
        <v>3942</v>
      </c>
      <c r="L845" s="23" t="s">
        <v>3930</v>
      </c>
      <c r="M845" s="24" t="s">
        <v>7736</v>
      </c>
      <c r="N845" s="23">
        <v>18746003</v>
      </c>
      <c r="O845" s="25" t="s">
        <v>52</v>
      </c>
      <c r="P845" s="25" t="s">
        <v>53</v>
      </c>
      <c r="Q845" s="20" t="s">
        <v>3943</v>
      </c>
      <c r="R845" s="20">
        <v>90069780</v>
      </c>
      <c r="S845" s="25" t="s">
        <v>3944</v>
      </c>
      <c r="T845" s="26" t="s">
        <v>57</v>
      </c>
      <c r="U845" s="23">
        <v>860478064854349</v>
      </c>
      <c r="V845" s="45" t="s">
        <v>110</v>
      </c>
      <c r="W845" s="20" t="s">
        <v>302</v>
      </c>
      <c r="X845" s="20" t="s">
        <v>303</v>
      </c>
      <c r="Y845" s="20" t="s">
        <v>303</v>
      </c>
      <c r="Z845" s="20" t="s">
        <v>80</v>
      </c>
      <c r="AA845" s="20" t="s">
        <v>81</v>
      </c>
      <c r="AB845" s="20" t="s">
        <v>82</v>
      </c>
      <c r="AC845" s="28">
        <v>559.48</v>
      </c>
      <c r="AD845" s="28">
        <f>SUM(BASE[[#This Row],[MONTO DE RENTA ]]*1.16)</f>
        <v>648.99680000000001</v>
      </c>
      <c r="AE845" s="28" t="s">
        <v>83</v>
      </c>
      <c r="AF845" s="28">
        <v>559.48275862068965</v>
      </c>
      <c r="AG845" s="28">
        <v>649</v>
      </c>
      <c r="AH845" s="22" t="s">
        <v>64</v>
      </c>
      <c r="AI845" s="63">
        <v>45713</v>
      </c>
      <c r="AJ845" s="63">
        <v>46433</v>
      </c>
      <c r="AK8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45" s="30"/>
      <c r="AN845" s="20" t="s">
        <v>65</v>
      </c>
      <c r="AP845" s="20" t="s">
        <v>84</v>
      </c>
    </row>
    <row r="846" spans="1:43" ht="16">
      <c r="A846" s="20">
        <v>5528115328</v>
      </c>
      <c r="B846" s="21">
        <v>460438</v>
      </c>
      <c r="C846" s="20" t="s">
        <v>3945</v>
      </c>
      <c r="D846" s="20" t="s">
        <v>863</v>
      </c>
      <c r="E846" s="20" t="s">
        <v>1156</v>
      </c>
      <c r="F846" s="20" t="s">
        <v>104</v>
      </c>
      <c r="G846" s="20" t="s">
        <v>104</v>
      </c>
      <c r="H846" s="20" t="s">
        <v>48</v>
      </c>
      <c r="I846" s="20" t="s">
        <v>104</v>
      </c>
      <c r="J846" s="32" t="s">
        <v>3946</v>
      </c>
      <c r="K846" s="32" t="s">
        <v>3946</v>
      </c>
      <c r="L846" s="23" t="s">
        <v>3930</v>
      </c>
      <c r="M846" s="24" t="s">
        <v>7736</v>
      </c>
      <c r="N846" s="23">
        <v>18746003</v>
      </c>
      <c r="O846" s="25" t="s">
        <v>52</v>
      </c>
      <c r="P846" s="25" t="s">
        <v>53</v>
      </c>
      <c r="Q846" s="20" t="s">
        <v>3947</v>
      </c>
      <c r="R846" s="20">
        <v>90069670</v>
      </c>
      <c r="S846" s="25" t="s">
        <v>3948</v>
      </c>
      <c r="T846" s="26" t="s">
        <v>57</v>
      </c>
      <c r="U846" s="23">
        <v>860478064849570</v>
      </c>
      <c r="V846" s="45" t="s">
        <v>110</v>
      </c>
      <c r="W846" s="20" t="s">
        <v>302</v>
      </c>
      <c r="X846" s="20" t="s">
        <v>303</v>
      </c>
      <c r="Y846" s="20" t="s">
        <v>303</v>
      </c>
      <c r="Z846" s="20" t="s">
        <v>80</v>
      </c>
      <c r="AA846" s="20" t="s">
        <v>81</v>
      </c>
      <c r="AB846" s="20" t="s">
        <v>82</v>
      </c>
      <c r="AC846" s="28">
        <v>559.48</v>
      </c>
      <c r="AD846" s="28">
        <f>SUM(BASE[[#This Row],[MONTO DE RENTA ]]*1.16)</f>
        <v>648.99680000000001</v>
      </c>
      <c r="AE846" s="28" t="s">
        <v>83</v>
      </c>
      <c r="AF846" s="28">
        <v>559.48275862068965</v>
      </c>
      <c r="AG846" s="28">
        <v>649</v>
      </c>
      <c r="AH846" s="22" t="s">
        <v>64</v>
      </c>
      <c r="AI846" s="63">
        <v>45703</v>
      </c>
      <c r="AJ846" s="63">
        <v>46433</v>
      </c>
      <c r="AK8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46" s="30"/>
      <c r="AN846" s="20" t="s">
        <v>65</v>
      </c>
      <c r="AP846" s="20" t="s">
        <v>84</v>
      </c>
    </row>
    <row r="847" spans="1:43" ht="16">
      <c r="A847" s="20">
        <v>5528163883</v>
      </c>
      <c r="B847" s="21">
        <v>460455</v>
      </c>
      <c r="C847" s="20" t="s">
        <v>3949</v>
      </c>
      <c r="D847" s="20" t="s">
        <v>983</v>
      </c>
      <c r="E847" s="20" t="s">
        <v>442</v>
      </c>
      <c r="F847" s="20" t="s">
        <v>257</v>
      </c>
      <c r="G847" s="20" t="s">
        <v>104</v>
      </c>
      <c r="H847" s="20" t="s">
        <v>48</v>
      </c>
      <c r="I847" s="20" t="s">
        <v>257</v>
      </c>
      <c r="J847" s="32" t="s">
        <v>3950</v>
      </c>
      <c r="K847" s="32" t="s">
        <v>3950</v>
      </c>
      <c r="L847" s="23" t="s">
        <v>3930</v>
      </c>
      <c r="M847" s="24" t="s">
        <v>7736</v>
      </c>
      <c r="N847" s="23">
        <v>18692000</v>
      </c>
      <c r="O847" s="25" t="s">
        <v>52</v>
      </c>
      <c r="P847" s="25" t="s">
        <v>53</v>
      </c>
      <c r="Q847" s="20" t="s">
        <v>3951</v>
      </c>
      <c r="R847" s="20">
        <v>90069672</v>
      </c>
      <c r="S847" s="25" t="s">
        <v>3952</v>
      </c>
      <c r="T847" s="26" t="s">
        <v>57</v>
      </c>
      <c r="U847" s="23">
        <v>860478064862334</v>
      </c>
      <c r="V847" s="45" t="s">
        <v>110</v>
      </c>
      <c r="W847" s="20" t="s">
        <v>302</v>
      </c>
      <c r="X847" s="20" t="s">
        <v>303</v>
      </c>
      <c r="Y847" s="20" t="s">
        <v>303</v>
      </c>
      <c r="Z847" s="20" t="s">
        <v>80</v>
      </c>
      <c r="AA847" s="20" t="s">
        <v>81</v>
      </c>
      <c r="AB847" s="20" t="s">
        <v>82</v>
      </c>
      <c r="AC847" s="28">
        <v>559.48</v>
      </c>
      <c r="AD847" s="28">
        <f>SUM(BASE[[#This Row],[MONTO DE RENTA ]]*1.16)</f>
        <v>648.99680000000001</v>
      </c>
      <c r="AE847" s="28" t="s">
        <v>83</v>
      </c>
      <c r="AF847" s="28">
        <v>559.48275862068965</v>
      </c>
      <c r="AG847" s="28">
        <v>649</v>
      </c>
      <c r="AH847" s="22" t="s">
        <v>64</v>
      </c>
      <c r="AI847" s="63">
        <v>45703</v>
      </c>
      <c r="AJ847" s="63">
        <v>46433</v>
      </c>
      <c r="AK8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47" s="30"/>
      <c r="AN847" s="20" t="s">
        <v>65</v>
      </c>
      <c r="AP847" s="20" t="s">
        <v>84</v>
      </c>
    </row>
    <row r="848" spans="1:43" ht="16">
      <c r="A848" s="20">
        <v>5518821250</v>
      </c>
      <c r="B848" s="21">
        <v>1062380</v>
      </c>
      <c r="C848" s="20" t="s">
        <v>1921</v>
      </c>
      <c r="D848" s="20" t="s">
        <v>427</v>
      </c>
      <c r="E848" s="20" t="s">
        <v>797</v>
      </c>
      <c r="F848" s="20" t="s">
        <v>104</v>
      </c>
      <c r="G848" s="20" t="s">
        <v>104</v>
      </c>
      <c r="H848" s="20" t="s">
        <v>48</v>
      </c>
      <c r="I848" s="20" t="s">
        <v>104</v>
      </c>
      <c r="J848" s="227" t="s">
        <v>3953</v>
      </c>
      <c r="K848" s="227" t="s">
        <v>3953</v>
      </c>
      <c r="L848" s="23" t="s">
        <v>3930</v>
      </c>
      <c r="M848" s="24" t="s">
        <v>7736</v>
      </c>
      <c r="N848" s="23">
        <v>18746003</v>
      </c>
      <c r="O848" s="25" t="s">
        <v>52</v>
      </c>
      <c r="P848" s="25" t="s">
        <v>53</v>
      </c>
      <c r="Q848" s="20" t="s">
        <v>3954</v>
      </c>
      <c r="R848" s="20">
        <v>90069666</v>
      </c>
      <c r="S848" s="25" t="s">
        <v>3955</v>
      </c>
      <c r="T848" s="44" t="s">
        <v>57</v>
      </c>
      <c r="U848" s="23">
        <v>860478064949784</v>
      </c>
      <c r="V848" s="45" t="s">
        <v>110</v>
      </c>
      <c r="W848" s="20" t="s">
        <v>302</v>
      </c>
      <c r="X848" s="20" t="s">
        <v>303</v>
      </c>
      <c r="Y848" s="20" t="s">
        <v>303</v>
      </c>
      <c r="Z848" s="20" t="s">
        <v>80</v>
      </c>
      <c r="AA848" s="20" t="s">
        <v>81</v>
      </c>
      <c r="AB848" s="20" t="s">
        <v>82</v>
      </c>
      <c r="AC848" s="28">
        <v>559.48</v>
      </c>
      <c r="AD848" s="28">
        <f>SUM(BASE[[#This Row],[MONTO DE RENTA ]]*1.16)</f>
        <v>648.99680000000001</v>
      </c>
      <c r="AE848" s="28" t="s">
        <v>83</v>
      </c>
      <c r="AF848" s="28">
        <v>559.48275862068965</v>
      </c>
      <c r="AG848" s="28">
        <v>649</v>
      </c>
      <c r="AH848" s="22" t="s">
        <v>64</v>
      </c>
      <c r="AI848" s="63">
        <v>45713</v>
      </c>
      <c r="AJ848" s="63">
        <v>46433</v>
      </c>
      <c r="AK8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48" s="30"/>
      <c r="AN848" s="20" t="s">
        <v>65</v>
      </c>
      <c r="AP848" s="20" t="s">
        <v>84</v>
      </c>
    </row>
    <row r="849" spans="1:43" ht="16">
      <c r="A849" s="20">
        <v>5540395301</v>
      </c>
      <c r="B849" s="49">
        <v>460022</v>
      </c>
      <c r="C849" s="20" t="s">
        <v>3910</v>
      </c>
      <c r="D849" s="20" t="s">
        <v>3206</v>
      </c>
      <c r="E849" s="20" t="s">
        <v>186</v>
      </c>
      <c r="F849" s="20" t="s">
        <v>122</v>
      </c>
      <c r="G849" s="20" t="s">
        <v>104</v>
      </c>
      <c r="H849" s="20" t="s">
        <v>48</v>
      </c>
      <c r="I849" s="20" t="s">
        <v>122</v>
      </c>
      <c r="J849" s="22" t="s">
        <v>3956</v>
      </c>
      <c r="K849" s="22" t="s">
        <v>3956</v>
      </c>
      <c r="L849" s="23" t="s">
        <v>3930</v>
      </c>
      <c r="M849" s="24" t="s">
        <v>7736</v>
      </c>
      <c r="N849" s="23">
        <v>18746003</v>
      </c>
      <c r="O849" s="25" t="s">
        <v>52</v>
      </c>
      <c r="P849" s="25" t="s">
        <v>53</v>
      </c>
      <c r="Q849" s="20" t="s">
        <v>3957</v>
      </c>
      <c r="R849" s="20">
        <v>91246588</v>
      </c>
      <c r="S849" s="25" t="s">
        <v>3958</v>
      </c>
      <c r="T849" s="26" t="s">
        <v>57</v>
      </c>
      <c r="U849" s="23">
        <v>865356065669996</v>
      </c>
      <c r="V849" s="27" t="s">
        <v>183</v>
      </c>
      <c r="W849" s="20" t="s">
        <v>129</v>
      </c>
      <c r="X849" s="20" t="s">
        <v>130</v>
      </c>
      <c r="Y849" s="20" t="s">
        <v>130</v>
      </c>
      <c r="Z849" s="20" t="s">
        <v>261</v>
      </c>
      <c r="AA849" s="20" t="s">
        <v>473</v>
      </c>
      <c r="AB849" s="20" t="s">
        <v>262</v>
      </c>
      <c r="AC849" s="28">
        <v>369.83</v>
      </c>
      <c r="AD849" s="28">
        <f>SUM(BASE[[#This Row],[MONTO DE RENTA ]]*1.16)</f>
        <v>429.00279999999998</v>
      </c>
      <c r="AE849" s="28" t="s">
        <v>63</v>
      </c>
      <c r="AF849" s="28">
        <v>369.82758620689657</v>
      </c>
      <c r="AG849" s="28">
        <v>429</v>
      </c>
      <c r="AI849" s="63">
        <v>44937</v>
      </c>
      <c r="AJ849" s="73">
        <v>46043</v>
      </c>
      <c r="AK8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49" s="30"/>
      <c r="AN849" s="20" t="s">
        <v>99</v>
      </c>
      <c r="AP849" s="20" t="s">
        <v>84</v>
      </c>
      <c r="AQ849" s="20" t="s">
        <v>100</v>
      </c>
    </row>
    <row r="850" spans="1:43" ht="16">
      <c r="A850" s="20">
        <v>5531600312</v>
      </c>
      <c r="B850" s="147">
        <v>460022</v>
      </c>
      <c r="C850" s="20" t="s">
        <v>3910</v>
      </c>
      <c r="D850" s="20" t="s">
        <v>3206</v>
      </c>
      <c r="E850" s="20" t="s">
        <v>186</v>
      </c>
      <c r="F850" s="20" t="s">
        <v>122</v>
      </c>
      <c r="G850" s="20" t="s">
        <v>122</v>
      </c>
      <c r="H850" s="20" t="s">
        <v>48</v>
      </c>
      <c r="I850" s="20" t="s">
        <v>122</v>
      </c>
      <c r="J850" s="22" t="s">
        <v>3959</v>
      </c>
      <c r="K850" s="22" t="s">
        <v>3959</v>
      </c>
      <c r="L850" s="23" t="s">
        <v>3930</v>
      </c>
      <c r="M850" s="24" t="s">
        <v>7736</v>
      </c>
      <c r="N850" s="23">
        <v>18746003</v>
      </c>
      <c r="O850" s="25" t="s">
        <v>52</v>
      </c>
      <c r="P850" s="25" t="s">
        <v>53</v>
      </c>
      <c r="Q850" s="20" t="s">
        <v>3960</v>
      </c>
      <c r="R850" s="20">
        <v>9808600</v>
      </c>
      <c r="S850" s="25" t="s">
        <v>3961</v>
      </c>
      <c r="T850" s="26" t="s">
        <v>77</v>
      </c>
      <c r="U850" s="23">
        <v>357654179828630</v>
      </c>
      <c r="V850" s="27" t="s">
        <v>78</v>
      </c>
      <c r="W850" s="20" t="s">
        <v>95</v>
      </c>
      <c r="X850" s="20" t="s">
        <v>95</v>
      </c>
      <c r="Y850" s="20" t="s">
        <v>95</v>
      </c>
      <c r="Z850" s="20" t="s">
        <v>261</v>
      </c>
      <c r="AA850" s="20" t="s">
        <v>473</v>
      </c>
      <c r="AB850" s="20" t="s">
        <v>474</v>
      </c>
      <c r="AC850" s="28">
        <v>559.48</v>
      </c>
      <c r="AD850" s="28">
        <f>SUM(BASE[[#This Row],[MONTO DE RENTA ]]*1.16)</f>
        <v>648.99680000000001</v>
      </c>
      <c r="AE850" s="28" t="s">
        <v>83</v>
      </c>
      <c r="AF850" s="28">
        <v>559.48275862068965</v>
      </c>
      <c r="AG850" s="28">
        <v>649</v>
      </c>
      <c r="AI850" s="63">
        <v>44937</v>
      </c>
      <c r="AJ850" s="73">
        <v>46043</v>
      </c>
      <c r="AK8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50" s="30"/>
      <c r="AN850" s="20" t="s">
        <v>99</v>
      </c>
      <c r="AP850" s="20" t="s">
        <v>84</v>
      </c>
      <c r="AQ850" s="20" t="s">
        <v>100</v>
      </c>
    </row>
    <row r="851" spans="1:43" ht="16">
      <c r="A851" s="20">
        <v>5515379048</v>
      </c>
      <c r="B851" s="21">
        <v>1001870</v>
      </c>
      <c r="C851" s="20" t="s">
        <v>2115</v>
      </c>
      <c r="D851" s="20" t="s">
        <v>376</v>
      </c>
      <c r="E851" s="20" t="s">
        <v>2814</v>
      </c>
      <c r="F851" s="20" t="s">
        <v>257</v>
      </c>
      <c r="G851" s="20" t="s">
        <v>257</v>
      </c>
      <c r="H851" s="20" t="s">
        <v>48</v>
      </c>
      <c r="I851" s="20" t="s">
        <v>257</v>
      </c>
      <c r="J851" s="32" t="s">
        <v>3962</v>
      </c>
      <c r="K851" s="22" t="s">
        <v>3963</v>
      </c>
      <c r="L851" s="23" t="s">
        <v>2018</v>
      </c>
      <c r="M851" s="24" t="s">
        <v>7736</v>
      </c>
      <c r="N851" s="23">
        <v>18702000</v>
      </c>
      <c r="O851" s="25" t="s">
        <v>52</v>
      </c>
      <c r="P851" s="25" t="s">
        <v>53</v>
      </c>
      <c r="Q851" s="20" t="s">
        <v>3964</v>
      </c>
      <c r="R851" s="20">
        <v>9988124</v>
      </c>
      <c r="S851" s="25" t="s">
        <v>3965</v>
      </c>
      <c r="T851" s="26" t="s">
        <v>57</v>
      </c>
      <c r="U851" s="23">
        <v>860478064978833</v>
      </c>
      <c r="V851" s="45" t="s">
        <v>110</v>
      </c>
      <c r="W851" s="20" t="s">
        <v>302</v>
      </c>
      <c r="X851" s="20" t="s">
        <v>303</v>
      </c>
      <c r="Y851" s="20" t="s">
        <v>303</v>
      </c>
      <c r="Z851" s="20" t="s">
        <v>80</v>
      </c>
      <c r="AA851" s="20" t="s">
        <v>81</v>
      </c>
      <c r="AB851" s="20" t="s">
        <v>82</v>
      </c>
      <c r="AC851" s="28">
        <v>559.48</v>
      </c>
      <c r="AD851" s="28">
        <f>SUM(BASE[[#This Row],[MONTO DE RENTA ]]*1.16)</f>
        <v>648.99680000000001</v>
      </c>
      <c r="AE851" s="28" t="s">
        <v>83</v>
      </c>
      <c r="AF851" s="28">
        <v>559.48275862068965</v>
      </c>
      <c r="AG851" s="28">
        <v>649</v>
      </c>
      <c r="AH851" s="22" t="s">
        <v>64</v>
      </c>
      <c r="AI851" s="29">
        <v>45703</v>
      </c>
      <c r="AJ851" s="29">
        <v>46433</v>
      </c>
      <c r="AK8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1" s="30"/>
      <c r="AN851" s="20" t="s">
        <v>65</v>
      </c>
      <c r="AP851" s="20" t="s">
        <v>84</v>
      </c>
    </row>
    <row r="852" spans="1:43" ht="16">
      <c r="A852" s="20">
        <v>5518817243</v>
      </c>
      <c r="B852" s="21">
        <v>997892</v>
      </c>
      <c r="C852" s="20" t="s">
        <v>3966</v>
      </c>
      <c r="D852" s="20" t="s">
        <v>1067</v>
      </c>
      <c r="E852" s="20" t="s">
        <v>640</v>
      </c>
      <c r="F852" s="20" t="s">
        <v>418</v>
      </c>
      <c r="G852" s="20" t="s">
        <v>47</v>
      </c>
      <c r="H852" s="20" t="s">
        <v>48</v>
      </c>
      <c r="I852" s="20" t="s">
        <v>418</v>
      </c>
      <c r="J852" s="22" t="s">
        <v>3967</v>
      </c>
      <c r="K852" s="22" t="s">
        <v>3967</v>
      </c>
      <c r="L852" s="23" t="s">
        <v>2018</v>
      </c>
      <c r="M852" s="24" t="s">
        <v>7736</v>
      </c>
      <c r="N852" s="23">
        <v>18747003</v>
      </c>
      <c r="O852" s="25" t="s">
        <v>52</v>
      </c>
      <c r="P852" s="25" t="s">
        <v>53</v>
      </c>
      <c r="Q852" s="20" t="s">
        <v>3968</v>
      </c>
      <c r="R852" s="20">
        <v>90182386</v>
      </c>
      <c r="S852" s="25" t="s">
        <v>3969</v>
      </c>
      <c r="T852" s="26" t="s">
        <v>57</v>
      </c>
      <c r="U852" s="23">
        <v>860900062319702</v>
      </c>
      <c r="V852" s="27" t="s">
        <v>57</v>
      </c>
      <c r="W852" s="20" t="s">
        <v>58</v>
      </c>
      <c r="X852" s="20" t="s">
        <v>59</v>
      </c>
      <c r="Y852" s="20" t="s">
        <v>59</v>
      </c>
      <c r="Z852" s="20" t="s">
        <v>60</v>
      </c>
      <c r="AA852" s="20" t="s">
        <v>61</v>
      </c>
      <c r="AB852" s="20" t="s">
        <v>96</v>
      </c>
      <c r="AC852" s="28">
        <v>369.83</v>
      </c>
      <c r="AD852" s="28">
        <f>SUM(BASE[[#This Row],[MONTO DE RENTA ]]*1.16)</f>
        <v>429.00279999999998</v>
      </c>
      <c r="AE852" s="28" t="s">
        <v>63</v>
      </c>
      <c r="AF852" s="28">
        <v>369.82758620689657</v>
      </c>
      <c r="AG852" s="28">
        <v>429</v>
      </c>
      <c r="AH852" s="22" t="s">
        <v>64</v>
      </c>
      <c r="AI852" s="63">
        <v>45703</v>
      </c>
      <c r="AJ852" s="63">
        <v>46433</v>
      </c>
      <c r="AK8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2" s="30"/>
      <c r="AN852" s="20" t="s">
        <v>65</v>
      </c>
      <c r="AP852" s="20" t="s">
        <v>84</v>
      </c>
    </row>
    <row r="853" spans="1:43" ht="16">
      <c r="A853" s="20">
        <v>5513315273</v>
      </c>
      <c r="B853" s="49">
        <v>440371</v>
      </c>
      <c r="C853" s="20" t="s">
        <v>3311</v>
      </c>
      <c r="D853" s="20" t="s">
        <v>636</v>
      </c>
      <c r="E853" s="20" t="s">
        <v>3970</v>
      </c>
      <c r="F853" s="20" t="s">
        <v>1004</v>
      </c>
      <c r="G853" s="20" t="s">
        <v>47</v>
      </c>
      <c r="H853" s="20" t="s">
        <v>48</v>
      </c>
      <c r="I853" s="20" t="s">
        <v>1004</v>
      </c>
      <c r="J853" s="22" t="s">
        <v>3971</v>
      </c>
      <c r="K853" s="22" t="s">
        <v>3971</v>
      </c>
      <c r="L853" s="23" t="s">
        <v>2018</v>
      </c>
      <c r="M853" s="24" t="s">
        <v>7736</v>
      </c>
      <c r="N853" s="23">
        <v>18702000</v>
      </c>
      <c r="O853" s="25" t="s">
        <v>52</v>
      </c>
      <c r="P853" s="25" t="s">
        <v>53</v>
      </c>
      <c r="Q853" s="20" t="s">
        <v>3972</v>
      </c>
      <c r="R853" s="20">
        <v>91332782</v>
      </c>
      <c r="S853" s="25" t="s">
        <v>3973</v>
      </c>
      <c r="T853" s="26" t="s">
        <v>57</v>
      </c>
      <c r="U853" s="23">
        <v>860900062319702</v>
      </c>
      <c r="V853" s="27" t="s">
        <v>57</v>
      </c>
      <c r="W853" s="20" t="s">
        <v>58</v>
      </c>
      <c r="X853" s="20" t="s">
        <v>59</v>
      </c>
      <c r="Y853" s="20" t="s">
        <v>59</v>
      </c>
      <c r="Z853" s="20" t="s">
        <v>261</v>
      </c>
      <c r="AA853" s="20" t="s">
        <v>473</v>
      </c>
      <c r="AB853" s="20" t="s">
        <v>262</v>
      </c>
      <c r="AC853" s="28">
        <v>369.83</v>
      </c>
      <c r="AD853" s="28">
        <f>SUM(BASE[[#This Row],[MONTO DE RENTA ]]*1.16)</f>
        <v>429.00279999999998</v>
      </c>
      <c r="AE853" s="28" t="s">
        <v>63</v>
      </c>
      <c r="AF853" s="28">
        <v>369.82758620689657</v>
      </c>
      <c r="AG853" s="28">
        <v>429</v>
      </c>
      <c r="AH853" s="36" t="s">
        <v>64</v>
      </c>
      <c r="AI853" s="84">
        <v>45323</v>
      </c>
      <c r="AJ853" s="84">
        <v>46419</v>
      </c>
      <c r="AK85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853" s="30"/>
      <c r="AN853" s="20" t="s">
        <v>65</v>
      </c>
      <c r="AP853" s="20" t="s">
        <v>84</v>
      </c>
    </row>
    <row r="854" spans="1:43" ht="16">
      <c r="A854" s="20">
        <v>5514163875</v>
      </c>
      <c r="B854" s="21">
        <v>1019766</v>
      </c>
      <c r="C854" s="20" t="s">
        <v>1160</v>
      </c>
      <c r="D854" s="20" t="s">
        <v>640</v>
      </c>
      <c r="E854" s="20" t="s">
        <v>3974</v>
      </c>
      <c r="F854" s="20" t="s">
        <v>248</v>
      </c>
      <c r="G854" s="20" t="s">
        <v>248</v>
      </c>
      <c r="H854" s="20" t="s">
        <v>48</v>
      </c>
      <c r="I854" s="20" t="s">
        <v>248</v>
      </c>
      <c r="J854" s="22" t="s">
        <v>3975</v>
      </c>
      <c r="K854" s="22" t="s">
        <v>3975</v>
      </c>
      <c r="L854" s="23" t="s">
        <v>2018</v>
      </c>
      <c r="M854" s="24" t="s">
        <v>7736</v>
      </c>
      <c r="N854" s="23">
        <v>18747003</v>
      </c>
      <c r="O854" s="25" t="s">
        <v>52</v>
      </c>
      <c r="P854" s="25" t="s">
        <v>53</v>
      </c>
      <c r="Q854" s="20" t="s">
        <v>3976</v>
      </c>
      <c r="R854" s="20">
        <v>90136500</v>
      </c>
      <c r="S854" s="25" t="s">
        <v>3977</v>
      </c>
      <c r="T854" s="26" t="s">
        <v>57</v>
      </c>
      <c r="U854" s="23">
        <v>860900062323407</v>
      </c>
      <c r="V854" s="27" t="s">
        <v>57</v>
      </c>
      <c r="W854" s="20" t="s">
        <v>58</v>
      </c>
      <c r="X854" s="20" t="s">
        <v>59</v>
      </c>
      <c r="Y854" s="20" t="s">
        <v>59</v>
      </c>
      <c r="Z854" s="20" t="s">
        <v>60</v>
      </c>
      <c r="AA854" s="20" t="s">
        <v>61</v>
      </c>
      <c r="AB854" s="20" t="s">
        <v>96</v>
      </c>
      <c r="AC854" s="28">
        <v>369.83</v>
      </c>
      <c r="AD854" s="28">
        <f>SUM(BASE[[#This Row],[MONTO DE RENTA ]]*1.16)</f>
        <v>429.00279999999998</v>
      </c>
      <c r="AE854" s="28" t="s">
        <v>63</v>
      </c>
      <c r="AF854" s="28">
        <v>369.82758620689657</v>
      </c>
      <c r="AG854" s="28">
        <v>429</v>
      </c>
      <c r="AH854" s="22" t="s">
        <v>64</v>
      </c>
      <c r="AI854" s="63">
        <v>45703</v>
      </c>
      <c r="AJ854" s="63">
        <v>46433</v>
      </c>
      <c r="AK8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4" s="30"/>
      <c r="AN854" s="20" t="s">
        <v>65</v>
      </c>
      <c r="AP854" s="20" t="s">
        <v>84</v>
      </c>
    </row>
    <row r="855" spans="1:43" ht="16">
      <c r="A855" s="20">
        <v>5514213701</v>
      </c>
      <c r="B855" s="21">
        <v>470036</v>
      </c>
      <c r="C855" s="20" t="s">
        <v>3978</v>
      </c>
      <c r="D855" s="20" t="s">
        <v>468</v>
      </c>
      <c r="E855" s="20" t="s">
        <v>247</v>
      </c>
      <c r="F855" s="20" t="s">
        <v>104</v>
      </c>
      <c r="G855" s="20" t="s">
        <v>104</v>
      </c>
      <c r="H855" s="20" t="s">
        <v>48</v>
      </c>
      <c r="I855" s="20" t="s">
        <v>104</v>
      </c>
      <c r="J855" s="97" t="s">
        <v>3979</v>
      </c>
      <c r="K855" s="97" t="s">
        <v>3979</v>
      </c>
      <c r="L855" s="23" t="s">
        <v>2018</v>
      </c>
      <c r="M855" s="24" t="s">
        <v>7736</v>
      </c>
      <c r="N855" s="23">
        <v>18747003</v>
      </c>
      <c r="O855" s="25" t="s">
        <v>52</v>
      </c>
      <c r="P855" s="25" t="s">
        <v>53</v>
      </c>
      <c r="Q855" s="20" t="s">
        <v>3980</v>
      </c>
      <c r="R855" s="20">
        <v>90069643</v>
      </c>
      <c r="S855" s="25" t="s">
        <v>3981</v>
      </c>
      <c r="T855" s="26" t="s">
        <v>57</v>
      </c>
      <c r="U855" s="23" t="s">
        <v>3982</v>
      </c>
      <c r="V855" s="45" t="s">
        <v>110</v>
      </c>
      <c r="W855" s="20" t="s">
        <v>302</v>
      </c>
      <c r="X855" s="20" t="s">
        <v>303</v>
      </c>
      <c r="Y855" s="20" t="s">
        <v>303</v>
      </c>
      <c r="Z855" s="20" t="s">
        <v>80</v>
      </c>
      <c r="AA855" s="20" t="s">
        <v>81</v>
      </c>
      <c r="AB855" s="20" t="s">
        <v>82</v>
      </c>
      <c r="AC855" s="28">
        <v>559.48</v>
      </c>
      <c r="AD855" s="28">
        <f>SUM(BASE[[#This Row],[MONTO DE RENTA ]]*1.16)</f>
        <v>648.99680000000001</v>
      </c>
      <c r="AE855" s="28" t="s">
        <v>83</v>
      </c>
      <c r="AF855" s="28">
        <v>559.48275862068965</v>
      </c>
      <c r="AG855" s="28">
        <v>649</v>
      </c>
      <c r="AH855" s="22" t="s">
        <v>64</v>
      </c>
      <c r="AI855" s="63">
        <v>45703</v>
      </c>
      <c r="AJ855" s="63">
        <v>46433</v>
      </c>
      <c r="AK8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5" s="30"/>
      <c r="AN855" s="20" t="s">
        <v>65</v>
      </c>
      <c r="AP855" s="20" t="s">
        <v>84</v>
      </c>
    </row>
    <row r="856" spans="1:43" ht="16">
      <c r="A856" s="20">
        <v>5514213458</v>
      </c>
      <c r="B856" s="21">
        <v>1063866</v>
      </c>
      <c r="C856" s="20" t="s">
        <v>2476</v>
      </c>
      <c r="D856" s="20" t="s">
        <v>357</v>
      </c>
      <c r="E856" s="20" t="s">
        <v>1598</v>
      </c>
      <c r="F856" s="20" t="s">
        <v>104</v>
      </c>
      <c r="G856" s="20" t="s">
        <v>104</v>
      </c>
      <c r="H856" s="20" t="s">
        <v>48</v>
      </c>
      <c r="I856" s="20" t="s">
        <v>104</v>
      </c>
      <c r="J856" s="32" t="s">
        <v>3983</v>
      </c>
      <c r="K856" s="32" t="s">
        <v>3983</v>
      </c>
      <c r="L856" s="23" t="s">
        <v>2018</v>
      </c>
      <c r="M856" s="24" t="s">
        <v>7736</v>
      </c>
      <c r="N856" s="23">
        <v>18747003</v>
      </c>
      <c r="O856" s="25" t="s">
        <v>52</v>
      </c>
      <c r="P856" s="25" t="s">
        <v>53</v>
      </c>
      <c r="Q856" s="20" t="s">
        <v>3984</v>
      </c>
      <c r="R856" s="20">
        <v>9988122</v>
      </c>
      <c r="S856" s="25" t="s">
        <v>3985</v>
      </c>
      <c r="T856" s="26" t="s">
        <v>57</v>
      </c>
      <c r="U856" s="23">
        <v>860478064977454</v>
      </c>
      <c r="V856" s="45" t="s">
        <v>110</v>
      </c>
      <c r="W856" s="20" t="s">
        <v>302</v>
      </c>
      <c r="X856" s="20" t="s">
        <v>303</v>
      </c>
      <c r="Y856" s="20" t="s">
        <v>303</v>
      </c>
      <c r="Z856" s="20" t="s">
        <v>80</v>
      </c>
      <c r="AA856" s="20" t="s">
        <v>81</v>
      </c>
      <c r="AB856" s="20" t="s">
        <v>82</v>
      </c>
      <c r="AC856" s="28">
        <v>559.48</v>
      </c>
      <c r="AD856" s="28">
        <f>SUM(BASE[[#This Row],[MONTO DE RENTA ]]*1.16)</f>
        <v>648.99680000000001</v>
      </c>
      <c r="AE856" s="28" t="s">
        <v>83</v>
      </c>
      <c r="AF856" s="28">
        <v>559.48275862068965</v>
      </c>
      <c r="AG856" s="28">
        <v>649</v>
      </c>
      <c r="AH856" s="22" t="s">
        <v>64</v>
      </c>
      <c r="AI856" s="63">
        <v>45703</v>
      </c>
      <c r="AJ856" s="63">
        <v>46433</v>
      </c>
      <c r="AK8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6" s="30"/>
      <c r="AN856" s="20" t="s">
        <v>65</v>
      </c>
      <c r="AP856" s="20" t="s">
        <v>84</v>
      </c>
    </row>
    <row r="857" spans="1:43" ht="16">
      <c r="A857" s="20">
        <v>5529819060</v>
      </c>
      <c r="B857" s="49">
        <v>1042437</v>
      </c>
      <c r="C857" s="20" t="s">
        <v>506</v>
      </c>
      <c r="D857" s="20" t="s">
        <v>102</v>
      </c>
      <c r="E857" s="20" t="s">
        <v>598</v>
      </c>
      <c r="F857" s="20" t="s">
        <v>70</v>
      </c>
      <c r="G857" s="20" t="s">
        <v>70</v>
      </c>
      <c r="H857" s="20" t="s">
        <v>48</v>
      </c>
      <c r="I857" s="20" t="s">
        <v>70</v>
      </c>
      <c r="J857" s="22" t="s">
        <v>3986</v>
      </c>
      <c r="K857" s="22" t="s">
        <v>3986</v>
      </c>
      <c r="L857" s="23" t="s">
        <v>2018</v>
      </c>
      <c r="M857" s="24" t="s">
        <v>7736</v>
      </c>
      <c r="N857" s="23">
        <v>18746003</v>
      </c>
      <c r="O857" s="25" t="s">
        <v>52</v>
      </c>
      <c r="P857" s="25" t="s">
        <v>53</v>
      </c>
      <c r="Q857" s="20" t="s">
        <v>3987</v>
      </c>
      <c r="R857" s="20">
        <v>9808602</v>
      </c>
      <c r="S857" s="25" t="s">
        <v>3988</v>
      </c>
      <c r="T857" s="26" t="s">
        <v>77</v>
      </c>
      <c r="U857" s="23">
        <v>357654178247105</v>
      </c>
      <c r="V857" s="27" t="s">
        <v>78</v>
      </c>
      <c r="W857" s="20" t="s">
        <v>95</v>
      </c>
      <c r="X857" s="20" t="s">
        <v>95</v>
      </c>
      <c r="Y857" s="20" t="s">
        <v>95</v>
      </c>
      <c r="Z857" s="20" t="s">
        <v>261</v>
      </c>
      <c r="AA857" s="20" t="s">
        <v>473</v>
      </c>
      <c r="AB857" s="20" t="s">
        <v>474</v>
      </c>
      <c r="AC857" s="28">
        <v>559.48</v>
      </c>
      <c r="AD857" s="28">
        <f>SUM(BASE[[#This Row],[MONTO DE RENTA ]]*1.16)</f>
        <v>648.99680000000001</v>
      </c>
      <c r="AE857" s="28" t="s">
        <v>83</v>
      </c>
      <c r="AF857" s="28">
        <v>559.48275862068965</v>
      </c>
      <c r="AG857" s="28">
        <v>649</v>
      </c>
      <c r="AI857" s="63">
        <v>44937</v>
      </c>
      <c r="AJ857" s="73">
        <v>46043</v>
      </c>
      <c r="AK8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57" s="30"/>
      <c r="AN857" s="20" t="s">
        <v>99</v>
      </c>
      <c r="AP857" s="20" t="s">
        <v>84</v>
      </c>
      <c r="AQ857" s="20" t="s">
        <v>100</v>
      </c>
    </row>
    <row r="858" spans="1:43" ht="16">
      <c r="A858" s="20">
        <v>5543538569</v>
      </c>
      <c r="B858" s="49">
        <v>480022</v>
      </c>
      <c r="C858" s="20" t="s">
        <v>3989</v>
      </c>
      <c r="D858" s="20" t="s">
        <v>186</v>
      </c>
      <c r="E858" s="20" t="s">
        <v>172</v>
      </c>
      <c r="F858" s="20" t="s">
        <v>451</v>
      </c>
      <c r="G858" s="20" t="s">
        <v>47</v>
      </c>
      <c r="H858" s="20" t="s">
        <v>48</v>
      </c>
      <c r="I858" s="20" t="s">
        <v>451</v>
      </c>
      <c r="J858" s="22" t="s">
        <v>3990</v>
      </c>
      <c r="K858" s="22" t="s">
        <v>3990</v>
      </c>
      <c r="L858" s="23" t="s">
        <v>3991</v>
      </c>
      <c r="M858" s="24" t="s">
        <v>7736</v>
      </c>
      <c r="N858" s="23">
        <v>18748003</v>
      </c>
      <c r="O858" s="25" t="s">
        <v>52</v>
      </c>
      <c r="P858" s="25" t="s">
        <v>53</v>
      </c>
      <c r="Q858" s="20" t="s">
        <v>3992</v>
      </c>
      <c r="R858" s="20">
        <v>95551214</v>
      </c>
      <c r="S858" s="25" t="s">
        <v>3993</v>
      </c>
      <c r="T858" s="26" t="s">
        <v>57</v>
      </c>
      <c r="U858" s="23">
        <v>865356065671638</v>
      </c>
      <c r="V858" s="27" t="s">
        <v>183</v>
      </c>
      <c r="W858" s="20" t="s">
        <v>129</v>
      </c>
      <c r="X858" s="20" t="s">
        <v>130</v>
      </c>
      <c r="Y858" s="20" t="s">
        <v>130</v>
      </c>
      <c r="Z858" s="20" t="s">
        <v>261</v>
      </c>
      <c r="AA858" s="20" t="s">
        <v>473</v>
      </c>
      <c r="AB858" s="20" t="s">
        <v>262</v>
      </c>
      <c r="AC858" s="28">
        <v>369.83</v>
      </c>
      <c r="AD858" s="28">
        <f>SUM(BASE[[#This Row],[MONTO DE RENTA ]]*1.16)</f>
        <v>429.00279999999998</v>
      </c>
      <c r="AE858" s="28" t="s">
        <v>63</v>
      </c>
      <c r="AF858" s="28">
        <v>369.82758620689657</v>
      </c>
      <c r="AG858" s="28">
        <v>429</v>
      </c>
      <c r="AI858" s="63">
        <v>44937</v>
      </c>
      <c r="AJ858" s="73">
        <v>46043</v>
      </c>
      <c r="AK8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58" s="30"/>
      <c r="AN858" s="20" t="s">
        <v>99</v>
      </c>
      <c r="AP858" s="20" t="s">
        <v>84</v>
      </c>
      <c r="AQ858" s="20" t="s">
        <v>100</v>
      </c>
    </row>
    <row r="859" spans="1:43" ht="16">
      <c r="A859" s="20">
        <v>5512573462</v>
      </c>
      <c r="B859" s="21">
        <v>480013</v>
      </c>
      <c r="C859" s="20" t="s">
        <v>67</v>
      </c>
      <c r="D859" s="20" t="s">
        <v>3994</v>
      </c>
      <c r="E859" s="20" t="s">
        <v>598</v>
      </c>
      <c r="F859" s="20" t="s">
        <v>248</v>
      </c>
      <c r="G859" s="20" t="s">
        <v>248</v>
      </c>
      <c r="H859" s="20" t="s">
        <v>48</v>
      </c>
      <c r="I859" s="20" t="s">
        <v>248</v>
      </c>
      <c r="J859" s="22" t="s">
        <v>3995</v>
      </c>
      <c r="K859" s="22" t="s">
        <v>3995</v>
      </c>
      <c r="L859" s="23" t="s">
        <v>3991</v>
      </c>
      <c r="M859" s="24" t="s">
        <v>7736</v>
      </c>
      <c r="N859" s="23">
        <v>18748003</v>
      </c>
      <c r="O859" s="25" t="s">
        <v>52</v>
      </c>
      <c r="P859" s="25" t="s">
        <v>53</v>
      </c>
      <c r="Q859" s="20" t="s">
        <v>3996</v>
      </c>
      <c r="R859" s="20">
        <v>90136435</v>
      </c>
      <c r="S859" s="25" t="s">
        <v>3997</v>
      </c>
      <c r="T859" s="26" t="s">
        <v>57</v>
      </c>
      <c r="U859" s="23">
        <v>860900062323241</v>
      </c>
      <c r="V859" s="27" t="s">
        <v>57</v>
      </c>
      <c r="W859" s="20" t="s">
        <v>58</v>
      </c>
      <c r="X859" s="20" t="s">
        <v>59</v>
      </c>
      <c r="Y859" s="20" t="s">
        <v>59</v>
      </c>
      <c r="Z859" s="20" t="s">
        <v>60</v>
      </c>
      <c r="AA859" s="20" t="s">
        <v>61</v>
      </c>
      <c r="AB859" s="20" t="s">
        <v>96</v>
      </c>
      <c r="AC859" s="28">
        <v>369.83</v>
      </c>
      <c r="AD859" s="28">
        <f>SUM(BASE[[#This Row],[MONTO DE RENTA ]]*1.16)</f>
        <v>429.00279999999998</v>
      </c>
      <c r="AE859" s="28" t="s">
        <v>63</v>
      </c>
      <c r="AF859" s="28">
        <v>369.82758620689657</v>
      </c>
      <c r="AG859" s="28">
        <v>429</v>
      </c>
      <c r="AH859" s="22" t="s">
        <v>64</v>
      </c>
      <c r="AI859" s="63">
        <v>45703</v>
      </c>
      <c r="AJ859" s="63">
        <v>46433</v>
      </c>
      <c r="AK8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59" s="30"/>
      <c r="AN859" s="20" t="s">
        <v>65</v>
      </c>
      <c r="AP859" s="20" t="s">
        <v>84</v>
      </c>
    </row>
    <row r="860" spans="1:43" ht="16">
      <c r="A860" s="20">
        <v>8117828057</v>
      </c>
      <c r="B860" s="21">
        <v>100247</v>
      </c>
      <c r="C860" s="20" t="s">
        <v>3998</v>
      </c>
      <c r="D860" s="20" t="s">
        <v>187</v>
      </c>
      <c r="E860" s="20" t="s">
        <v>329</v>
      </c>
      <c r="F860" s="20" t="s">
        <v>104</v>
      </c>
      <c r="G860" s="20" t="s">
        <v>104</v>
      </c>
      <c r="H860" s="20" t="s">
        <v>48</v>
      </c>
      <c r="I860" s="20" t="s">
        <v>104</v>
      </c>
      <c r="J860" s="54" t="s">
        <v>3999</v>
      </c>
      <c r="K860" s="54" t="s">
        <v>3999</v>
      </c>
      <c r="L860" s="23" t="s">
        <v>4000</v>
      </c>
      <c r="M860" s="24" t="s">
        <v>7737</v>
      </c>
      <c r="N860" s="23">
        <v>18751000</v>
      </c>
      <c r="O860" s="25" t="s">
        <v>74</v>
      </c>
      <c r="P860" s="25" t="s">
        <v>53</v>
      </c>
      <c r="Q860" s="20" t="s">
        <v>4001</v>
      </c>
      <c r="R860" s="20">
        <v>43254981</v>
      </c>
      <c r="S860" s="25" t="s">
        <v>1194</v>
      </c>
      <c r="T860" s="228" t="s">
        <v>57</v>
      </c>
      <c r="U860" s="23">
        <v>866223056227441</v>
      </c>
      <c r="V860" s="27" t="s">
        <v>183</v>
      </c>
      <c r="W860" s="20" t="s">
        <v>649</v>
      </c>
      <c r="X860" s="20" t="s">
        <v>650</v>
      </c>
      <c r="Y860" s="20" t="s">
        <v>650</v>
      </c>
      <c r="Z860" s="20" t="s">
        <v>167</v>
      </c>
      <c r="AA860" s="20" t="s">
        <v>168</v>
      </c>
      <c r="AB860" s="20" t="s">
        <v>96</v>
      </c>
      <c r="AC860" s="28">
        <v>369.83</v>
      </c>
      <c r="AD860" s="28">
        <f>SUM(BASE[[#This Row],[MONTO DE RENTA ]]*1.16)</f>
        <v>429.00279999999998</v>
      </c>
      <c r="AE860" s="28" t="s">
        <v>63</v>
      </c>
      <c r="AF860" s="28">
        <v>369.82758620689657</v>
      </c>
      <c r="AG860" s="28">
        <v>429</v>
      </c>
      <c r="AI860" s="63">
        <v>45213</v>
      </c>
      <c r="AJ860" s="63">
        <v>45944</v>
      </c>
      <c r="AK860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860" s="30"/>
      <c r="AN860" s="20" t="s">
        <v>99</v>
      </c>
      <c r="AP860" s="20" t="s">
        <v>84</v>
      </c>
      <c r="AQ860" s="20" t="s">
        <v>100</v>
      </c>
    </row>
    <row r="861" spans="1:43" ht="16">
      <c r="A861" s="20">
        <v>5533078813</v>
      </c>
      <c r="B861" s="21">
        <v>1072679</v>
      </c>
      <c r="C861" s="20" t="s">
        <v>4002</v>
      </c>
      <c r="D861" s="20" t="s">
        <v>4003</v>
      </c>
      <c r="E861" s="20" t="s">
        <v>4004</v>
      </c>
      <c r="F861" s="20" t="s">
        <v>104</v>
      </c>
      <c r="G861" s="20" t="s">
        <v>104</v>
      </c>
      <c r="H861" s="20" t="s">
        <v>48</v>
      </c>
      <c r="I861" s="20" t="s">
        <v>104</v>
      </c>
      <c r="J861" s="54" t="s">
        <v>4005</v>
      </c>
      <c r="K861" s="54" t="s">
        <v>4005</v>
      </c>
      <c r="L861" s="23" t="s">
        <v>3991</v>
      </c>
      <c r="M861" s="24" t="s">
        <v>7736</v>
      </c>
      <c r="N861" s="23">
        <v>18748003</v>
      </c>
      <c r="O861" s="25" t="s">
        <v>52</v>
      </c>
      <c r="P861" s="25" t="s">
        <v>53</v>
      </c>
      <c r="Q861" s="20" t="s">
        <v>4006</v>
      </c>
      <c r="R861" s="20">
        <v>90069510</v>
      </c>
      <c r="S861" s="25" t="s">
        <v>4007</v>
      </c>
      <c r="T861" s="81" t="s">
        <v>57</v>
      </c>
      <c r="U861" s="23">
        <v>860478063772179</v>
      </c>
      <c r="V861" s="45" t="s">
        <v>110</v>
      </c>
      <c r="W861" s="20" t="s">
        <v>302</v>
      </c>
      <c r="X861" s="20" t="s">
        <v>303</v>
      </c>
      <c r="Y861" s="20" t="s">
        <v>303</v>
      </c>
      <c r="Z861" s="20" t="s">
        <v>80</v>
      </c>
      <c r="AA861" s="20" t="s">
        <v>81</v>
      </c>
      <c r="AB861" s="20" t="s">
        <v>82</v>
      </c>
      <c r="AC861" s="28">
        <v>559.48</v>
      </c>
      <c r="AD861" s="28">
        <f>SUM(BASE[[#This Row],[MONTO DE RENTA ]]*1.16)</f>
        <v>648.99680000000001</v>
      </c>
      <c r="AE861" s="28" t="s">
        <v>83</v>
      </c>
      <c r="AF861" s="28">
        <v>559.48275862068965</v>
      </c>
      <c r="AG861" s="28">
        <v>649</v>
      </c>
      <c r="AH861" s="22" t="s">
        <v>64</v>
      </c>
      <c r="AI861" s="63">
        <v>45713</v>
      </c>
      <c r="AJ861" s="63">
        <v>46433</v>
      </c>
      <c r="AK8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861" s="63">
        <v>46310</v>
      </c>
      <c r="AM861" s="30"/>
      <c r="AN861" s="20" t="s">
        <v>65</v>
      </c>
      <c r="AP861" s="20" t="s">
        <v>84</v>
      </c>
    </row>
    <row r="862" spans="1:43" ht="16">
      <c r="A862" s="20">
        <v>5533077754</v>
      </c>
      <c r="B862" s="21">
        <v>997719</v>
      </c>
      <c r="C862" s="20" t="s">
        <v>760</v>
      </c>
      <c r="D862" s="20" t="s">
        <v>4008</v>
      </c>
      <c r="E862" s="20" t="s">
        <v>598</v>
      </c>
      <c r="F862" s="20" t="s">
        <v>104</v>
      </c>
      <c r="G862" s="20" t="s">
        <v>104</v>
      </c>
      <c r="H862" s="20" t="s">
        <v>48</v>
      </c>
      <c r="I862" s="20" t="s">
        <v>104</v>
      </c>
      <c r="J862" s="22" t="s">
        <v>4009</v>
      </c>
      <c r="K862" s="22" t="s">
        <v>4009</v>
      </c>
      <c r="L862" s="23" t="s">
        <v>3991</v>
      </c>
      <c r="M862" s="24" t="s">
        <v>7736</v>
      </c>
      <c r="N862" s="23">
        <v>18691000</v>
      </c>
      <c r="O862" s="25" t="s">
        <v>52</v>
      </c>
      <c r="P862" s="25" t="s">
        <v>53</v>
      </c>
      <c r="Q862" s="20" t="s">
        <v>4010</v>
      </c>
      <c r="R862" s="20">
        <v>90069875</v>
      </c>
      <c r="S862" s="25" t="s">
        <v>4011</v>
      </c>
      <c r="T862" s="26" t="s">
        <v>57</v>
      </c>
      <c r="U862" s="23">
        <v>867471072380152</v>
      </c>
      <c r="V862" s="45" t="s">
        <v>110</v>
      </c>
      <c r="W862" s="20" t="s">
        <v>269</v>
      </c>
      <c r="X862" s="20" t="s">
        <v>270</v>
      </c>
      <c r="Y862" s="20" t="s">
        <v>270</v>
      </c>
      <c r="Z862" s="20" t="s">
        <v>80</v>
      </c>
      <c r="AA862" s="20" t="s">
        <v>81</v>
      </c>
      <c r="AB862" s="20" t="s">
        <v>82</v>
      </c>
      <c r="AC862" s="28">
        <v>559.48</v>
      </c>
      <c r="AD862" s="28">
        <f>SUM(BASE[[#This Row],[MONTO DE RENTA ]]*1.16)</f>
        <v>648.99680000000001</v>
      </c>
      <c r="AE862" s="28" t="s">
        <v>83</v>
      </c>
      <c r="AF862" s="28">
        <v>559.48275862068965</v>
      </c>
      <c r="AG862" s="28">
        <v>649</v>
      </c>
      <c r="AH862" s="22" t="s">
        <v>140</v>
      </c>
      <c r="AI862" s="63">
        <v>45994</v>
      </c>
      <c r="AJ862" s="63">
        <v>46798</v>
      </c>
      <c r="AK862" s="30">
        <f ca="1">IFERROR(IF(BASE[[#This Row],[FECHA DE RENOVACION ]]&gt;TODAY(), DATEDIF(TODAY(),BASE[[#This Row],[FECHA DE RENOVACION ]],"M"), -DATEDIF(BASE[[#This Row],[FECHA DE RENOVACION ]],TODAY(),"M")), "Sin fecha")</f>
        <v>23</v>
      </c>
      <c r="AL862" s="229">
        <v>18691000</v>
      </c>
      <c r="AM862" s="30"/>
      <c r="AN862" s="20" t="s">
        <v>65</v>
      </c>
      <c r="AP862" s="20" t="s">
        <v>84</v>
      </c>
    </row>
    <row r="863" spans="1:43" ht="16">
      <c r="A863" s="20">
        <v>5533910494</v>
      </c>
      <c r="B863" s="21">
        <v>1037501</v>
      </c>
      <c r="C863" s="20" t="s">
        <v>449</v>
      </c>
      <c r="D863" s="20" t="s">
        <v>476</v>
      </c>
      <c r="E863" s="20" t="s">
        <v>1694</v>
      </c>
      <c r="F863" s="20" t="s">
        <v>104</v>
      </c>
      <c r="G863" s="20" t="s">
        <v>104</v>
      </c>
      <c r="H863" s="20" t="s">
        <v>48</v>
      </c>
      <c r="I863" s="20" t="s">
        <v>104</v>
      </c>
      <c r="J863" s="32" t="s">
        <v>4012</v>
      </c>
      <c r="K863" s="22" t="s">
        <v>4012</v>
      </c>
      <c r="L863" s="23" t="s">
        <v>3991</v>
      </c>
      <c r="M863" s="24" t="s">
        <v>7736</v>
      </c>
      <c r="N863" s="23">
        <v>18748003</v>
      </c>
      <c r="O863" s="25" t="s">
        <v>52</v>
      </c>
      <c r="P863" s="25" t="s">
        <v>53</v>
      </c>
      <c r="Q863" s="20" t="s">
        <v>4013</v>
      </c>
      <c r="R863" s="20">
        <v>90069554</v>
      </c>
      <c r="S863" s="25" t="s">
        <v>4014</v>
      </c>
      <c r="T863" s="26" t="s">
        <v>57</v>
      </c>
      <c r="U863" s="23" t="s">
        <v>193</v>
      </c>
      <c r="V863" s="45" t="s">
        <v>110</v>
      </c>
      <c r="W863" s="20" t="s">
        <v>194</v>
      </c>
      <c r="X863" s="20" t="s">
        <v>194</v>
      </c>
      <c r="Y863" s="20" t="s">
        <v>194</v>
      </c>
      <c r="Z863" s="20" t="s">
        <v>80</v>
      </c>
      <c r="AA863" s="20" t="s">
        <v>81</v>
      </c>
      <c r="AB863" s="20" t="s">
        <v>82</v>
      </c>
      <c r="AC863" s="28">
        <v>559.48</v>
      </c>
      <c r="AD863" s="28">
        <f>SUM(BASE[[#This Row],[MONTO DE RENTA ]]*1.16)</f>
        <v>648.99680000000001</v>
      </c>
      <c r="AE863" s="28" t="s">
        <v>83</v>
      </c>
      <c r="AF863" s="28">
        <v>559.48275862068965</v>
      </c>
      <c r="AG863" s="28">
        <v>649</v>
      </c>
      <c r="AH863" s="22" t="s">
        <v>64</v>
      </c>
      <c r="AI863" s="63">
        <v>45669</v>
      </c>
      <c r="AJ863" s="63">
        <v>46399</v>
      </c>
      <c r="AK86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863" s="30"/>
      <c r="AN863" s="20" t="s">
        <v>65</v>
      </c>
      <c r="AP863" s="20" t="s">
        <v>84</v>
      </c>
    </row>
    <row r="864" spans="1:43" ht="16">
      <c r="A864" s="20">
        <v>5533078526</v>
      </c>
      <c r="B864" s="21">
        <v>980089</v>
      </c>
      <c r="C864" s="20" t="s">
        <v>2990</v>
      </c>
      <c r="D864" s="20" t="s">
        <v>357</v>
      </c>
      <c r="E864" s="20" t="s">
        <v>3458</v>
      </c>
      <c r="F864" s="20" t="s">
        <v>257</v>
      </c>
      <c r="G864" s="20" t="s">
        <v>257</v>
      </c>
      <c r="H864" s="20" t="s">
        <v>48</v>
      </c>
      <c r="I864" s="20" t="s">
        <v>257</v>
      </c>
      <c r="J864" s="22" t="s">
        <v>4015</v>
      </c>
      <c r="K864" s="22" t="s">
        <v>4015</v>
      </c>
      <c r="L864" s="23" t="s">
        <v>3991</v>
      </c>
      <c r="M864" s="24" t="s">
        <v>7736</v>
      </c>
      <c r="N864" s="23">
        <v>18748003</v>
      </c>
      <c r="O864" s="25" t="s">
        <v>52</v>
      </c>
      <c r="P864" s="25" t="s">
        <v>53</v>
      </c>
      <c r="Q864" s="20" t="s">
        <v>4016</v>
      </c>
      <c r="R864" s="20">
        <v>90069932</v>
      </c>
      <c r="S864" s="25" t="s">
        <v>4017</v>
      </c>
      <c r="T864" s="26" t="s">
        <v>57</v>
      </c>
      <c r="U864" s="23">
        <v>860478064858662</v>
      </c>
      <c r="V864" s="45" t="s">
        <v>110</v>
      </c>
      <c r="W864" s="20" t="s">
        <v>302</v>
      </c>
      <c r="X864" s="20" t="s">
        <v>303</v>
      </c>
      <c r="Y864" s="20" t="s">
        <v>303</v>
      </c>
      <c r="Z864" s="20" t="s">
        <v>80</v>
      </c>
      <c r="AA864" s="20" t="s">
        <v>81</v>
      </c>
      <c r="AB864" s="20" t="s">
        <v>82</v>
      </c>
      <c r="AC864" s="28">
        <v>559.48</v>
      </c>
      <c r="AD864" s="28">
        <f>SUM(BASE[[#This Row],[MONTO DE RENTA ]]*1.16)</f>
        <v>648.99680000000001</v>
      </c>
      <c r="AE864" s="28" t="s">
        <v>83</v>
      </c>
      <c r="AF864" s="28">
        <v>559.48275862068965</v>
      </c>
      <c r="AG864" s="28">
        <v>649</v>
      </c>
      <c r="AH864" s="22" t="s">
        <v>64</v>
      </c>
      <c r="AI864" s="63">
        <v>45713</v>
      </c>
      <c r="AJ864" s="63">
        <v>46433</v>
      </c>
      <c r="AK8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4" s="30"/>
      <c r="AN864" s="20" t="s">
        <v>65</v>
      </c>
      <c r="AP864" s="20" t="s">
        <v>84</v>
      </c>
    </row>
    <row r="865" spans="1:43" ht="16">
      <c r="A865" s="20">
        <v>5580726196</v>
      </c>
      <c r="B865" s="49">
        <v>470008</v>
      </c>
      <c r="C865" s="20" t="s">
        <v>2065</v>
      </c>
      <c r="D865" s="20" t="s">
        <v>937</v>
      </c>
      <c r="E865" s="20" t="s">
        <v>247</v>
      </c>
      <c r="F865" s="20" t="s">
        <v>70</v>
      </c>
      <c r="G865" s="20" t="s">
        <v>70</v>
      </c>
      <c r="H865" s="20" t="s">
        <v>48</v>
      </c>
      <c r="I865" s="20" t="s">
        <v>70</v>
      </c>
      <c r="J865" s="22" t="s">
        <v>4018</v>
      </c>
      <c r="K865" s="32" t="s">
        <v>4018</v>
      </c>
      <c r="L865" s="23" t="s">
        <v>3991</v>
      </c>
      <c r="M865" s="24" t="s">
        <v>7736</v>
      </c>
      <c r="N865" s="23">
        <v>18747003</v>
      </c>
      <c r="O865" s="25" t="s">
        <v>52</v>
      </c>
      <c r="P865" s="25" t="s">
        <v>53</v>
      </c>
      <c r="Q865" s="20" t="s">
        <v>4019</v>
      </c>
      <c r="R865" s="20">
        <v>9808603</v>
      </c>
      <c r="S865" s="25" t="s">
        <v>4020</v>
      </c>
      <c r="T865" s="26" t="s">
        <v>77</v>
      </c>
      <c r="U865" s="23">
        <v>357654179681930</v>
      </c>
      <c r="V865" s="27" t="s">
        <v>78</v>
      </c>
      <c r="W865" s="20" t="s">
        <v>95</v>
      </c>
      <c r="X865" s="20" t="s">
        <v>95</v>
      </c>
      <c r="Y865" s="20" t="s">
        <v>95</v>
      </c>
      <c r="Z865" s="20" t="s">
        <v>261</v>
      </c>
      <c r="AA865" s="20" t="s">
        <v>473</v>
      </c>
      <c r="AB865" s="20" t="s">
        <v>474</v>
      </c>
      <c r="AC865" s="28">
        <v>559.48</v>
      </c>
      <c r="AD865" s="28">
        <f>SUM(BASE[[#This Row],[MONTO DE RENTA ]]*1.16)</f>
        <v>648.99680000000001</v>
      </c>
      <c r="AE865" s="28" t="s">
        <v>83</v>
      </c>
      <c r="AF865" s="28">
        <v>559.48275862068965</v>
      </c>
      <c r="AG865" s="28">
        <v>649</v>
      </c>
      <c r="AI865" s="63">
        <v>44937</v>
      </c>
      <c r="AJ865" s="73">
        <v>46043</v>
      </c>
      <c r="AK8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65" s="30"/>
      <c r="AN865" s="20" t="s">
        <v>99</v>
      </c>
      <c r="AP865" s="20" t="s">
        <v>84</v>
      </c>
      <c r="AQ865" s="20" t="s">
        <v>100</v>
      </c>
    </row>
    <row r="866" spans="1:43" ht="16">
      <c r="A866" s="20">
        <v>8113117751</v>
      </c>
      <c r="B866" s="21">
        <v>510031</v>
      </c>
      <c r="C866" s="20" t="s">
        <v>4021</v>
      </c>
      <c r="D866" s="20" t="s">
        <v>172</v>
      </c>
      <c r="E866" s="20" t="s">
        <v>636</v>
      </c>
      <c r="F866" s="20" t="s">
        <v>47</v>
      </c>
      <c r="G866" s="20" t="s">
        <v>47</v>
      </c>
      <c r="H866" s="20" t="s">
        <v>48</v>
      </c>
      <c r="I866" s="20" t="s">
        <v>47</v>
      </c>
      <c r="J866" s="22" t="s">
        <v>4022</v>
      </c>
      <c r="K866" s="22" t="s">
        <v>4022</v>
      </c>
      <c r="L866" s="23" t="s">
        <v>4000</v>
      </c>
      <c r="M866" s="24" t="s">
        <v>7737</v>
      </c>
      <c r="N866" s="23">
        <v>18751000</v>
      </c>
      <c r="O866" s="25" t="s">
        <v>74</v>
      </c>
      <c r="P866" s="25" t="s">
        <v>53</v>
      </c>
      <c r="Q866" s="20" t="s">
        <v>4023</v>
      </c>
      <c r="R866" s="20">
        <v>43141256</v>
      </c>
      <c r="S866" s="25" t="s">
        <v>4024</v>
      </c>
      <c r="T866" s="26" t="s">
        <v>57</v>
      </c>
      <c r="U866" s="23">
        <v>860900062336599</v>
      </c>
      <c r="V866" s="27" t="s">
        <v>57</v>
      </c>
      <c r="W866" s="20" t="s">
        <v>58</v>
      </c>
      <c r="X866" s="20" t="s">
        <v>59</v>
      </c>
      <c r="Y866" s="20" t="s">
        <v>59</v>
      </c>
      <c r="Z866" s="20" t="s">
        <v>167</v>
      </c>
      <c r="AA866" s="20" t="s">
        <v>168</v>
      </c>
      <c r="AB866" s="20" t="s">
        <v>96</v>
      </c>
      <c r="AC866" s="28">
        <v>369.83</v>
      </c>
      <c r="AD866" s="28">
        <f>SUM(BASE[[#This Row],[MONTO DE RENTA ]]*1.16)</f>
        <v>429.00279999999998</v>
      </c>
      <c r="AE866" s="28" t="s">
        <v>63</v>
      </c>
      <c r="AF866" s="28">
        <v>369.82758620689657</v>
      </c>
      <c r="AG866" s="28">
        <v>429</v>
      </c>
      <c r="AH866" s="22" t="s">
        <v>64</v>
      </c>
      <c r="AI866" s="63">
        <v>45703</v>
      </c>
      <c r="AJ866" s="63">
        <v>46433</v>
      </c>
      <c r="AK8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6" s="30"/>
      <c r="AN866" s="20" t="s">
        <v>65</v>
      </c>
      <c r="AP866" s="20" t="s">
        <v>84</v>
      </c>
    </row>
    <row r="867" spans="1:43" ht="16">
      <c r="A867" s="20">
        <v>8113963432</v>
      </c>
      <c r="B867" s="21">
        <v>31259</v>
      </c>
      <c r="C867" s="20" t="s">
        <v>663</v>
      </c>
      <c r="D867" s="20" t="s">
        <v>324</v>
      </c>
      <c r="E867" s="20" t="s">
        <v>4025</v>
      </c>
      <c r="F867" s="20" t="s">
        <v>248</v>
      </c>
      <c r="G867" s="20" t="s">
        <v>248</v>
      </c>
      <c r="H867" s="20" t="s">
        <v>48</v>
      </c>
      <c r="I867" s="20" t="s">
        <v>248</v>
      </c>
      <c r="J867" s="22" t="s">
        <v>4026</v>
      </c>
      <c r="K867" s="22" t="s">
        <v>4026</v>
      </c>
      <c r="L867" s="23" t="s">
        <v>4000</v>
      </c>
      <c r="M867" s="24" t="s">
        <v>7737</v>
      </c>
      <c r="N867" s="23">
        <v>18751000</v>
      </c>
      <c r="O867" s="25" t="s">
        <v>74</v>
      </c>
      <c r="P867" s="25" t="s">
        <v>53</v>
      </c>
      <c r="Q867" s="20" t="s">
        <v>4027</v>
      </c>
      <c r="R867" s="20">
        <v>43121125</v>
      </c>
      <c r="S867" s="25" t="s">
        <v>4028</v>
      </c>
      <c r="T867" s="26" t="s">
        <v>57</v>
      </c>
      <c r="U867" s="23">
        <v>860900062336516</v>
      </c>
      <c r="V867" s="27" t="s">
        <v>57</v>
      </c>
      <c r="W867" s="20" t="s">
        <v>58</v>
      </c>
      <c r="X867" s="20" t="s">
        <v>59</v>
      </c>
      <c r="Y867" s="20" t="s">
        <v>59</v>
      </c>
      <c r="Z867" s="20" t="s">
        <v>167</v>
      </c>
      <c r="AA867" s="20" t="s">
        <v>168</v>
      </c>
      <c r="AB867" s="20" t="s">
        <v>96</v>
      </c>
      <c r="AC867" s="28">
        <v>369.83</v>
      </c>
      <c r="AD867" s="28">
        <f>SUM(BASE[[#This Row],[MONTO DE RENTA ]]*1.16)</f>
        <v>429.00279999999998</v>
      </c>
      <c r="AE867" s="28" t="s">
        <v>63</v>
      </c>
      <c r="AF867" s="28">
        <v>369.82758620689657</v>
      </c>
      <c r="AG867" s="28">
        <v>429</v>
      </c>
      <c r="AH867" s="22" t="s">
        <v>64</v>
      </c>
      <c r="AI867" s="63">
        <v>45703</v>
      </c>
      <c r="AJ867" s="63">
        <v>46433</v>
      </c>
      <c r="AK8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7" s="30"/>
      <c r="AN867" s="20" t="s">
        <v>65</v>
      </c>
      <c r="AP867" s="20" t="s">
        <v>84</v>
      </c>
    </row>
    <row r="868" spans="1:43" ht="16">
      <c r="A868" s="20">
        <v>8115638262</v>
      </c>
      <c r="B868" s="21">
        <v>100247</v>
      </c>
      <c r="C868" s="20" t="s">
        <v>3998</v>
      </c>
      <c r="D868" s="20" t="s">
        <v>187</v>
      </c>
      <c r="E868" s="20" t="s">
        <v>329</v>
      </c>
      <c r="F868" s="20" t="s">
        <v>104</v>
      </c>
      <c r="G868" s="20" t="s">
        <v>104</v>
      </c>
      <c r="H868" s="20" t="s">
        <v>48</v>
      </c>
      <c r="I868" s="20" t="s">
        <v>104</v>
      </c>
      <c r="J868" s="32" t="s">
        <v>4029</v>
      </c>
      <c r="K868" s="32" t="s">
        <v>4029</v>
      </c>
      <c r="L868" s="23" t="s">
        <v>4000</v>
      </c>
      <c r="M868" s="24" t="s">
        <v>7737</v>
      </c>
      <c r="N868" s="23">
        <v>18751000</v>
      </c>
      <c r="O868" s="25" t="s">
        <v>74</v>
      </c>
      <c r="P868" s="25" t="s">
        <v>53</v>
      </c>
      <c r="Q868" s="20" t="s">
        <v>4030</v>
      </c>
      <c r="R868" s="20">
        <v>43056372</v>
      </c>
      <c r="S868" s="25" t="s">
        <v>4031</v>
      </c>
      <c r="T868" s="26" t="s">
        <v>57</v>
      </c>
      <c r="U868" s="23">
        <v>860478064773531</v>
      </c>
      <c r="V868" s="45" t="s">
        <v>110</v>
      </c>
      <c r="W868" s="20" t="s">
        <v>302</v>
      </c>
      <c r="X868" s="20" t="s">
        <v>303</v>
      </c>
      <c r="Y868" s="20" t="s">
        <v>303</v>
      </c>
      <c r="Z868" s="20" t="s">
        <v>80</v>
      </c>
      <c r="AA868" s="20" t="s">
        <v>81</v>
      </c>
      <c r="AB868" s="20" t="s">
        <v>82</v>
      </c>
      <c r="AC868" s="28">
        <v>559.48</v>
      </c>
      <c r="AD868" s="28">
        <f>SUM(BASE[[#This Row],[MONTO DE RENTA ]]*1.16)</f>
        <v>648.99680000000001</v>
      </c>
      <c r="AE868" s="28" t="s">
        <v>83</v>
      </c>
      <c r="AF868" s="28">
        <v>559.48275862068965</v>
      </c>
      <c r="AG868" s="28">
        <v>649</v>
      </c>
      <c r="AH868" s="22" t="s">
        <v>64</v>
      </c>
      <c r="AI868" s="63">
        <v>45713</v>
      </c>
      <c r="AJ868" s="63">
        <v>46433</v>
      </c>
      <c r="AK8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8" s="30"/>
      <c r="AN868" s="20" t="s">
        <v>65</v>
      </c>
      <c r="AP868" s="20" t="s">
        <v>84</v>
      </c>
    </row>
    <row r="869" spans="1:43" ht="16">
      <c r="A869" s="20">
        <v>8111912906</v>
      </c>
      <c r="B869" s="21">
        <v>640244</v>
      </c>
      <c r="C869" s="20" t="s">
        <v>4032</v>
      </c>
      <c r="D869" s="20" t="s">
        <v>4033</v>
      </c>
      <c r="E869" s="20" t="s">
        <v>4034</v>
      </c>
      <c r="F869" s="20" t="s">
        <v>257</v>
      </c>
      <c r="G869" s="20" t="s">
        <v>257</v>
      </c>
      <c r="H869" s="20" t="s">
        <v>48</v>
      </c>
      <c r="I869" s="20" t="s">
        <v>257</v>
      </c>
      <c r="J869" s="22" t="s">
        <v>4035</v>
      </c>
      <c r="K869" s="22" t="s">
        <v>4035</v>
      </c>
      <c r="L869" s="23" t="s">
        <v>4000</v>
      </c>
      <c r="M869" s="24" t="s">
        <v>7737</v>
      </c>
      <c r="N869" s="23">
        <v>18751000</v>
      </c>
      <c r="O869" s="25" t="s">
        <v>74</v>
      </c>
      <c r="P869" s="25" t="s">
        <v>53</v>
      </c>
      <c r="Q869" s="20" t="s">
        <v>4036</v>
      </c>
      <c r="R869" s="20">
        <v>43090317</v>
      </c>
      <c r="S869" s="25" t="s">
        <v>4037</v>
      </c>
      <c r="T869" s="26" t="s">
        <v>57</v>
      </c>
      <c r="U869" s="23">
        <v>860478062096687</v>
      </c>
      <c r="V869" s="45" t="s">
        <v>110</v>
      </c>
      <c r="W869" s="20" t="s">
        <v>302</v>
      </c>
      <c r="X869" s="20" t="s">
        <v>303</v>
      </c>
      <c r="Y869" s="20" t="s">
        <v>303</v>
      </c>
      <c r="Z869" s="20" t="s">
        <v>80</v>
      </c>
      <c r="AA869" s="20" t="s">
        <v>81</v>
      </c>
      <c r="AB869" s="20" t="s">
        <v>82</v>
      </c>
      <c r="AC869" s="28">
        <v>559.48</v>
      </c>
      <c r="AD869" s="28">
        <f>SUM(BASE[[#This Row],[MONTO DE RENTA ]]*1.16)</f>
        <v>648.99680000000001</v>
      </c>
      <c r="AE869" s="28" t="s">
        <v>83</v>
      </c>
      <c r="AF869" s="28">
        <v>559.48275862068965</v>
      </c>
      <c r="AG869" s="28">
        <v>649</v>
      </c>
      <c r="AH869" s="22" t="s">
        <v>64</v>
      </c>
      <c r="AI869" s="63">
        <v>45703</v>
      </c>
      <c r="AJ869" s="63">
        <v>46433</v>
      </c>
      <c r="AK8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69" s="30"/>
      <c r="AN869" s="20" t="s">
        <v>65</v>
      </c>
      <c r="AP869" s="20" t="s">
        <v>84</v>
      </c>
    </row>
    <row r="870" spans="1:43" ht="16">
      <c r="A870" s="20">
        <v>8180212521</v>
      </c>
      <c r="B870" s="98">
        <v>1040855</v>
      </c>
      <c r="C870" s="20" t="s">
        <v>4038</v>
      </c>
      <c r="D870" s="20" t="s">
        <v>347</v>
      </c>
      <c r="E870" s="20" t="s">
        <v>45</v>
      </c>
      <c r="F870" s="20" t="s">
        <v>4039</v>
      </c>
      <c r="G870" s="20" t="s">
        <v>47</v>
      </c>
      <c r="H870" s="20" t="s">
        <v>48</v>
      </c>
      <c r="I870" s="20" t="s">
        <v>4039</v>
      </c>
      <c r="J870" s="141" t="s">
        <v>4040</v>
      </c>
      <c r="K870" s="169" t="s">
        <v>4041</v>
      </c>
      <c r="L870" s="23" t="s">
        <v>107</v>
      </c>
      <c r="M870" s="24" t="s">
        <v>7739</v>
      </c>
      <c r="N870" s="23">
        <v>18756000</v>
      </c>
      <c r="O870" s="25" t="s">
        <v>74</v>
      </c>
      <c r="P870" s="25" t="s">
        <v>53</v>
      </c>
      <c r="Q870" s="20" t="s">
        <v>4042</v>
      </c>
      <c r="R870" s="20">
        <v>45522063</v>
      </c>
      <c r="S870" s="25" t="s">
        <v>55</v>
      </c>
      <c r="T870" s="26" t="s">
        <v>56</v>
      </c>
      <c r="U870" s="23">
        <v>860900062338165</v>
      </c>
      <c r="V870" s="27" t="s">
        <v>183</v>
      </c>
      <c r="W870" s="20" t="s">
        <v>58</v>
      </c>
      <c r="X870" s="20" t="s">
        <v>59</v>
      </c>
      <c r="Y870" s="20" t="s">
        <v>59</v>
      </c>
      <c r="Z870" s="20" t="s">
        <v>113</v>
      </c>
      <c r="AA870" s="20" t="s">
        <v>114</v>
      </c>
      <c r="AB870" s="20" t="s">
        <v>244</v>
      </c>
      <c r="AC870" s="28">
        <v>473.28</v>
      </c>
      <c r="AD870" s="28">
        <f>SUM(BASE[[#This Row],[MONTO DE RENTA ]]*1.16)</f>
        <v>549.00479999999993</v>
      </c>
      <c r="AE870" s="28" t="s">
        <v>63</v>
      </c>
      <c r="AF870" s="28">
        <v>369.82758620689657</v>
      </c>
      <c r="AG870" s="28">
        <v>429</v>
      </c>
      <c r="AH870" s="22" t="s">
        <v>116</v>
      </c>
      <c r="AI870" s="63">
        <v>45953</v>
      </c>
      <c r="AJ870" s="73">
        <v>46773</v>
      </c>
      <c r="AK870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870" s="30"/>
      <c r="AN870" s="20" t="s">
        <v>65</v>
      </c>
      <c r="AP870" s="20" t="s">
        <v>118</v>
      </c>
    </row>
    <row r="871" spans="1:43" ht="16">
      <c r="A871" s="20">
        <v>8113215932</v>
      </c>
      <c r="B871" s="21">
        <v>1055241</v>
      </c>
      <c r="C871" s="20" t="s">
        <v>4043</v>
      </c>
      <c r="D871" s="20" t="s">
        <v>324</v>
      </c>
      <c r="E871" s="20" t="s">
        <v>657</v>
      </c>
      <c r="F871" s="20" t="s">
        <v>104</v>
      </c>
      <c r="G871" s="20" t="s">
        <v>104</v>
      </c>
      <c r="H871" s="20" t="s">
        <v>48</v>
      </c>
      <c r="I871" s="20" t="s">
        <v>104</v>
      </c>
      <c r="J871" s="54" t="s">
        <v>4044</v>
      </c>
      <c r="K871" s="54" t="s">
        <v>4045</v>
      </c>
      <c r="L871" s="23" t="s">
        <v>4000</v>
      </c>
      <c r="M871" s="24" t="s">
        <v>7737</v>
      </c>
      <c r="N871" s="23">
        <v>18751000</v>
      </c>
      <c r="O871" s="25" t="s">
        <v>74</v>
      </c>
      <c r="P871" s="25" t="s">
        <v>53</v>
      </c>
      <c r="Q871" s="20" t="s">
        <v>4046</v>
      </c>
      <c r="R871" s="20">
        <v>43056280</v>
      </c>
      <c r="S871" s="25" t="s">
        <v>4047</v>
      </c>
      <c r="T871" s="65" t="s">
        <v>57</v>
      </c>
      <c r="U871" s="23">
        <v>860478063772435</v>
      </c>
      <c r="V871" s="45" t="s">
        <v>110</v>
      </c>
      <c r="W871" s="20" t="s">
        <v>302</v>
      </c>
      <c r="X871" s="20" t="s">
        <v>303</v>
      </c>
      <c r="Y871" s="20" t="s">
        <v>303</v>
      </c>
      <c r="Z871" s="20" t="s">
        <v>80</v>
      </c>
      <c r="AA871" s="20" t="s">
        <v>81</v>
      </c>
      <c r="AB871" s="20" t="s">
        <v>82</v>
      </c>
      <c r="AC871" s="28">
        <v>559.48</v>
      </c>
      <c r="AD871" s="28">
        <f>SUM(BASE[[#This Row],[MONTO DE RENTA ]]*1.16)</f>
        <v>648.99680000000001</v>
      </c>
      <c r="AE871" s="28" t="s">
        <v>83</v>
      </c>
      <c r="AF871" s="28">
        <v>559.48275862068965</v>
      </c>
      <c r="AG871" s="28">
        <v>649</v>
      </c>
      <c r="AH871" s="22" t="s">
        <v>448</v>
      </c>
      <c r="AI871" s="29">
        <v>45710</v>
      </c>
      <c r="AJ871" s="29">
        <v>46402</v>
      </c>
      <c r="AK871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871" s="20">
        <v>18751000</v>
      </c>
      <c r="AM871" s="30" t="s">
        <v>4048</v>
      </c>
      <c r="AN871" s="20" t="s">
        <v>65</v>
      </c>
      <c r="AP871" s="20" t="s">
        <v>84</v>
      </c>
    </row>
    <row r="872" spans="1:43" s="230" customFormat="1" ht="16">
      <c r="A872" s="20">
        <v>8113230500</v>
      </c>
      <c r="B872" s="49">
        <v>30082</v>
      </c>
      <c r="C872" s="20" t="s">
        <v>1319</v>
      </c>
      <c r="D872" s="20" t="s">
        <v>476</v>
      </c>
      <c r="E872" s="20" t="s">
        <v>376</v>
      </c>
      <c r="F872" s="20" t="s">
        <v>70</v>
      </c>
      <c r="G872" s="20" t="s">
        <v>70</v>
      </c>
      <c r="H872" s="20" t="s">
        <v>48</v>
      </c>
      <c r="I872" s="20" t="s">
        <v>70</v>
      </c>
      <c r="J872" s="22" t="s">
        <v>4049</v>
      </c>
      <c r="K872" s="22" t="s">
        <v>4049</v>
      </c>
      <c r="L872" s="23" t="s">
        <v>4000</v>
      </c>
      <c r="M872" s="24" t="s">
        <v>7737</v>
      </c>
      <c r="N872" s="23">
        <v>18751000</v>
      </c>
      <c r="O872" s="25" t="s">
        <v>74</v>
      </c>
      <c r="P872" s="25" t="s">
        <v>53</v>
      </c>
      <c r="Q872" s="20" t="s">
        <v>4050</v>
      </c>
      <c r="R872" s="20">
        <v>42943884</v>
      </c>
      <c r="S872" s="25" t="s">
        <v>55</v>
      </c>
      <c r="T872" s="26" t="s">
        <v>56</v>
      </c>
      <c r="U872" s="23">
        <v>357654178772128</v>
      </c>
      <c r="V872" s="27" t="s">
        <v>78</v>
      </c>
      <c r="W872" s="20" t="s">
        <v>95</v>
      </c>
      <c r="X872" s="20" t="s">
        <v>95</v>
      </c>
      <c r="Y872" s="20" t="s">
        <v>95</v>
      </c>
      <c r="Z872" s="20" t="s">
        <v>60</v>
      </c>
      <c r="AA872" s="20" t="s">
        <v>61</v>
      </c>
      <c r="AB872" s="20" t="s">
        <v>82</v>
      </c>
      <c r="AC872" s="28">
        <v>559.48</v>
      </c>
      <c r="AD872" s="28">
        <f>SUM(BASE[[#This Row],[MONTO DE RENTA ]]*1.16)</f>
        <v>648.99680000000001</v>
      </c>
      <c r="AE872" s="28" t="s">
        <v>83</v>
      </c>
      <c r="AF872" s="28">
        <v>559.48275862068965</v>
      </c>
      <c r="AG872" s="28">
        <v>649</v>
      </c>
      <c r="AH872" s="22"/>
      <c r="AI872" s="63">
        <v>44937</v>
      </c>
      <c r="AJ872" s="73">
        <v>46043</v>
      </c>
      <c r="AK87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872" s="20"/>
      <c r="AM872" s="30"/>
      <c r="AN872" s="20" t="s">
        <v>99</v>
      </c>
      <c r="AO872" s="20"/>
      <c r="AP872" s="20" t="s">
        <v>84</v>
      </c>
      <c r="AQ872" s="20" t="s">
        <v>100</v>
      </c>
    </row>
    <row r="873" spans="1:43" ht="16">
      <c r="A873" s="20">
        <v>8113121810</v>
      </c>
      <c r="B873" s="21">
        <v>520515</v>
      </c>
      <c r="C873" s="20" t="s">
        <v>4051</v>
      </c>
      <c r="D873" s="20" t="s">
        <v>45</v>
      </c>
      <c r="E873" s="20" t="s">
        <v>4052</v>
      </c>
      <c r="F873" s="20" t="s">
        <v>418</v>
      </c>
      <c r="G873" s="20" t="s">
        <v>47</v>
      </c>
      <c r="H873" s="20" t="s">
        <v>48</v>
      </c>
      <c r="I873" s="20" t="s">
        <v>418</v>
      </c>
      <c r="J873" s="22" t="s">
        <v>4053</v>
      </c>
      <c r="K873" s="22" t="s">
        <v>4053</v>
      </c>
      <c r="L873" s="23" t="s">
        <v>4054</v>
      </c>
      <c r="M873" s="24" t="s">
        <v>7737</v>
      </c>
      <c r="N873" s="23">
        <v>18752000</v>
      </c>
      <c r="O873" s="25" t="s">
        <v>74</v>
      </c>
      <c r="P873" s="25" t="s">
        <v>53</v>
      </c>
      <c r="Q873" s="20" t="s">
        <v>4055</v>
      </c>
      <c r="R873" s="20">
        <v>43141267</v>
      </c>
      <c r="S873" s="25" t="s">
        <v>4056</v>
      </c>
      <c r="T873" s="44" t="s">
        <v>57</v>
      </c>
      <c r="U873" s="23">
        <v>860900062335146</v>
      </c>
      <c r="V873" s="27" t="s">
        <v>57</v>
      </c>
      <c r="W873" s="20" t="s">
        <v>58</v>
      </c>
      <c r="X873" s="20" t="s">
        <v>59</v>
      </c>
      <c r="Y873" s="20" t="s">
        <v>59</v>
      </c>
      <c r="Z873" s="20" t="s">
        <v>167</v>
      </c>
      <c r="AA873" s="20" t="s">
        <v>168</v>
      </c>
      <c r="AB873" s="20" t="s">
        <v>96</v>
      </c>
      <c r="AC873" s="28">
        <v>369.83</v>
      </c>
      <c r="AD873" s="28">
        <f>SUM(BASE[[#This Row],[MONTO DE RENTA ]]*1.16)</f>
        <v>429.00279999999998</v>
      </c>
      <c r="AE873" s="28" t="s">
        <v>63</v>
      </c>
      <c r="AF873" s="28">
        <v>369.82758620689657</v>
      </c>
      <c r="AG873" s="28">
        <v>429</v>
      </c>
      <c r="AI873" s="63">
        <v>44937</v>
      </c>
      <c r="AJ873" s="63">
        <v>46681</v>
      </c>
      <c r="AK87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873" s="30"/>
      <c r="AN873" s="20" t="s">
        <v>65</v>
      </c>
      <c r="AP873" s="20" t="s">
        <v>84</v>
      </c>
    </row>
    <row r="874" spans="1:43" ht="16">
      <c r="A874" s="20">
        <v>8113721888</v>
      </c>
      <c r="B874" s="21">
        <v>520317</v>
      </c>
      <c r="C874" s="20" t="s">
        <v>4057</v>
      </c>
      <c r="D874" s="20" t="s">
        <v>377</v>
      </c>
      <c r="E874" s="20" t="s">
        <v>347</v>
      </c>
      <c r="F874" s="20" t="s">
        <v>483</v>
      </c>
      <c r="G874" s="20" t="s">
        <v>248</v>
      </c>
      <c r="H874" s="20" t="s">
        <v>48</v>
      </c>
      <c r="I874" s="20" t="s">
        <v>483</v>
      </c>
      <c r="J874" s="22" t="s">
        <v>4058</v>
      </c>
      <c r="K874" s="22" t="s">
        <v>4058</v>
      </c>
      <c r="L874" s="23" t="s">
        <v>4054</v>
      </c>
      <c r="M874" s="24" t="s">
        <v>7737</v>
      </c>
      <c r="N874" s="23">
        <v>18704000</v>
      </c>
      <c r="O874" s="25" t="s">
        <v>74</v>
      </c>
      <c r="P874" s="25" t="s">
        <v>53</v>
      </c>
      <c r="Q874" s="20" t="s">
        <v>4059</v>
      </c>
      <c r="R874" s="20">
        <v>43121121</v>
      </c>
      <c r="S874" s="25" t="s">
        <v>4060</v>
      </c>
      <c r="T874" s="26" t="s">
        <v>57</v>
      </c>
      <c r="U874" s="23">
        <v>860900062337555</v>
      </c>
      <c r="V874" s="27" t="s">
        <v>57</v>
      </c>
      <c r="W874" s="20" t="s">
        <v>58</v>
      </c>
      <c r="X874" s="20" t="s">
        <v>59</v>
      </c>
      <c r="Y874" s="20" t="s">
        <v>59</v>
      </c>
      <c r="Z874" s="20" t="s">
        <v>167</v>
      </c>
      <c r="AA874" s="20" t="s">
        <v>168</v>
      </c>
      <c r="AB874" s="20" t="s">
        <v>96</v>
      </c>
      <c r="AC874" s="28">
        <v>369.83</v>
      </c>
      <c r="AD874" s="28">
        <f>SUM(BASE[[#This Row],[MONTO DE RENTA ]]*1.16)</f>
        <v>429.00279999999998</v>
      </c>
      <c r="AE874" s="28" t="s">
        <v>63</v>
      </c>
      <c r="AF874" s="28">
        <v>369.82758620689657</v>
      </c>
      <c r="AG874" s="28">
        <v>429</v>
      </c>
      <c r="AH874" s="22" t="s">
        <v>64</v>
      </c>
      <c r="AI874" s="63">
        <v>45703</v>
      </c>
      <c r="AJ874" s="63">
        <v>46433</v>
      </c>
      <c r="AK8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74" s="30"/>
      <c r="AN874" s="20" t="s">
        <v>65</v>
      </c>
      <c r="AP874" s="20" t="s">
        <v>84</v>
      </c>
    </row>
    <row r="875" spans="1:43" s="34" customFormat="1" ht="16">
      <c r="A875" s="20">
        <v>8113951176</v>
      </c>
      <c r="B875" s="59">
        <v>40046</v>
      </c>
      <c r="C875" s="20" t="s">
        <v>733</v>
      </c>
      <c r="D875" s="20" t="s">
        <v>324</v>
      </c>
      <c r="E875" s="20" t="s">
        <v>4061</v>
      </c>
      <c r="F875" s="20" t="s">
        <v>257</v>
      </c>
      <c r="G875" s="20" t="s">
        <v>257</v>
      </c>
      <c r="H875" s="20" t="s">
        <v>48</v>
      </c>
      <c r="I875" s="20" t="s">
        <v>257</v>
      </c>
      <c r="J875" s="32" t="s">
        <v>4062</v>
      </c>
      <c r="K875" s="22" t="s">
        <v>4062</v>
      </c>
      <c r="L875" s="23" t="s">
        <v>4054</v>
      </c>
      <c r="M875" s="24" t="s">
        <v>7737</v>
      </c>
      <c r="N875" s="23">
        <v>18094000</v>
      </c>
      <c r="O875" s="25" t="s">
        <v>74</v>
      </c>
      <c r="P875" s="25" t="s">
        <v>53</v>
      </c>
      <c r="Q875" s="20" t="s">
        <v>4063</v>
      </c>
      <c r="R875" s="20">
        <v>43090272</v>
      </c>
      <c r="S875" s="25" t="s">
        <v>4064</v>
      </c>
      <c r="T875" s="26" t="s">
        <v>57</v>
      </c>
      <c r="U875" s="23" t="s">
        <v>193</v>
      </c>
      <c r="V875" s="27" t="s">
        <v>110</v>
      </c>
      <c r="W875" s="20" t="s">
        <v>194</v>
      </c>
      <c r="X875" s="20" t="s">
        <v>194</v>
      </c>
      <c r="Y875" s="20" t="s">
        <v>194</v>
      </c>
      <c r="Z875" s="20" t="s">
        <v>80</v>
      </c>
      <c r="AA875" s="20" t="s">
        <v>81</v>
      </c>
      <c r="AB875" s="20" t="s">
        <v>82</v>
      </c>
      <c r="AC875" s="28">
        <v>559.48</v>
      </c>
      <c r="AD875" s="28">
        <f>SUM(BASE[[#This Row],[MONTO DE RENTA ]]*1.16)</f>
        <v>648.99680000000001</v>
      </c>
      <c r="AE875" s="28" t="s">
        <v>83</v>
      </c>
      <c r="AF875" s="28">
        <v>559.48275862068965</v>
      </c>
      <c r="AG875" s="28">
        <v>649</v>
      </c>
      <c r="AH875" s="22"/>
      <c r="AI875" s="63">
        <v>44937</v>
      </c>
      <c r="AJ875" s="84">
        <v>46681</v>
      </c>
      <c r="AK875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875" s="20"/>
      <c r="AM875" s="30"/>
      <c r="AN875" s="20" t="s">
        <v>65</v>
      </c>
      <c r="AO875" s="20"/>
      <c r="AP875" s="20" t="s">
        <v>84</v>
      </c>
      <c r="AQ875" s="20"/>
    </row>
    <row r="876" spans="1:43" ht="16">
      <c r="A876" s="20">
        <v>8113300394</v>
      </c>
      <c r="B876" s="21">
        <v>1047232</v>
      </c>
      <c r="C876" s="20" t="s">
        <v>4065</v>
      </c>
      <c r="D876" s="20" t="s">
        <v>143</v>
      </c>
      <c r="E876" s="20" t="s">
        <v>476</v>
      </c>
      <c r="F876" s="20" t="s">
        <v>104</v>
      </c>
      <c r="G876" s="20" t="s">
        <v>104</v>
      </c>
      <c r="H876" s="20" t="s">
        <v>48</v>
      </c>
      <c r="I876" s="20" t="s">
        <v>104</v>
      </c>
      <c r="J876" s="32" t="s">
        <v>4066</v>
      </c>
      <c r="K876" s="32" t="s">
        <v>4066</v>
      </c>
      <c r="L876" s="23" t="s">
        <v>4054</v>
      </c>
      <c r="M876" s="24" t="s">
        <v>7737</v>
      </c>
      <c r="N876" s="23">
        <v>18752000</v>
      </c>
      <c r="O876" s="25" t="s">
        <v>74</v>
      </c>
      <c r="P876" s="25" t="s">
        <v>53</v>
      </c>
      <c r="Q876" s="20" t="s">
        <v>4067</v>
      </c>
      <c r="R876" s="20">
        <v>43090230</v>
      </c>
      <c r="S876" s="25" t="s">
        <v>4068</v>
      </c>
      <c r="T876" s="26" t="s">
        <v>57</v>
      </c>
      <c r="U876" s="23">
        <v>860478060658660</v>
      </c>
      <c r="V876" s="45" t="s">
        <v>110</v>
      </c>
      <c r="W876" s="20" t="s">
        <v>302</v>
      </c>
      <c r="X876" s="20" t="s">
        <v>303</v>
      </c>
      <c r="Y876" s="20" t="s">
        <v>303</v>
      </c>
      <c r="Z876" s="20" t="s">
        <v>80</v>
      </c>
      <c r="AA876" s="20" t="s">
        <v>81</v>
      </c>
      <c r="AB876" s="20" t="s">
        <v>82</v>
      </c>
      <c r="AC876" s="28">
        <v>559.48</v>
      </c>
      <c r="AD876" s="28">
        <f>SUM(BASE[[#This Row],[MONTO DE RENTA ]]*1.16)</f>
        <v>648.99680000000001</v>
      </c>
      <c r="AE876" s="28" t="s">
        <v>83</v>
      </c>
      <c r="AF876" s="28">
        <v>559.48275862068965</v>
      </c>
      <c r="AG876" s="28">
        <v>649</v>
      </c>
      <c r="AH876" s="22" t="s">
        <v>64</v>
      </c>
      <c r="AI876" s="63">
        <v>45703</v>
      </c>
      <c r="AJ876" s="63">
        <v>46433</v>
      </c>
      <c r="AK8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76" s="30"/>
      <c r="AN876" s="20" t="s">
        <v>65</v>
      </c>
      <c r="AP876" s="20" t="s">
        <v>84</v>
      </c>
    </row>
    <row r="877" spans="1:43" ht="16">
      <c r="A877" s="20">
        <v>8128615736</v>
      </c>
      <c r="B877" s="49">
        <v>1045560</v>
      </c>
      <c r="C877" s="20" t="s">
        <v>4069</v>
      </c>
      <c r="D877" s="20" t="s">
        <v>376</v>
      </c>
      <c r="E877" s="20" t="s">
        <v>4070</v>
      </c>
      <c r="F877" s="20" t="s">
        <v>104</v>
      </c>
      <c r="G877" s="20" t="s">
        <v>104</v>
      </c>
      <c r="H877" s="20" t="s">
        <v>48</v>
      </c>
      <c r="I877" s="20" t="s">
        <v>104</v>
      </c>
      <c r="J877" s="32" t="s">
        <v>4071</v>
      </c>
      <c r="K877" s="32" t="s">
        <v>4072</v>
      </c>
      <c r="L877" s="23" t="s">
        <v>4054</v>
      </c>
      <c r="M877" s="24" t="s">
        <v>7737</v>
      </c>
      <c r="N877" s="23">
        <v>18752000</v>
      </c>
      <c r="O877" s="25" t="s">
        <v>74</v>
      </c>
      <c r="P877" s="25" t="s">
        <v>53</v>
      </c>
      <c r="Q877" s="20" t="s">
        <v>4073</v>
      </c>
      <c r="R877" s="20">
        <v>43544584</v>
      </c>
      <c r="S877" s="25" t="s">
        <v>55</v>
      </c>
      <c r="T877" s="26" t="s">
        <v>56</v>
      </c>
      <c r="U877" s="23">
        <v>866223056233589</v>
      </c>
      <c r="V877" s="27" t="s">
        <v>110</v>
      </c>
      <c r="W877" s="20" t="s">
        <v>649</v>
      </c>
      <c r="X877" s="20" t="s">
        <v>650</v>
      </c>
      <c r="Y877" s="20" t="s">
        <v>650</v>
      </c>
      <c r="Z877" s="20" t="s">
        <v>60</v>
      </c>
      <c r="AA877" s="20" t="s">
        <v>61</v>
      </c>
      <c r="AB877" s="20" t="s">
        <v>96</v>
      </c>
      <c r="AC877" s="28">
        <v>369.83</v>
      </c>
      <c r="AD877" s="28">
        <f>SUM(BASE[[#This Row],[MONTO DE RENTA ]]*1.16)</f>
        <v>429.00279999999998</v>
      </c>
      <c r="AE877" s="28" t="s">
        <v>97</v>
      </c>
      <c r="AF877" s="28">
        <v>473.27586206896552</v>
      </c>
      <c r="AG877" s="28">
        <v>549</v>
      </c>
      <c r="AI877" s="63">
        <v>44937</v>
      </c>
      <c r="AJ877" s="73">
        <v>46043</v>
      </c>
      <c r="AK87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77" s="30"/>
      <c r="AN877" s="20" t="s">
        <v>99</v>
      </c>
      <c r="AP877" s="20" t="s">
        <v>66</v>
      </c>
      <c r="AQ877" s="20" t="s">
        <v>100</v>
      </c>
    </row>
    <row r="878" spans="1:43" s="87" customFormat="1" ht="16">
      <c r="A878" s="87">
        <v>8112038475</v>
      </c>
      <c r="B878" s="231">
        <v>1045560</v>
      </c>
      <c r="C878" s="87" t="s">
        <v>4069</v>
      </c>
      <c r="D878" s="87" t="s">
        <v>376</v>
      </c>
      <c r="E878" s="87" t="s">
        <v>4070</v>
      </c>
      <c r="F878" s="87" t="s">
        <v>104</v>
      </c>
      <c r="G878" s="87" t="s">
        <v>104</v>
      </c>
      <c r="H878" s="87" t="s">
        <v>48</v>
      </c>
      <c r="I878" s="87" t="s">
        <v>104</v>
      </c>
      <c r="J878" s="216" t="s">
        <v>4072</v>
      </c>
      <c r="K878" s="216" t="s">
        <v>4072</v>
      </c>
      <c r="L878" s="218" t="s">
        <v>4054</v>
      </c>
      <c r="M878" s="219" t="s">
        <v>7737</v>
      </c>
      <c r="N878" s="218">
        <v>18752000</v>
      </c>
      <c r="O878" s="220" t="s">
        <v>74</v>
      </c>
      <c r="P878" s="220" t="s">
        <v>4074</v>
      </c>
      <c r="Q878" s="87" t="s">
        <v>4075</v>
      </c>
      <c r="R878" s="87">
        <v>43090335</v>
      </c>
      <c r="S878" s="220" t="s">
        <v>4076</v>
      </c>
      <c r="T878" s="221" t="s">
        <v>57</v>
      </c>
      <c r="U878" s="218">
        <v>866223056233589</v>
      </c>
      <c r="V878" s="222" t="s">
        <v>183</v>
      </c>
      <c r="W878" s="87" t="s">
        <v>649</v>
      </c>
      <c r="X878" s="87" t="s">
        <v>650</v>
      </c>
      <c r="Y878" s="87" t="s">
        <v>650</v>
      </c>
      <c r="Z878" s="87" t="s">
        <v>167</v>
      </c>
      <c r="AA878" s="87" t="s">
        <v>168</v>
      </c>
      <c r="AB878" s="87" t="s">
        <v>96</v>
      </c>
      <c r="AC878" s="223">
        <v>369.83</v>
      </c>
      <c r="AD878" s="223">
        <f>SUM(BASE[[#This Row],[MONTO DE RENTA ]]*1.16)</f>
        <v>429.00279999999998</v>
      </c>
      <c r="AE878" s="223" t="s">
        <v>63</v>
      </c>
      <c r="AF878" s="223">
        <v>369.82758620689657</v>
      </c>
      <c r="AG878" s="223">
        <v>429</v>
      </c>
      <c r="AH878" s="217"/>
      <c r="AI878" s="232">
        <v>44937</v>
      </c>
      <c r="AJ878" s="232">
        <v>46054</v>
      </c>
      <c r="AK878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878" s="225"/>
      <c r="AN878" s="87" t="s">
        <v>99</v>
      </c>
      <c r="AO878" s="20"/>
      <c r="AP878" s="87" t="s">
        <v>84</v>
      </c>
      <c r="AQ878" s="87" t="s">
        <v>100</v>
      </c>
    </row>
    <row r="879" spans="1:43" ht="16">
      <c r="A879" s="20">
        <v>8113230497</v>
      </c>
      <c r="B879" s="49">
        <v>30551</v>
      </c>
      <c r="C879" s="20" t="s">
        <v>4077</v>
      </c>
      <c r="D879" s="20" t="s">
        <v>347</v>
      </c>
      <c r="E879" s="20" t="s">
        <v>937</v>
      </c>
      <c r="F879" s="20" t="s">
        <v>70</v>
      </c>
      <c r="G879" s="20" t="s">
        <v>70</v>
      </c>
      <c r="H879" s="20" t="s">
        <v>48</v>
      </c>
      <c r="I879" s="20" t="s">
        <v>70</v>
      </c>
      <c r="J879" s="233" t="s">
        <v>4078</v>
      </c>
      <c r="K879" s="22" t="s">
        <v>4078</v>
      </c>
      <c r="L879" s="23" t="s">
        <v>4054</v>
      </c>
      <c r="M879" s="24" t="s">
        <v>7737</v>
      </c>
      <c r="N879" s="23">
        <v>18752000</v>
      </c>
      <c r="O879" s="25" t="s">
        <v>74</v>
      </c>
      <c r="P879" s="25" t="s">
        <v>53</v>
      </c>
      <c r="Q879" s="20" t="s">
        <v>4079</v>
      </c>
      <c r="R879" s="20">
        <v>42944008</v>
      </c>
      <c r="S879" s="25" t="s">
        <v>55</v>
      </c>
      <c r="T879" s="26" t="s">
        <v>56</v>
      </c>
      <c r="U879" s="23">
        <v>357654179570513</v>
      </c>
      <c r="V879" s="27" t="s">
        <v>78</v>
      </c>
      <c r="W879" s="20" t="s">
        <v>95</v>
      </c>
      <c r="X879" s="20" t="s">
        <v>95</v>
      </c>
      <c r="Y879" s="20" t="s">
        <v>95</v>
      </c>
      <c r="Z879" s="20" t="s">
        <v>60</v>
      </c>
      <c r="AA879" s="20" t="s">
        <v>61</v>
      </c>
      <c r="AB879" s="20" t="s">
        <v>82</v>
      </c>
      <c r="AC879" s="28">
        <v>559.48</v>
      </c>
      <c r="AD879" s="28">
        <f>SUM(BASE[[#This Row],[MONTO DE RENTA ]]*1.16)</f>
        <v>648.99680000000001</v>
      </c>
      <c r="AE879" s="28" t="s">
        <v>83</v>
      </c>
      <c r="AF879" s="28">
        <v>559.48275862068965</v>
      </c>
      <c r="AG879" s="28">
        <v>649</v>
      </c>
      <c r="AI879" s="63">
        <v>44937</v>
      </c>
      <c r="AJ879" s="73">
        <v>46043</v>
      </c>
      <c r="AK87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79" s="30"/>
      <c r="AN879" s="20" t="s">
        <v>99</v>
      </c>
      <c r="AP879" s="20" t="s">
        <v>84</v>
      </c>
      <c r="AQ879" s="20" t="s">
        <v>100</v>
      </c>
    </row>
    <row r="880" spans="1:43" ht="16">
      <c r="A880" s="20">
        <v>9622022857</v>
      </c>
      <c r="B880" s="21">
        <v>1005065</v>
      </c>
      <c r="C880" s="20" t="s">
        <v>4080</v>
      </c>
      <c r="D880" s="20" t="s">
        <v>3657</v>
      </c>
      <c r="E880" s="20" t="s">
        <v>4081</v>
      </c>
      <c r="F880" s="20" t="s">
        <v>47</v>
      </c>
      <c r="G880" s="20" t="s">
        <v>47</v>
      </c>
      <c r="H880" s="20" t="s">
        <v>48</v>
      </c>
      <c r="I880" s="20" t="s">
        <v>47</v>
      </c>
      <c r="J880" s="22" t="s">
        <v>4082</v>
      </c>
      <c r="K880" s="22" t="s">
        <v>4082</v>
      </c>
      <c r="L880" s="23" t="s">
        <v>4083</v>
      </c>
      <c r="M880" s="24" t="s">
        <v>7742</v>
      </c>
      <c r="N880" s="23">
        <v>18754000</v>
      </c>
      <c r="O880" s="25" t="s">
        <v>1035</v>
      </c>
      <c r="P880" s="25" t="s">
        <v>53</v>
      </c>
      <c r="Q880" s="20" t="s">
        <v>4084</v>
      </c>
      <c r="R880" s="20">
        <v>82311631</v>
      </c>
      <c r="S880" s="25" t="s">
        <v>4085</v>
      </c>
      <c r="T880" s="26" t="s">
        <v>57</v>
      </c>
      <c r="U880" s="23">
        <v>860900062265822</v>
      </c>
      <c r="V880" s="27" t="s">
        <v>57</v>
      </c>
      <c r="W880" s="20" t="s">
        <v>58</v>
      </c>
      <c r="X880" s="20" t="s">
        <v>59</v>
      </c>
      <c r="Y880" s="20" t="s">
        <v>59</v>
      </c>
      <c r="Z880" s="20" t="s">
        <v>131</v>
      </c>
      <c r="AA880" s="20" t="s">
        <v>132</v>
      </c>
      <c r="AB880" s="20" t="s">
        <v>96</v>
      </c>
      <c r="AC880" s="28">
        <v>369.83</v>
      </c>
      <c r="AD880" s="28">
        <f>SUM(BASE[[#This Row],[MONTO DE RENTA ]]*1.16)</f>
        <v>429.00279999999998</v>
      </c>
      <c r="AE880" s="28" t="s">
        <v>63</v>
      </c>
      <c r="AF880" s="28">
        <v>369.82758620689657</v>
      </c>
      <c r="AG880" s="28">
        <v>429</v>
      </c>
      <c r="AH880" s="22" t="s">
        <v>64</v>
      </c>
      <c r="AI880" s="63">
        <v>45713</v>
      </c>
      <c r="AJ880" s="63">
        <v>46433</v>
      </c>
      <c r="AK8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0" s="30"/>
      <c r="AN880" s="20" t="s">
        <v>65</v>
      </c>
      <c r="AP880" s="20" t="s">
        <v>84</v>
      </c>
    </row>
    <row r="881" spans="1:43" ht="16">
      <c r="A881" s="20">
        <v>9621605707</v>
      </c>
      <c r="B881" s="190">
        <v>998327</v>
      </c>
      <c r="C881" s="20" t="s">
        <v>4086</v>
      </c>
      <c r="D881" s="20" t="s">
        <v>4087</v>
      </c>
      <c r="E881" s="20" t="s">
        <v>1442</v>
      </c>
      <c r="F881" s="20" t="s">
        <v>248</v>
      </c>
      <c r="G881" s="20" t="s">
        <v>248</v>
      </c>
      <c r="H881" s="20" t="s">
        <v>48</v>
      </c>
      <c r="I881" s="20" t="s">
        <v>248</v>
      </c>
      <c r="J881" s="22" t="s">
        <v>4088</v>
      </c>
      <c r="K881" s="22" t="s">
        <v>4088</v>
      </c>
      <c r="L881" s="23" t="s">
        <v>4083</v>
      </c>
      <c r="M881" s="24" t="s">
        <v>7742</v>
      </c>
      <c r="N881" s="23">
        <v>18754000</v>
      </c>
      <c r="O881" s="25" t="s">
        <v>1035</v>
      </c>
      <c r="P881" s="25" t="s">
        <v>53</v>
      </c>
      <c r="Q881" s="20" t="s">
        <v>4089</v>
      </c>
      <c r="R881" s="20">
        <v>82297890</v>
      </c>
      <c r="S881" s="25" t="s">
        <v>4090</v>
      </c>
      <c r="T881" s="26" t="s">
        <v>57</v>
      </c>
      <c r="U881" s="23">
        <v>860900062335799</v>
      </c>
      <c r="V881" s="27" t="s">
        <v>57</v>
      </c>
      <c r="W881" s="20" t="s">
        <v>58</v>
      </c>
      <c r="X881" s="20" t="s">
        <v>59</v>
      </c>
      <c r="Y881" s="20" t="s">
        <v>59</v>
      </c>
      <c r="Z881" s="20" t="s">
        <v>167</v>
      </c>
      <c r="AA881" s="20" t="s">
        <v>168</v>
      </c>
      <c r="AB881" s="20" t="s">
        <v>96</v>
      </c>
      <c r="AC881" s="28">
        <v>369.83</v>
      </c>
      <c r="AD881" s="28">
        <f>SUM(BASE[[#This Row],[MONTO DE RENTA ]]*1.16)</f>
        <v>429.00279999999998</v>
      </c>
      <c r="AE881" s="28" t="s">
        <v>63</v>
      </c>
      <c r="AF881" s="28">
        <v>369.82758620689657</v>
      </c>
      <c r="AG881" s="28">
        <v>429</v>
      </c>
      <c r="AH881" s="22" t="s">
        <v>253</v>
      </c>
      <c r="AI881" s="63">
        <v>45933</v>
      </c>
      <c r="AJ881" s="63">
        <v>46433</v>
      </c>
      <c r="AK8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1" s="30"/>
      <c r="AN881" s="20" t="s">
        <v>65</v>
      </c>
      <c r="AP881" s="20" t="s">
        <v>84</v>
      </c>
    </row>
    <row r="882" spans="1:43" ht="16">
      <c r="A882" s="20">
        <v>9621605559</v>
      </c>
      <c r="B882" s="21">
        <v>540068</v>
      </c>
      <c r="C882" s="20" t="s">
        <v>4091</v>
      </c>
      <c r="D882" s="20" t="s">
        <v>427</v>
      </c>
      <c r="E882" s="20" t="s">
        <v>2673</v>
      </c>
      <c r="F882" s="20" t="s">
        <v>257</v>
      </c>
      <c r="G882" s="20" t="s">
        <v>257</v>
      </c>
      <c r="H882" s="20" t="s">
        <v>48</v>
      </c>
      <c r="I882" s="20" t="s">
        <v>257</v>
      </c>
      <c r="J882" s="22" t="s">
        <v>4092</v>
      </c>
      <c r="K882" s="22" t="s">
        <v>4092</v>
      </c>
      <c r="L882" s="23" t="s">
        <v>4083</v>
      </c>
      <c r="M882" s="24" t="s">
        <v>7742</v>
      </c>
      <c r="N882" s="23">
        <v>18754000</v>
      </c>
      <c r="O882" s="25" t="s">
        <v>1035</v>
      </c>
      <c r="P882" s="25" t="s">
        <v>53</v>
      </c>
      <c r="Q882" s="20" t="s">
        <v>4093</v>
      </c>
      <c r="R882" s="20">
        <v>82255723</v>
      </c>
      <c r="S882" s="25" t="s">
        <v>4094</v>
      </c>
      <c r="T882" s="26" t="s">
        <v>57</v>
      </c>
      <c r="U882" s="23">
        <v>860478062097230</v>
      </c>
      <c r="V882" s="45" t="s">
        <v>110</v>
      </c>
      <c r="W882" s="20" t="s">
        <v>302</v>
      </c>
      <c r="X882" s="20" t="s">
        <v>303</v>
      </c>
      <c r="Y882" s="20" t="s">
        <v>303</v>
      </c>
      <c r="Z882" s="20" t="s">
        <v>131</v>
      </c>
      <c r="AA882" s="20" t="s">
        <v>132</v>
      </c>
      <c r="AB882" s="20" t="s">
        <v>82</v>
      </c>
      <c r="AC882" s="28">
        <v>559.48</v>
      </c>
      <c r="AD882" s="28">
        <f>SUM(BASE[[#This Row],[MONTO DE RENTA ]]*1.16)</f>
        <v>648.99680000000001</v>
      </c>
      <c r="AE882" s="28" t="s">
        <v>83</v>
      </c>
      <c r="AF882" s="28">
        <v>559.48275862068965</v>
      </c>
      <c r="AG882" s="28">
        <v>649</v>
      </c>
      <c r="AH882" s="22" t="s">
        <v>64</v>
      </c>
      <c r="AI882" s="63">
        <v>45713</v>
      </c>
      <c r="AJ882" s="63">
        <v>46433</v>
      </c>
      <c r="AK8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2" s="30"/>
      <c r="AN882" s="20" t="s">
        <v>65</v>
      </c>
      <c r="AP882" s="20" t="s">
        <v>84</v>
      </c>
    </row>
    <row r="883" spans="1:43" ht="16">
      <c r="A883" s="20">
        <v>9621605797</v>
      </c>
      <c r="B883" s="21">
        <v>1021098</v>
      </c>
      <c r="C883" s="20" t="s">
        <v>4095</v>
      </c>
      <c r="D883" s="20" t="s">
        <v>942</v>
      </c>
      <c r="E883" s="20" t="s">
        <v>437</v>
      </c>
      <c r="F883" s="20" t="s">
        <v>104</v>
      </c>
      <c r="G883" s="20" t="s">
        <v>104</v>
      </c>
      <c r="H883" s="20" t="s">
        <v>48</v>
      </c>
      <c r="I883" s="20" t="s">
        <v>104</v>
      </c>
      <c r="J883" s="32" t="s">
        <v>4096</v>
      </c>
      <c r="K883" s="32" t="s">
        <v>4096</v>
      </c>
      <c r="L883" s="23" t="s">
        <v>4083</v>
      </c>
      <c r="M883" s="24" t="s">
        <v>7742</v>
      </c>
      <c r="N883" s="23">
        <v>18754000</v>
      </c>
      <c r="O883" s="25" t="s">
        <v>1035</v>
      </c>
      <c r="P883" s="25" t="s">
        <v>53</v>
      </c>
      <c r="Q883" s="20" t="s">
        <v>4097</v>
      </c>
      <c r="R883" s="20">
        <v>82305582</v>
      </c>
      <c r="S883" s="25" t="s">
        <v>4098</v>
      </c>
      <c r="T883" s="26" t="s">
        <v>57</v>
      </c>
      <c r="U883" s="23">
        <v>860478062366361</v>
      </c>
      <c r="V883" s="45" t="s">
        <v>110</v>
      </c>
      <c r="W883" s="20" t="s">
        <v>302</v>
      </c>
      <c r="X883" s="20" t="s">
        <v>303</v>
      </c>
      <c r="Y883" s="20" t="s">
        <v>303</v>
      </c>
      <c r="Z883" s="20" t="s">
        <v>131</v>
      </c>
      <c r="AA883" s="20" t="s">
        <v>132</v>
      </c>
      <c r="AB883" s="20" t="s">
        <v>82</v>
      </c>
      <c r="AC883" s="28">
        <v>559.48</v>
      </c>
      <c r="AD883" s="28">
        <f>SUM(BASE[[#This Row],[MONTO DE RENTA ]]*1.16)</f>
        <v>648.99680000000001</v>
      </c>
      <c r="AE883" s="28" t="s">
        <v>83</v>
      </c>
      <c r="AF883" s="28">
        <v>559.48275862068965</v>
      </c>
      <c r="AG883" s="28">
        <v>649</v>
      </c>
      <c r="AH883" s="22" t="s">
        <v>64</v>
      </c>
      <c r="AI883" s="63">
        <v>45713</v>
      </c>
      <c r="AJ883" s="63">
        <v>46433</v>
      </c>
      <c r="AK8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3" s="30"/>
      <c r="AN883" s="20" t="s">
        <v>65</v>
      </c>
      <c r="AP883" s="20" t="s">
        <v>84</v>
      </c>
    </row>
    <row r="884" spans="1:43" ht="16">
      <c r="A884" s="20">
        <v>9621605558</v>
      </c>
      <c r="B884" s="21">
        <v>540094</v>
      </c>
      <c r="C884" s="20" t="s">
        <v>4099</v>
      </c>
      <c r="D884" s="20" t="s">
        <v>3657</v>
      </c>
      <c r="E884" s="20" t="s">
        <v>1627</v>
      </c>
      <c r="F884" s="20" t="s">
        <v>104</v>
      </c>
      <c r="G884" s="20" t="s">
        <v>104</v>
      </c>
      <c r="H884" s="20" t="s">
        <v>48</v>
      </c>
      <c r="I884" s="20" t="s">
        <v>104</v>
      </c>
      <c r="J884" s="97" t="s">
        <v>4100</v>
      </c>
      <c r="K884" s="97" t="s">
        <v>4100</v>
      </c>
      <c r="L884" s="23" t="s">
        <v>4083</v>
      </c>
      <c r="M884" s="24" t="s">
        <v>7742</v>
      </c>
      <c r="N884" s="23">
        <v>18754000</v>
      </c>
      <c r="O884" s="25" t="s">
        <v>1035</v>
      </c>
      <c r="P884" s="25" t="s">
        <v>53</v>
      </c>
      <c r="Q884" s="20" t="s">
        <v>4101</v>
      </c>
      <c r="R884" s="20">
        <v>82305577</v>
      </c>
      <c r="S884" s="25" t="s">
        <v>4102</v>
      </c>
      <c r="T884" s="26" t="s">
        <v>57</v>
      </c>
      <c r="U884" s="23">
        <v>860478060204721</v>
      </c>
      <c r="V884" s="45" t="s">
        <v>110</v>
      </c>
      <c r="W884" s="20" t="s">
        <v>302</v>
      </c>
      <c r="X884" s="20" t="s">
        <v>303</v>
      </c>
      <c r="Y884" s="20" t="s">
        <v>303</v>
      </c>
      <c r="Z884" s="20" t="s">
        <v>131</v>
      </c>
      <c r="AA884" s="20" t="s">
        <v>132</v>
      </c>
      <c r="AB884" s="20" t="s">
        <v>82</v>
      </c>
      <c r="AC884" s="28">
        <v>559.48</v>
      </c>
      <c r="AD884" s="28">
        <f>SUM(BASE[[#This Row],[MONTO DE RENTA ]]*1.16)</f>
        <v>648.99680000000001</v>
      </c>
      <c r="AE884" s="28" t="s">
        <v>83</v>
      </c>
      <c r="AF884" s="28">
        <v>559.48275862068965</v>
      </c>
      <c r="AG884" s="28">
        <v>649</v>
      </c>
      <c r="AH884" s="22" t="s">
        <v>64</v>
      </c>
      <c r="AI884" s="63">
        <v>45713</v>
      </c>
      <c r="AJ884" s="63">
        <v>46433</v>
      </c>
      <c r="AK8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4" s="30"/>
      <c r="AN884" s="20" t="s">
        <v>65</v>
      </c>
      <c r="AP884" s="20" t="s">
        <v>84</v>
      </c>
    </row>
    <row r="885" spans="1:43" ht="16">
      <c r="A885" s="20">
        <v>9625294471</v>
      </c>
      <c r="B885" s="49">
        <v>540097</v>
      </c>
      <c r="C885" s="20" t="s">
        <v>400</v>
      </c>
      <c r="D885" s="20" t="s">
        <v>143</v>
      </c>
      <c r="E885" s="20" t="s">
        <v>1587</v>
      </c>
      <c r="F885" s="20" t="s">
        <v>122</v>
      </c>
      <c r="G885" s="20" t="s">
        <v>122</v>
      </c>
      <c r="H885" s="20" t="s">
        <v>48</v>
      </c>
      <c r="I885" s="20" t="s">
        <v>122</v>
      </c>
      <c r="J885" s="22" t="s">
        <v>4103</v>
      </c>
      <c r="K885" s="32" t="s">
        <v>4104</v>
      </c>
      <c r="L885" s="23" t="s">
        <v>4083</v>
      </c>
      <c r="M885" s="24" t="s">
        <v>7742</v>
      </c>
      <c r="N885" s="23">
        <v>18754000</v>
      </c>
      <c r="O885" s="25" t="s">
        <v>1035</v>
      </c>
      <c r="P885" s="25" t="s">
        <v>53</v>
      </c>
      <c r="Q885" s="20" t="s">
        <v>4105</v>
      </c>
      <c r="R885" s="20">
        <v>82577742</v>
      </c>
      <c r="S885" s="25" t="s">
        <v>55</v>
      </c>
      <c r="T885" s="26" t="s">
        <v>56</v>
      </c>
      <c r="U885" s="23">
        <v>865356065673261</v>
      </c>
      <c r="V885" s="27" t="s">
        <v>183</v>
      </c>
      <c r="W885" s="20" t="s">
        <v>129</v>
      </c>
      <c r="X885" s="20" t="s">
        <v>130</v>
      </c>
      <c r="Y885" s="20" t="s">
        <v>130</v>
      </c>
      <c r="Z885" s="20" t="s">
        <v>60</v>
      </c>
      <c r="AA885" s="20" t="s">
        <v>61</v>
      </c>
      <c r="AB885" s="20" t="s">
        <v>96</v>
      </c>
      <c r="AC885" s="28">
        <v>369.83</v>
      </c>
      <c r="AD885" s="28">
        <f>SUM(BASE[[#This Row],[MONTO DE RENTA ]]*1.16)</f>
        <v>429.00279999999998</v>
      </c>
      <c r="AE885" s="28" t="s">
        <v>63</v>
      </c>
      <c r="AF885" s="28">
        <v>369.82758620689657</v>
      </c>
      <c r="AG885" s="28">
        <v>429</v>
      </c>
      <c r="AI885" s="63">
        <v>44937</v>
      </c>
      <c r="AJ885" s="73">
        <v>46043</v>
      </c>
      <c r="AK88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85" s="30"/>
      <c r="AN885" s="20" t="s">
        <v>99</v>
      </c>
      <c r="AP885" s="20" t="s">
        <v>84</v>
      </c>
      <c r="AQ885" s="20" t="s">
        <v>100</v>
      </c>
    </row>
    <row r="886" spans="1:43" ht="16">
      <c r="A886" s="20">
        <v>9621160374</v>
      </c>
      <c r="B886" s="21">
        <v>350080</v>
      </c>
      <c r="C886" s="20" t="s">
        <v>3770</v>
      </c>
      <c r="D886" s="20" t="s">
        <v>4106</v>
      </c>
      <c r="E886" s="20" t="s">
        <v>172</v>
      </c>
      <c r="F886" s="20" t="s">
        <v>70</v>
      </c>
      <c r="G886" s="20" t="s">
        <v>70</v>
      </c>
      <c r="H886" s="20" t="s">
        <v>48</v>
      </c>
      <c r="I886" s="20" t="s">
        <v>70</v>
      </c>
      <c r="J886" s="22" t="s">
        <v>4107</v>
      </c>
      <c r="K886" s="22" t="s">
        <v>4107</v>
      </c>
      <c r="L886" s="23" t="s">
        <v>4083</v>
      </c>
      <c r="M886" s="24" t="s">
        <v>7742</v>
      </c>
      <c r="N886" s="23">
        <v>18754000</v>
      </c>
      <c r="O886" s="25" t="s">
        <v>1035</v>
      </c>
      <c r="P886" s="25" t="s">
        <v>53</v>
      </c>
      <c r="Q886" s="20" t="s">
        <v>4108</v>
      </c>
      <c r="R886" s="20">
        <v>82200542</v>
      </c>
      <c r="S886" s="25" t="s">
        <v>4109</v>
      </c>
      <c r="T886" s="26" t="s">
        <v>77</v>
      </c>
      <c r="U886" s="23">
        <v>358366320598306</v>
      </c>
      <c r="V886" s="27" t="s">
        <v>78</v>
      </c>
      <c r="W886" s="20" t="s">
        <v>79</v>
      </c>
      <c r="X886" s="20" t="s">
        <v>79</v>
      </c>
      <c r="Y886" s="20" t="s">
        <v>79</v>
      </c>
      <c r="Z886" s="20" t="s">
        <v>131</v>
      </c>
      <c r="AA886" s="20" t="s">
        <v>132</v>
      </c>
      <c r="AB886" s="20" t="s">
        <v>82</v>
      </c>
      <c r="AC886" s="28">
        <v>559.48</v>
      </c>
      <c r="AD886" s="28">
        <f>SUM(BASE[[#This Row],[MONTO DE RENTA ]]*1.16)</f>
        <v>648.99680000000001</v>
      </c>
      <c r="AE886" s="28" t="s">
        <v>83</v>
      </c>
      <c r="AF886" s="28">
        <v>559.48275862068965</v>
      </c>
      <c r="AG886" s="28">
        <v>649</v>
      </c>
      <c r="AH886" s="22" t="s">
        <v>64</v>
      </c>
      <c r="AI886" s="63">
        <v>45713</v>
      </c>
      <c r="AJ886" s="63">
        <v>46433</v>
      </c>
      <c r="AK8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6" s="30"/>
      <c r="AN886" s="20" t="s">
        <v>65</v>
      </c>
      <c r="AP886" s="20" t="s">
        <v>84</v>
      </c>
    </row>
    <row r="887" spans="1:43" ht="16">
      <c r="A887" s="20">
        <v>8118202620</v>
      </c>
      <c r="B887" s="43">
        <v>1040855</v>
      </c>
      <c r="C887" s="20" t="s">
        <v>4038</v>
      </c>
      <c r="D887" s="20" t="s">
        <v>347</v>
      </c>
      <c r="E887" s="20" t="s">
        <v>45</v>
      </c>
      <c r="F887" s="20" t="s">
        <v>4039</v>
      </c>
      <c r="G887" s="20" t="s">
        <v>248</v>
      </c>
      <c r="H887" s="20" t="s">
        <v>48</v>
      </c>
      <c r="I887" s="20" t="s">
        <v>4039</v>
      </c>
      <c r="J887" s="47" t="s">
        <v>4110</v>
      </c>
      <c r="K887" s="47" t="s">
        <v>4110</v>
      </c>
      <c r="L887" s="23" t="s">
        <v>107</v>
      </c>
      <c r="M887" s="24" t="s">
        <v>7739</v>
      </c>
      <c r="N887" s="23">
        <v>18756000</v>
      </c>
      <c r="O887" s="25" t="s">
        <v>74</v>
      </c>
      <c r="P887" s="25" t="s">
        <v>53</v>
      </c>
      <c r="Q887" s="20" t="s">
        <v>4111</v>
      </c>
      <c r="R887" s="20">
        <v>45522051</v>
      </c>
      <c r="S887" s="25" t="s">
        <v>55</v>
      </c>
      <c r="T887" s="26" t="s">
        <v>56</v>
      </c>
      <c r="U887" s="23">
        <v>860900062336664</v>
      </c>
      <c r="V887" s="27" t="s">
        <v>183</v>
      </c>
      <c r="W887" s="20" t="s">
        <v>58</v>
      </c>
      <c r="X887" s="20" t="s">
        <v>59</v>
      </c>
      <c r="Y887" s="20" t="s">
        <v>59</v>
      </c>
      <c r="Z887" s="20" t="s">
        <v>113</v>
      </c>
      <c r="AA887" s="20" t="s">
        <v>114</v>
      </c>
      <c r="AB887" s="20" t="s">
        <v>244</v>
      </c>
      <c r="AC887" s="28">
        <v>473.28</v>
      </c>
      <c r="AD887" s="28">
        <f>SUM(BASE[[#This Row],[MONTO DE RENTA ]]*1.16)</f>
        <v>549.00479999999993</v>
      </c>
      <c r="AE887" s="28" t="s">
        <v>63</v>
      </c>
      <c r="AF887" s="28">
        <v>369.82758620689657</v>
      </c>
      <c r="AG887" s="28">
        <v>429</v>
      </c>
      <c r="AH887" s="22" t="s">
        <v>116</v>
      </c>
      <c r="AI887" s="63">
        <v>45953</v>
      </c>
      <c r="AJ887" s="73">
        <v>46773</v>
      </c>
      <c r="AK887" s="30">
        <f ca="1">IFERROR(IF(BASE[[#This Row],[FECHA DE RENOVACION ]]&gt;TODAY(), DATEDIF(TODAY(),BASE[[#This Row],[FECHA DE RENOVACION ]],"M"), -DATEDIF(BASE[[#This Row],[FECHA DE RENOVACION ]],TODAY(),"M")), "Sin fecha")</f>
        <v>22</v>
      </c>
      <c r="AL887" s="20" t="s">
        <v>4112</v>
      </c>
      <c r="AM887" s="30"/>
      <c r="AN887" s="20" t="s">
        <v>65</v>
      </c>
      <c r="AP887" s="20" t="s">
        <v>118</v>
      </c>
    </row>
    <row r="888" spans="1:43" ht="16">
      <c r="A888" s="20">
        <v>8341293568</v>
      </c>
      <c r="B888" s="21">
        <v>570403</v>
      </c>
      <c r="C888" s="20" t="s">
        <v>4113</v>
      </c>
      <c r="D888" s="20" t="s">
        <v>4114</v>
      </c>
      <c r="E888" s="20" t="s">
        <v>4115</v>
      </c>
      <c r="F888" s="20" t="s">
        <v>47</v>
      </c>
      <c r="G888" s="20" t="s">
        <v>248</v>
      </c>
      <c r="H888" s="20" t="s">
        <v>48</v>
      </c>
      <c r="I888" s="20" t="s">
        <v>47</v>
      </c>
      <c r="J888" s="22" t="s">
        <v>4116</v>
      </c>
      <c r="K888" s="22" t="s">
        <v>4116</v>
      </c>
      <c r="L888" s="23" t="s">
        <v>4117</v>
      </c>
      <c r="M888" s="24" t="s">
        <v>7739</v>
      </c>
      <c r="N888" s="23">
        <v>18757000</v>
      </c>
      <c r="O888" s="25" t="s">
        <v>74</v>
      </c>
      <c r="P888" s="25" t="s">
        <v>53</v>
      </c>
      <c r="Q888" s="20" t="s">
        <v>4118</v>
      </c>
      <c r="R888" s="20">
        <v>43121144</v>
      </c>
      <c r="S888" s="25" t="s">
        <v>4119</v>
      </c>
      <c r="T888" s="26" t="s">
        <v>57</v>
      </c>
      <c r="U888" s="23">
        <v>860900062334503</v>
      </c>
      <c r="V888" s="27" t="s">
        <v>57</v>
      </c>
      <c r="W888" s="20" t="s">
        <v>58</v>
      </c>
      <c r="X888" s="20" t="s">
        <v>59</v>
      </c>
      <c r="Y888" s="20" t="s">
        <v>59</v>
      </c>
      <c r="Z888" s="20" t="s">
        <v>167</v>
      </c>
      <c r="AA888" s="20" t="s">
        <v>168</v>
      </c>
      <c r="AB888" s="20" t="s">
        <v>96</v>
      </c>
      <c r="AC888" s="28">
        <v>369.83</v>
      </c>
      <c r="AD888" s="28">
        <f>SUM(BASE[[#This Row],[MONTO DE RENTA ]]*1.16)</f>
        <v>429.00279999999998</v>
      </c>
      <c r="AE888" s="28" t="s">
        <v>63</v>
      </c>
      <c r="AF888" s="28">
        <v>369.82758620689657</v>
      </c>
      <c r="AG888" s="28">
        <v>429</v>
      </c>
      <c r="AH888" s="22" t="s">
        <v>64</v>
      </c>
      <c r="AI888" s="63">
        <v>45713</v>
      </c>
      <c r="AJ888" s="63">
        <v>46433</v>
      </c>
      <c r="AK8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88" s="30"/>
      <c r="AN888" s="20" t="s">
        <v>65</v>
      </c>
      <c r="AP888" s="20" t="s">
        <v>84</v>
      </c>
    </row>
    <row r="889" spans="1:43" ht="16">
      <c r="A889" s="34">
        <v>8118228973</v>
      </c>
      <c r="B889" s="76">
        <v>1024566</v>
      </c>
      <c r="C889" s="20" t="s">
        <v>857</v>
      </c>
      <c r="D889" s="20" t="s">
        <v>4120</v>
      </c>
      <c r="E889" s="20" t="s">
        <v>45</v>
      </c>
      <c r="F889" s="20" t="s">
        <v>257</v>
      </c>
      <c r="G889" s="20" t="s">
        <v>257</v>
      </c>
      <c r="H889" s="20" t="s">
        <v>48</v>
      </c>
      <c r="I889" s="20" t="s">
        <v>257</v>
      </c>
      <c r="J889" s="37" t="s">
        <v>4121</v>
      </c>
      <c r="K889" s="37" t="s">
        <v>4121</v>
      </c>
      <c r="L889" s="23" t="s">
        <v>107</v>
      </c>
      <c r="M889" s="24" t="s">
        <v>7739</v>
      </c>
      <c r="N889" s="23">
        <v>18756000</v>
      </c>
      <c r="O889" s="25" t="s">
        <v>74</v>
      </c>
      <c r="P889" s="25" t="s">
        <v>53</v>
      </c>
      <c r="Q889" s="20" t="s">
        <v>4122</v>
      </c>
      <c r="R889" s="20">
        <v>45521989</v>
      </c>
      <c r="S889" s="25" t="s">
        <v>4123</v>
      </c>
      <c r="T889" s="39" t="s">
        <v>57</v>
      </c>
      <c r="U889" s="23">
        <v>861383070408859</v>
      </c>
      <c r="V889" s="45" t="s">
        <v>110</v>
      </c>
      <c r="W889" s="20" t="s">
        <v>111</v>
      </c>
      <c r="X889" s="20" t="s">
        <v>112</v>
      </c>
      <c r="Y889" s="20" t="s">
        <v>112</v>
      </c>
      <c r="Z889" s="20" t="s">
        <v>113</v>
      </c>
      <c r="AA889" s="20" t="s">
        <v>114</v>
      </c>
      <c r="AB889" s="20" t="s">
        <v>115</v>
      </c>
      <c r="AC889" s="28">
        <v>559.48</v>
      </c>
      <c r="AD889" s="28">
        <f>SUM(BASE[[#This Row],[MONTO DE RENTA ]]*1.16)</f>
        <v>648.99680000000001</v>
      </c>
      <c r="AE889" s="28" t="s">
        <v>83</v>
      </c>
      <c r="AF889" s="28">
        <v>559.48275862068965</v>
      </c>
      <c r="AG889" s="28">
        <v>649</v>
      </c>
      <c r="AH889" s="36" t="s">
        <v>116</v>
      </c>
      <c r="AI889" s="84">
        <v>45910</v>
      </c>
      <c r="AJ889" s="84">
        <v>46640</v>
      </c>
      <c r="AK889" s="30">
        <f ca="1">IFERROR(IF(BASE[[#This Row],[FECHA DE RENOVACION ]]&gt;TODAY(), DATEDIF(TODAY(),BASE[[#This Row],[FECHA DE RENOVACION ]],"M"), -DATEDIF(BASE[[#This Row],[FECHA DE RENOVACION ]],TODAY(),"M")), "Sin fecha")</f>
        <v>18</v>
      </c>
      <c r="AL889" s="20" t="s">
        <v>117</v>
      </c>
      <c r="AM889" s="42" t="s">
        <v>4124</v>
      </c>
      <c r="AN889" s="20" t="s">
        <v>65</v>
      </c>
      <c r="AP889" s="20" t="s">
        <v>84</v>
      </c>
    </row>
    <row r="890" spans="1:43" ht="16">
      <c r="A890" s="20">
        <v>8118228751</v>
      </c>
      <c r="B890" s="49">
        <v>360245</v>
      </c>
      <c r="C890" s="20" t="s">
        <v>1467</v>
      </c>
      <c r="D890" s="20" t="s">
        <v>1330</v>
      </c>
      <c r="E890" s="20" t="s">
        <v>1012</v>
      </c>
      <c r="F890" s="20" t="s">
        <v>70</v>
      </c>
      <c r="G890" s="20" t="s">
        <v>70</v>
      </c>
      <c r="H890" s="20" t="s">
        <v>48</v>
      </c>
      <c r="I890" s="20" t="s">
        <v>70</v>
      </c>
      <c r="J890" s="22" t="s">
        <v>4125</v>
      </c>
      <c r="K890" s="22" t="s">
        <v>4125</v>
      </c>
      <c r="L890" s="23" t="s">
        <v>107</v>
      </c>
      <c r="M890" s="24" t="s">
        <v>7739</v>
      </c>
      <c r="N890" s="23">
        <v>18756000</v>
      </c>
      <c r="O890" s="25" t="s">
        <v>74</v>
      </c>
      <c r="P890" s="25" t="s">
        <v>53</v>
      </c>
      <c r="Q890" s="20" t="s">
        <v>4126</v>
      </c>
      <c r="R890" s="20">
        <v>45521990</v>
      </c>
      <c r="S890" s="25" t="s">
        <v>4127</v>
      </c>
      <c r="T890" s="44" t="s">
        <v>77</v>
      </c>
      <c r="U890" s="23">
        <v>356638831879298</v>
      </c>
      <c r="V890" s="27" t="s">
        <v>78</v>
      </c>
      <c r="W890" s="20" t="s">
        <v>214</v>
      </c>
      <c r="X890" s="20" t="s">
        <v>214</v>
      </c>
      <c r="Y890" s="20" t="s">
        <v>214</v>
      </c>
      <c r="Z890" s="20" t="s">
        <v>113</v>
      </c>
      <c r="AA890" s="20" t="s">
        <v>114</v>
      </c>
      <c r="AB890" s="20" t="s">
        <v>115</v>
      </c>
      <c r="AC890" s="28">
        <v>559.48</v>
      </c>
      <c r="AD890" s="28">
        <f>SUM(BASE[[#This Row],[MONTO DE RENTA ]]*1.16)</f>
        <v>648.99680000000001</v>
      </c>
      <c r="AE890" s="28" t="s">
        <v>83</v>
      </c>
      <c r="AF890" s="28">
        <v>559.48275862068965</v>
      </c>
      <c r="AG890" s="28">
        <v>649</v>
      </c>
      <c r="AH890" s="22" t="s">
        <v>116</v>
      </c>
      <c r="AI890" s="63">
        <v>45855</v>
      </c>
      <c r="AJ890" s="63">
        <v>46753</v>
      </c>
      <c r="AK890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890" s="20" t="s">
        <v>117</v>
      </c>
      <c r="AM890" s="42" t="s">
        <v>4124</v>
      </c>
      <c r="AN890" s="20" t="s">
        <v>65</v>
      </c>
      <c r="AP890" s="20" t="s">
        <v>84</v>
      </c>
    </row>
    <row r="891" spans="1:43" ht="16">
      <c r="A891" s="20">
        <v>8341982309</v>
      </c>
      <c r="B891" s="147">
        <v>570403</v>
      </c>
      <c r="C891" s="20" t="s">
        <v>4113</v>
      </c>
      <c r="D891" s="20" t="s">
        <v>4114</v>
      </c>
      <c r="E891" s="20" t="s">
        <v>4115</v>
      </c>
      <c r="F891" s="20" t="s">
        <v>47</v>
      </c>
      <c r="G891" s="20" t="s">
        <v>47</v>
      </c>
      <c r="H891" s="20" t="s">
        <v>48</v>
      </c>
      <c r="I891" s="20" t="s">
        <v>47</v>
      </c>
      <c r="J891" s="22" t="s">
        <v>4128</v>
      </c>
      <c r="K891" s="22" t="s">
        <v>4128</v>
      </c>
      <c r="L891" s="23" t="s">
        <v>4117</v>
      </c>
      <c r="M891" s="24" t="s">
        <v>7739</v>
      </c>
      <c r="N891" s="23">
        <v>18757000</v>
      </c>
      <c r="O891" s="25" t="s">
        <v>74</v>
      </c>
      <c r="P891" s="25" t="s">
        <v>53</v>
      </c>
      <c r="Q891" s="20" t="s">
        <v>4129</v>
      </c>
      <c r="R891" s="20">
        <v>43141278</v>
      </c>
      <c r="S891" s="25" t="s">
        <v>4130</v>
      </c>
      <c r="T891" s="26" t="s">
        <v>57</v>
      </c>
      <c r="U891" s="23">
        <v>860900062338397</v>
      </c>
      <c r="V891" s="27" t="s">
        <v>57</v>
      </c>
      <c r="W891" s="20" t="s">
        <v>58</v>
      </c>
      <c r="X891" s="20" t="s">
        <v>59</v>
      </c>
      <c r="Y891" s="20" t="s">
        <v>59</v>
      </c>
      <c r="Z891" s="20" t="s">
        <v>167</v>
      </c>
      <c r="AA891" s="20" t="s">
        <v>168</v>
      </c>
      <c r="AB891" s="20" t="s">
        <v>96</v>
      </c>
      <c r="AC891" s="28">
        <v>369.83</v>
      </c>
      <c r="AD891" s="28">
        <f>SUM(BASE[[#This Row],[MONTO DE RENTA ]]*1.16)</f>
        <v>429.00279999999998</v>
      </c>
      <c r="AE891" s="28" t="s">
        <v>63</v>
      </c>
      <c r="AF891" s="28">
        <v>369.82758620689657</v>
      </c>
      <c r="AG891" s="28">
        <v>429</v>
      </c>
      <c r="AH891" s="22" t="s">
        <v>64</v>
      </c>
      <c r="AI891" s="63">
        <v>45713</v>
      </c>
      <c r="AJ891" s="63">
        <v>46433</v>
      </c>
      <c r="AK8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1" s="30"/>
      <c r="AN891" s="20" t="s">
        <v>65</v>
      </c>
      <c r="AP891" s="20" t="s">
        <v>84</v>
      </c>
    </row>
    <row r="892" spans="1:43" ht="16">
      <c r="A892" s="20">
        <v>5533077716</v>
      </c>
      <c r="B892" s="21">
        <v>997514</v>
      </c>
      <c r="C892" s="20" t="s">
        <v>4131</v>
      </c>
      <c r="D892" s="20" t="s">
        <v>853</v>
      </c>
      <c r="E892" s="20" t="s">
        <v>461</v>
      </c>
      <c r="F892" s="20" t="s">
        <v>257</v>
      </c>
      <c r="G892" s="20" t="s">
        <v>257</v>
      </c>
      <c r="H892" s="20" t="s">
        <v>48</v>
      </c>
      <c r="I892" s="20" t="s">
        <v>257</v>
      </c>
      <c r="J892" s="22" t="s">
        <v>4132</v>
      </c>
      <c r="K892" s="22" t="s">
        <v>4132</v>
      </c>
      <c r="L892" s="23" t="s">
        <v>4133</v>
      </c>
      <c r="M892" s="24" t="s">
        <v>7741</v>
      </c>
      <c r="N892" s="23">
        <v>18760004</v>
      </c>
      <c r="O892" s="25" t="s">
        <v>52</v>
      </c>
      <c r="P892" s="25" t="s">
        <v>53</v>
      </c>
      <c r="Q892" s="20" t="s">
        <v>4134</v>
      </c>
      <c r="R892" s="20">
        <v>90069869</v>
      </c>
      <c r="S892" s="25" t="s">
        <v>4135</v>
      </c>
      <c r="T892" s="26" t="s">
        <v>57</v>
      </c>
      <c r="U892" s="23">
        <v>860478064061531</v>
      </c>
      <c r="V892" s="45" t="s">
        <v>110</v>
      </c>
      <c r="W892" s="20" t="s">
        <v>302</v>
      </c>
      <c r="X892" s="20" t="s">
        <v>303</v>
      </c>
      <c r="Y892" s="20" t="s">
        <v>303</v>
      </c>
      <c r="Z892" s="20" t="s">
        <v>131</v>
      </c>
      <c r="AA892" s="20" t="s">
        <v>132</v>
      </c>
      <c r="AB892" s="20" t="s">
        <v>82</v>
      </c>
      <c r="AC892" s="28">
        <v>559.48</v>
      </c>
      <c r="AD892" s="28">
        <f>SUM(BASE[[#This Row],[MONTO DE RENTA ]]*1.16)</f>
        <v>648.99680000000001</v>
      </c>
      <c r="AE892" s="28" t="s">
        <v>83</v>
      </c>
      <c r="AF892" s="28">
        <v>559.48275862068965</v>
      </c>
      <c r="AG892" s="28">
        <v>649</v>
      </c>
      <c r="AH892" s="22" t="s">
        <v>64</v>
      </c>
      <c r="AI892" s="63">
        <v>45713</v>
      </c>
      <c r="AJ892" s="63">
        <v>46433</v>
      </c>
      <c r="AK8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2" s="30"/>
      <c r="AN892" s="20" t="s">
        <v>65</v>
      </c>
      <c r="AP892" s="20" t="s">
        <v>84</v>
      </c>
    </row>
    <row r="893" spans="1:43" ht="16">
      <c r="A893" s="20">
        <v>8341776735</v>
      </c>
      <c r="B893" s="21">
        <v>300476</v>
      </c>
      <c r="C893" s="20" t="s">
        <v>733</v>
      </c>
      <c r="D893" s="20" t="s">
        <v>171</v>
      </c>
      <c r="E893" s="20" t="s">
        <v>4136</v>
      </c>
      <c r="F893" s="20" t="s">
        <v>257</v>
      </c>
      <c r="G893" s="20" t="s">
        <v>257</v>
      </c>
      <c r="H893" s="20" t="s">
        <v>48</v>
      </c>
      <c r="I893" s="20" t="s">
        <v>257</v>
      </c>
      <c r="J893" s="22" t="s">
        <v>4137</v>
      </c>
      <c r="K893" s="22" t="s">
        <v>4137</v>
      </c>
      <c r="L893" s="23" t="s">
        <v>4117</v>
      </c>
      <c r="M893" s="24" t="s">
        <v>7739</v>
      </c>
      <c r="N893" s="23">
        <v>18757000</v>
      </c>
      <c r="O893" s="25" t="s">
        <v>74</v>
      </c>
      <c r="P893" s="25" t="s">
        <v>53</v>
      </c>
      <c r="Q893" s="20" t="s">
        <v>4138</v>
      </c>
      <c r="R893" s="20">
        <v>43090138</v>
      </c>
      <c r="S893" s="25" t="s">
        <v>4139</v>
      </c>
      <c r="T893" s="26" t="s">
        <v>57</v>
      </c>
      <c r="U893" s="23">
        <v>860478064985143</v>
      </c>
      <c r="V893" s="45" t="s">
        <v>110</v>
      </c>
      <c r="W893" s="20" t="s">
        <v>302</v>
      </c>
      <c r="X893" s="20" t="s">
        <v>303</v>
      </c>
      <c r="Y893" s="20" t="s">
        <v>303</v>
      </c>
      <c r="Z893" s="20" t="s">
        <v>80</v>
      </c>
      <c r="AA893" s="20" t="s">
        <v>81</v>
      </c>
      <c r="AB893" s="20" t="s">
        <v>82</v>
      </c>
      <c r="AC893" s="28">
        <v>559.48</v>
      </c>
      <c r="AD893" s="28">
        <f>SUM(BASE[[#This Row],[MONTO DE RENTA ]]*1.16)</f>
        <v>648.99680000000001</v>
      </c>
      <c r="AE893" s="28" t="s">
        <v>83</v>
      </c>
      <c r="AF893" s="28">
        <v>559.48275862068965</v>
      </c>
      <c r="AG893" s="28">
        <v>649</v>
      </c>
      <c r="AH893" s="22" t="s">
        <v>64</v>
      </c>
      <c r="AI893" s="63">
        <v>45713</v>
      </c>
      <c r="AJ893" s="63">
        <v>46433</v>
      </c>
      <c r="AK8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3" s="30"/>
      <c r="AN893" s="20" t="s">
        <v>65</v>
      </c>
      <c r="AP893" s="20" t="s">
        <v>84</v>
      </c>
    </row>
    <row r="894" spans="1:43" ht="16">
      <c r="A894" s="20">
        <v>8342079039</v>
      </c>
      <c r="B894" s="21">
        <v>570174</v>
      </c>
      <c r="C894" s="20" t="s">
        <v>4140</v>
      </c>
      <c r="D894" s="20" t="s">
        <v>205</v>
      </c>
      <c r="E894" s="20" t="s">
        <v>1495</v>
      </c>
      <c r="F894" s="20" t="s">
        <v>104</v>
      </c>
      <c r="G894" s="20" t="s">
        <v>104</v>
      </c>
      <c r="H894" s="20" t="s">
        <v>48</v>
      </c>
      <c r="I894" s="20" t="s">
        <v>104</v>
      </c>
      <c r="J894" s="32" t="s">
        <v>4141</v>
      </c>
      <c r="K894" s="32" t="s">
        <v>4141</v>
      </c>
      <c r="L894" s="23" t="s">
        <v>4117</v>
      </c>
      <c r="M894" s="24" t="s">
        <v>7739</v>
      </c>
      <c r="N894" s="23">
        <v>18757000</v>
      </c>
      <c r="O894" s="25" t="s">
        <v>74</v>
      </c>
      <c r="P894" s="25" t="s">
        <v>53</v>
      </c>
      <c r="Q894" s="20" t="s">
        <v>4142</v>
      </c>
      <c r="R894" s="20">
        <v>43090144</v>
      </c>
      <c r="S894" s="25" t="s">
        <v>4143</v>
      </c>
      <c r="T894" s="26" t="s">
        <v>57</v>
      </c>
      <c r="U894" s="23">
        <v>860478064984500</v>
      </c>
      <c r="V894" s="45" t="s">
        <v>110</v>
      </c>
      <c r="W894" s="20" t="s">
        <v>302</v>
      </c>
      <c r="X894" s="20" t="s">
        <v>303</v>
      </c>
      <c r="Y894" s="20" t="s">
        <v>303</v>
      </c>
      <c r="Z894" s="20" t="s">
        <v>80</v>
      </c>
      <c r="AA894" s="20" t="s">
        <v>81</v>
      </c>
      <c r="AB894" s="20" t="s">
        <v>82</v>
      </c>
      <c r="AC894" s="28">
        <v>559.48</v>
      </c>
      <c r="AD894" s="28">
        <f>SUM(BASE[[#This Row],[MONTO DE RENTA ]]*1.16)</f>
        <v>648.99680000000001</v>
      </c>
      <c r="AE894" s="28" t="s">
        <v>83</v>
      </c>
      <c r="AF894" s="28">
        <v>559.48275862068965</v>
      </c>
      <c r="AG894" s="28">
        <v>649</v>
      </c>
      <c r="AH894" s="22" t="s">
        <v>64</v>
      </c>
      <c r="AI894" s="63">
        <v>45713</v>
      </c>
      <c r="AJ894" s="63">
        <v>46433</v>
      </c>
      <c r="AK8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4" s="30"/>
      <c r="AN894" s="20" t="s">
        <v>65</v>
      </c>
      <c r="AP894" s="20" t="s">
        <v>84</v>
      </c>
    </row>
    <row r="895" spans="1:43" ht="16">
      <c r="A895" s="20">
        <v>8341418052</v>
      </c>
      <c r="B895" s="49">
        <v>570114</v>
      </c>
      <c r="C895" s="20" t="s">
        <v>1862</v>
      </c>
      <c r="D895" s="20" t="s">
        <v>324</v>
      </c>
      <c r="E895" s="20" t="s">
        <v>2158</v>
      </c>
      <c r="F895" s="20" t="s">
        <v>122</v>
      </c>
      <c r="G895" s="20" t="s">
        <v>122</v>
      </c>
      <c r="H895" s="20" t="s">
        <v>48</v>
      </c>
      <c r="I895" s="20" t="s">
        <v>122</v>
      </c>
      <c r="J895" s="22" t="s">
        <v>4144</v>
      </c>
      <c r="K895" s="32" t="s">
        <v>4104</v>
      </c>
      <c r="L895" s="23" t="s">
        <v>4117</v>
      </c>
      <c r="M895" s="24" t="s">
        <v>7739</v>
      </c>
      <c r="N895" s="23">
        <v>18757000</v>
      </c>
      <c r="O895" s="25" t="s">
        <v>74</v>
      </c>
      <c r="P895" s="25" t="s">
        <v>53</v>
      </c>
      <c r="Q895" s="20" t="s">
        <v>4145</v>
      </c>
      <c r="R895" s="20">
        <v>43539110</v>
      </c>
      <c r="S895" s="25" t="s">
        <v>55</v>
      </c>
      <c r="T895" s="26" t="s">
        <v>56</v>
      </c>
      <c r="U895" s="23">
        <v>865356065673261</v>
      </c>
      <c r="V895" s="27" t="s">
        <v>183</v>
      </c>
      <c r="W895" s="20" t="s">
        <v>129</v>
      </c>
      <c r="X895" s="20" t="s">
        <v>130</v>
      </c>
      <c r="Y895" s="20" t="s">
        <v>130</v>
      </c>
      <c r="Z895" s="20" t="s">
        <v>60</v>
      </c>
      <c r="AA895" s="20" t="s">
        <v>61</v>
      </c>
      <c r="AB895" s="20" t="s">
        <v>96</v>
      </c>
      <c r="AC895" s="28">
        <v>369.83</v>
      </c>
      <c r="AD895" s="28">
        <f>SUM(BASE[[#This Row],[MONTO DE RENTA ]]*1.16)</f>
        <v>429.00279999999998</v>
      </c>
      <c r="AE895" s="28" t="s">
        <v>63</v>
      </c>
      <c r="AF895" s="28">
        <v>369.82758620689657</v>
      </c>
      <c r="AG895" s="28">
        <v>429</v>
      </c>
      <c r="AI895" s="63">
        <v>44937</v>
      </c>
      <c r="AJ895" s="73">
        <v>46043</v>
      </c>
      <c r="AK89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95" s="30"/>
      <c r="AN895" s="20" t="s">
        <v>99</v>
      </c>
      <c r="AP895" s="20" t="s">
        <v>84</v>
      </c>
      <c r="AQ895" s="20" t="s">
        <v>100</v>
      </c>
    </row>
    <row r="896" spans="1:43" ht="16">
      <c r="A896" s="20">
        <v>8341776884</v>
      </c>
      <c r="B896" s="21">
        <v>570173</v>
      </c>
      <c r="C896" s="20" t="s">
        <v>475</v>
      </c>
      <c r="D896" s="20" t="s">
        <v>4146</v>
      </c>
      <c r="E896" s="20" t="s">
        <v>102</v>
      </c>
      <c r="F896" s="20" t="s">
        <v>122</v>
      </c>
      <c r="G896" s="20" t="s">
        <v>104</v>
      </c>
      <c r="H896" s="20" t="s">
        <v>48</v>
      </c>
      <c r="I896" s="20" t="s">
        <v>122</v>
      </c>
      <c r="J896" s="32" t="s">
        <v>4147</v>
      </c>
      <c r="K896" s="22" t="s">
        <v>4147</v>
      </c>
      <c r="L896" s="23" t="s">
        <v>4117</v>
      </c>
      <c r="M896" s="24" t="s">
        <v>7739</v>
      </c>
      <c r="N896" s="23">
        <v>18757000</v>
      </c>
      <c r="O896" s="25" t="s">
        <v>74</v>
      </c>
      <c r="P896" s="25" t="s">
        <v>53</v>
      </c>
      <c r="Q896" s="20" t="s">
        <v>4148</v>
      </c>
      <c r="R896" s="20">
        <v>43090141</v>
      </c>
      <c r="S896" s="25" t="s">
        <v>4149</v>
      </c>
      <c r="T896" s="26" t="s">
        <v>57</v>
      </c>
      <c r="U896" s="23">
        <v>860900062334297</v>
      </c>
      <c r="V896" s="27" t="s">
        <v>57</v>
      </c>
      <c r="W896" s="20" t="s">
        <v>58</v>
      </c>
      <c r="X896" s="20" t="s">
        <v>59</v>
      </c>
      <c r="Y896" s="20" t="s">
        <v>59</v>
      </c>
      <c r="Z896" s="20" t="s">
        <v>167</v>
      </c>
      <c r="AA896" s="20" t="s">
        <v>168</v>
      </c>
      <c r="AB896" s="20" t="s">
        <v>96</v>
      </c>
      <c r="AC896" s="28">
        <v>369.83</v>
      </c>
      <c r="AD896" s="28">
        <f>SUM(BASE[[#This Row],[MONTO DE RENTA ]]*1.16)</f>
        <v>429.00279999999998</v>
      </c>
      <c r="AE896" s="28" t="s">
        <v>63</v>
      </c>
      <c r="AF896" s="28">
        <v>369.82758620689657</v>
      </c>
      <c r="AG896" s="28">
        <v>429</v>
      </c>
      <c r="AH896" s="22" t="s">
        <v>64</v>
      </c>
      <c r="AI896" s="63">
        <v>45713</v>
      </c>
      <c r="AJ896" s="63">
        <v>46433</v>
      </c>
      <c r="AK8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6" s="30"/>
      <c r="AN896" s="20" t="s">
        <v>65</v>
      </c>
      <c r="AP896" s="20" t="s">
        <v>84</v>
      </c>
    </row>
    <row r="897" spans="1:43" ht="16">
      <c r="A897" s="20">
        <v>8341114161</v>
      </c>
      <c r="B897" s="49">
        <v>300261</v>
      </c>
      <c r="C897" s="20" t="s">
        <v>3724</v>
      </c>
      <c r="D897" s="20" t="s">
        <v>598</v>
      </c>
      <c r="E897" s="20" t="s">
        <v>143</v>
      </c>
      <c r="F897" s="20" t="s">
        <v>70</v>
      </c>
      <c r="G897" s="20" t="s">
        <v>70</v>
      </c>
      <c r="H897" s="20" t="s">
        <v>48</v>
      </c>
      <c r="I897" s="20" t="s">
        <v>70</v>
      </c>
      <c r="J897" s="22" t="s">
        <v>4150</v>
      </c>
      <c r="K897" s="22" t="s">
        <v>4150</v>
      </c>
      <c r="L897" s="23" t="s">
        <v>4117</v>
      </c>
      <c r="M897" s="24" t="s">
        <v>7739</v>
      </c>
      <c r="N897" s="23">
        <v>18757000</v>
      </c>
      <c r="O897" s="25" t="s">
        <v>74</v>
      </c>
      <c r="P897" s="25" t="s">
        <v>53</v>
      </c>
      <c r="Q897" s="20" t="s">
        <v>4151</v>
      </c>
      <c r="R897" s="20">
        <v>42977418</v>
      </c>
      <c r="S897" s="25" t="s">
        <v>55</v>
      </c>
      <c r="T897" s="26" t="s">
        <v>56</v>
      </c>
      <c r="U897" s="23">
        <v>357654179299386</v>
      </c>
      <c r="V897" s="27" t="s">
        <v>78</v>
      </c>
      <c r="W897" s="20" t="s">
        <v>95</v>
      </c>
      <c r="X897" s="20" t="s">
        <v>95</v>
      </c>
      <c r="Y897" s="20" t="s">
        <v>95</v>
      </c>
      <c r="Z897" s="20" t="s">
        <v>60</v>
      </c>
      <c r="AA897" s="20" t="s">
        <v>61</v>
      </c>
      <c r="AB897" s="20" t="s">
        <v>82</v>
      </c>
      <c r="AC897" s="28">
        <v>559.48</v>
      </c>
      <c r="AD897" s="28">
        <f>SUM(BASE[[#This Row],[MONTO DE RENTA ]]*1.16)</f>
        <v>648.99680000000001</v>
      </c>
      <c r="AE897" s="28" t="s">
        <v>83</v>
      </c>
      <c r="AF897" s="28">
        <v>559.48275862068965</v>
      </c>
      <c r="AG897" s="28">
        <v>649</v>
      </c>
      <c r="AI897" s="63">
        <v>44937</v>
      </c>
      <c r="AJ897" s="73">
        <v>46043</v>
      </c>
      <c r="AK8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897" s="30"/>
      <c r="AN897" s="20" t="s">
        <v>99</v>
      </c>
      <c r="AP897" s="20" t="s">
        <v>84</v>
      </c>
      <c r="AQ897" s="20" t="s">
        <v>100</v>
      </c>
    </row>
    <row r="898" spans="1:43" ht="16">
      <c r="A898" s="20">
        <v>6441238936</v>
      </c>
      <c r="B898" s="147">
        <v>1006442</v>
      </c>
      <c r="C898" s="20" t="s">
        <v>2121</v>
      </c>
      <c r="D898" s="20" t="s">
        <v>4152</v>
      </c>
      <c r="E898" s="20" t="s">
        <v>1017</v>
      </c>
      <c r="F898" s="20" t="s">
        <v>47</v>
      </c>
      <c r="G898" s="20" t="s">
        <v>47</v>
      </c>
      <c r="H898" s="20" t="s">
        <v>48</v>
      </c>
      <c r="I898" s="20" t="s">
        <v>47</v>
      </c>
      <c r="J898" s="195" t="s">
        <v>4153</v>
      </c>
      <c r="K898" s="195" t="s">
        <v>4153</v>
      </c>
      <c r="L898" s="23" t="s">
        <v>4154</v>
      </c>
      <c r="M898" s="24" t="s">
        <v>7740</v>
      </c>
      <c r="N898" s="23">
        <v>18759000</v>
      </c>
      <c r="O898" s="25" t="s">
        <v>866</v>
      </c>
      <c r="P898" s="25" t="s">
        <v>53</v>
      </c>
      <c r="Q898" s="20" t="s">
        <v>4155</v>
      </c>
      <c r="R898" s="20">
        <v>22031372</v>
      </c>
      <c r="S898" s="25" t="s">
        <v>4156</v>
      </c>
      <c r="T898" s="26" t="s">
        <v>57</v>
      </c>
      <c r="U898" s="23">
        <v>860900062735790</v>
      </c>
      <c r="V898" s="27" t="s">
        <v>57</v>
      </c>
      <c r="W898" s="20" t="s">
        <v>58</v>
      </c>
      <c r="X898" s="20" t="s">
        <v>59</v>
      </c>
      <c r="Y898" s="20" t="s">
        <v>59</v>
      </c>
      <c r="Z898" s="20" t="s">
        <v>131</v>
      </c>
      <c r="AA898" s="20" t="s">
        <v>132</v>
      </c>
      <c r="AB898" s="20" t="s">
        <v>96</v>
      </c>
      <c r="AC898" s="28">
        <v>369.83</v>
      </c>
      <c r="AD898" s="28">
        <f>SUM(BASE[[#This Row],[MONTO DE RENTA ]]*1.16)</f>
        <v>429.00279999999998</v>
      </c>
      <c r="AE898" s="28" t="s">
        <v>63</v>
      </c>
      <c r="AF898" s="28">
        <v>369.82758620689657</v>
      </c>
      <c r="AG898" s="28">
        <v>429</v>
      </c>
      <c r="AH898" s="22" t="s">
        <v>64</v>
      </c>
      <c r="AI898" s="63">
        <v>45703</v>
      </c>
      <c r="AJ898" s="63">
        <v>46433</v>
      </c>
      <c r="AK8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8" s="30"/>
      <c r="AN898" s="20" t="s">
        <v>65</v>
      </c>
      <c r="AP898" s="20" t="s">
        <v>84</v>
      </c>
    </row>
    <row r="899" spans="1:43" ht="16">
      <c r="A899" s="20">
        <v>6441231669</v>
      </c>
      <c r="B899" s="21">
        <v>590345</v>
      </c>
      <c r="C899" s="20" t="s">
        <v>501</v>
      </c>
      <c r="D899" s="20" t="s">
        <v>376</v>
      </c>
      <c r="E899" s="20" t="s">
        <v>4157</v>
      </c>
      <c r="F899" s="20" t="s">
        <v>1038</v>
      </c>
      <c r="G899" s="20" t="s">
        <v>248</v>
      </c>
      <c r="H899" s="20" t="s">
        <v>48</v>
      </c>
      <c r="I899" s="20" t="s">
        <v>1038</v>
      </c>
      <c r="J899" s="22" t="s">
        <v>4158</v>
      </c>
      <c r="K899" s="22" t="s">
        <v>4158</v>
      </c>
      <c r="L899" s="23" t="s">
        <v>107</v>
      </c>
      <c r="M899" s="24" t="s">
        <v>7739</v>
      </c>
      <c r="N899" s="23">
        <v>18766000</v>
      </c>
      <c r="O899" s="25" t="s">
        <v>866</v>
      </c>
      <c r="P899" s="25" t="s">
        <v>53</v>
      </c>
      <c r="Q899" s="20" t="s">
        <v>4159</v>
      </c>
      <c r="R899" s="20">
        <v>22020387</v>
      </c>
      <c r="S899" s="25" t="s">
        <v>4160</v>
      </c>
      <c r="T899" s="26" t="s">
        <v>57</v>
      </c>
      <c r="U899" s="23">
        <v>860900062735733</v>
      </c>
      <c r="V899" s="27" t="s">
        <v>57</v>
      </c>
      <c r="W899" s="20" t="s">
        <v>58</v>
      </c>
      <c r="X899" s="20" t="s">
        <v>59</v>
      </c>
      <c r="Y899" s="20" t="s">
        <v>59</v>
      </c>
      <c r="Z899" s="20" t="s">
        <v>131</v>
      </c>
      <c r="AA899" s="20" t="s">
        <v>132</v>
      </c>
      <c r="AB899" s="20" t="s">
        <v>96</v>
      </c>
      <c r="AC899" s="28">
        <v>369.83</v>
      </c>
      <c r="AD899" s="28">
        <f>SUM(BASE[[#This Row],[MONTO DE RENTA ]]*1.16)</f>
        <v>429.00279999999998</v>
      </c>
      <c r="AE899" s="28" t="s">
        <v>63</v>
      </c>
      <c r="AF899" s="28">
        <v>369.82758620689657</v>
      </c>
      <c r="AG899" s="28">
        <v>429</v>
      </c>
      <c r="AH899" s="22" t="s">
        <v>64</v>
      </c>
      <c r="AI899" s="63">
        <v>45703</v>
      </c>
      <c r="AJ899" s="63">
        <v>46433</v>
      </c>
      <c r="AK8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899" s="30"/>
      <c r="AN899" s="20" t="s">
        <v>65</v>
      </c>
      <c r="AP899" s="20" t="s">
        <v>84</v>
      </c>
    </row>
    <row r="900" spans="1:43" ht="16">
      <c r="A900" s="20">
        <v>6441249717</v>
      </c>
      <c r="B900" s="21">
        <v>996293</v>
      </c>
      <c r="C900" s="20" t="s">
        <v>4161</v>
      </c>
      <c r="D900" s="20" t="s">
        <v>765</v>
      </c>
      <c r="E900" s="20" t="s">
        <v>1432</v>
      </c>
      <c r="F900" s="20" t="s">
        <v>257</v>
      </c>
      <c r="G900" s="20" t="s">
        <v>257</v>
      </c>
      <c r="H900" s="20" t="s">
        <v>48</v>
      </c>
      <c r="I900" s="20" t="s">
        <v>257</v>
      </c>
      <c r="J900" s="22" t="s">
        <v>4162</v>
      </c>
      <c r="K900" s="22" t="s">
        <v>4162</v>
      </c>
      <c r="L900" s="23" t="s">
        <v>4154</v>
      </c>
      <c r="M900" s="24" t="s">
        <v>7740</v>
      </c>
      <c r="N900" s="23">
        <v>18759000</v>
      </c>
      <c r="O900" s="25" t="s">
        <v>866</v>
      </c>
      <c r="P900" s="25" t="s">
        <v>53</v>
      </c>
      <c r="Q900" s="20" t="s">
        <v>4163</v>
      </c>
      <c r="R900" s="20">
        <v>22026213</v>
      </c>
      <c r="S900" s="25" t="s">
        <v>4164</v>
      </c>
      <c r="T900" s="26" t="s">
        <v>57</v>
      </c>
      <c r="U900" s="23">
        <v>860478062097073</v>
      </c>
      <c r="V900" s="45" t="s">
        <v>110</v>
      </c>
      <c r="W900" s="20" t="s">
        <v>302</v>
      </c>
      <c r="X900" s="20" t="s">
        <v>303</v>
      </c>
      <c r="Y900" s="20" t="s">
        <v>303</v>
      </c>
      <c r="Z900" s="20" t="s">
        <v>131</v>
      </c>
      <c r="AA900" s="20" t="s">
        <v>132</v>
      </c>
      <c r="AB900" s="20" t="s">
        <v>82</v>
      </c>
      <c r="AC900" s="28">
        <v>559.48</v>
      </c>
      <c r="AD900" s="28">
        <f>SUM(BASE[[#This Row],[MONTO DE RENTA ]]*1.16)</f>
        <v>648.99680000000001</v>
      </c>
      <c r="AE900" s="28" t="s">
        <v>83</v>
      </c>
      <c r="AF900" s="28">
        <v>559.48275862068965</v>
      </c>
      <c r="AG900" s="28">
        <v>649</v>
      </c>
      <c r="AH900" s="22" t="s">
        <v>64</v>
      </c>
      <c r="AI900" s="29">
        <v>45703</v>
      </c>
      <c r="AJ900" s="29">
        <v>46433</v>
      </c>
      <c r="AK9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0" s="30"/>
      <c r="AN900" s="20" t="s">
        <v>65</v>
      </c>
      <c r="AP900" s="20" t="s">
        <v>84</v>
      </c>
    </row>
    <row r="901" spans="1:43" ht="16">
      <c r="A901" s="20">
        <v>6441254772</v>
      </c>
      <c r="B901" s="21">
        <v>590196</v>
      </c>
      <c r="C901" s="20" t="s">
        <v>4165</v>
      </c>
      <c r="D901" s="20" t="s">
        <v>4166</v>
      </c>
      <c r="E901" s="20" t="s">
        <v>936</v>
      </c>
      <c r="F901" s="20" t="s">
        <v>257</v>
      </c>
      <c r="G901" s="20" t="s">
        <v>104</v>
      </c>
      <c r="H901" s="20" t="s">
        <v>48</v>
      </c>
      <c r="I901" s="20" t="s">
        <v>257</v>
      </c>
      <c r="J901" s="32" t="s">
        <v>4167</v>
      </c>
      <c r="K901" s="32" t="s">
        <v>4167</v>
      </c>
      <c r="L901" s="23" t="s">
        <v>4154</v>
      </c>
      <c r="M901" s="24" t="s">
        <v>7740</v>
      </c>
      <c r="N901" s="23">
        <v>18670000</v>
      </c>
      <c r="O901" s="25" t="s">
        <v>866</v>
      </c>
      <c r="P901" s="25" t="s">
        <v>53</v>
      </c>
      <c r="Q901" s="20" t="s">
        <v>4168</v>
      </c>
      <c r="R901" s="20">
        <v>21986508</v>
      </c>
      <c r="S901" s="25" t="s">
        <v>4169</v>
      </c>
      <c r="T901" s="26" t="s">
        <v>57</v>
      </c>
      <c r="U901" s="23">
        <v>860478064969162</v>
      </c>
      <c r="V901" s="45" t="s">
        <v>110</v>
      </c>
      <c r="W901" s="20" t="s">
        <v>302</v>
      </c>
      <c r="X901" s="20" t="s">
        <v>303</v>
      </c>
      <c r="Y901" s="20" t="s">
        <v>303</v>
      </c>
      <c r="Z901" s="20" t="s">
        <v>131</v>
      </c>
      <c r="AA901" s="20" t="s">
        <v>132</v>
      </c>
      <c r="AB901" s="20" t="s">
        <v>82</v>
      </c>
      <c r="AC901" s="28">
        <v>559.48</v>
      </c>
      <c r="AD901" s="28">
        <f>SUM(BASE[[#This Row],[MONTO DE RENTA ]]*1.16)</f>
        <v>648.99680000000001</v>
      </c>
      <c r="AE901" s="28" t="s">
        <v>83</v>
      </c>
      <c r="AF901" s="28">
        <v>559.48275862068965</v>
      </c>
      <c r="AG901" s="28">
        <v>649</v>
      </c>
      <c r="AH901" s="22" t="s">
        <v>64</v>
      </c>
      <c r="AI901" s="29">
        <v>45703</v>
      </c>
      <c r="AJ901" s="29">
        <v>46433</v>
      </c>
      <c r="AK9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1" s="30"/>
      <c r="AN901" s="20" t="s">
        <v>65</v>
      </c>
      <c r="AP901" s="20" t="s">
        <v>84</v>
      </c>
    </row>
    <row r="902" spans="1:43" ht="16">
      <c r="A902" s="20">
        <v>6441257226</v>
      </c>
      <c r="B902" s="21">
        <v>1005212</v>
      </c>
      <c r="C902" s="20" t="s">
        <v>4170</v>
      </c>
      <c r="D902" s="20" t="s">
        <v>4171</v>
      </c>
      <c r="E902" s="20" t="s">
        <v>2161</v>
      </c>
      <c r="F902" s="20" t="s">
        <v>104</v>
      </c>
      <c r="G902" s="20" t="s">
        <v>104</v>
      </c>
      <c r="H902" s="20" t="s">
        <v>48</v>
      </c>
      <c r="I902" s="20" t="s">
        <v>104</v>
      </c>
      <c r="J902" s="54" t="s">
        <v>4172</v>
      </c>
      <c r="K902" s="54" t="s">
        <v>4172</v>
      </c>
      <c r="L902" s="23" t="s">
        <v>4154</v>
      </c>
      <c r="M902" s="24" t="s">
        <v>7740</v>
      </c>
      <c r="N902" s="23">
        <v>18759000</v>
      </c>
      <c r="O902" s="25" t="s">
        <v>866</v>
      </c>
      <c r="P902" s="25" t="s">
        <v>53</v>
      </c>
      <c r="Q902" s="20" t="s">
        <v>4173</v>
      </c>
      <c r="R902" s="20">
        <v>21986504</v>
      </c>
      <c r="S902" s="25" t="s">
        <v>4174</v>
      </c>
      <c r="T902" s="26" t="s">
        <v>57</v>
      </c>
      <c r="U902" s="23">
        <v>860478064969139</v>
      </c>
      <c r="V902" s="45" t="s">
        <v>110</v>
      </c>
      <c r="W902" s="20" t="s">
        <v>302</v>
      </c>
      <c r="X902" s="20" t="s">
        <v>303</v>
      </c>
      <c r="Y902" s="20" t="s">
        <v>303</v>
      </c>
      <c r="Z902" s="20" t="s">
        <v>131</v>
      </c>
      <c r="AA902" s="20" t="s">
        <v>132</v>
      </c>
      <c r="AB902" s="20" t="s">
        <v>82</v>
      </c>
      <c r="AC902" s="28">
        <v>559.48</v>
      </c>
      <c r="AD902" s="28">
        <f>SUM(BASE[[#This Row],[MONTO DE RENTA ]]*1.16)</f>
        <v>648.99680000000001</v>
      </c>
      <c r="AE902" s="28" t="s">
        <v>83</v>
      </c>
      <c r="AF902" s="28">
        <v>559.48275862068965</v>
      </c>
      <c r="AG902" s="28">
        <v>649</v>
      </c>
      <c r="AH902" s="22" t="s">
        <v>64</v>
      </c>
      <c r="AI902" s="63">
        <v>45703</v>
      </c>
      <c r="AJ902" s="63">
        <v>46433</v>
      </c>
      <c r="AK9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2" s="30"/>
      <c r="AN902" s="20" t="s">
        <v>65</v>
      </c>
      <c r="AP902" s="20" t="s">
        <v>84</v>
      </c>
    </row>
    <row r="903" spans="1:43" ht="16">
      <c r="A903" s="20">
        <v>6441249830</v>
      </c>
      <c r="B903" s="21">
        <v>590114</v>
      </c>
      <c r="C903" s="20" t="s">
        <v>4175</v>
      </c>
      <c r="D903" s="20" t="s">
        <v>172</v>
      </c>
      <c r="E903" s="20" t="s">
        <v>4176</v>
      </c>
      <c r="F903" s="20" t="s">
        <v>104</v>
      </c>
      <c r="G903" s="20" t="s">
        <v>104</v>
      </c>
      <c r="H903" s="20" t="s">
        <v>48</v>
      </c>
      <c r="I903" s="20" t="s">
        <v>104</v>
      </c>
      <c r="J903" s="32" t="s">
        <v>4177</v>
      </c>
      <c r="K903" s="32" t="s">
        <v>4177</v>
      </c>
      <c r="L903" s="23" t="s">
        <v>4154</v>
      </c>
      <c r="M903" s="24" t="s">
        <v>7740</v>
      </c>
      <c r="N903" s="23">
        <v>18759000</v>
      </c>
      <c r="O903" s="25" t="s">
        <v>866</v>
      </c>
      <c r="P903" s="25" t="s">
        <v>53</v>
      </c>
      <c r="Q903" s="20" t="s">
        <v>4178</v>
      </c>
      <c r="R903" s="20">
        <v>22026214</v>
      </c>
      <c r="S903" s="25" t="s">
        <v>4179</v>
      </c>
      <c r="T903" s="26" t="s">
        <v>57</v>
      </c>
      <c r="U903" s="23">
        <v>860478064771709</v>
      </c>
      <c r="V903" s="45" t="s">
        <v>110</v>
      </c>
      <c r="W903" s="20" t="s">
        <v>302</v>
      </c>
      <c r="X903" s="20" t="s">
        <v>303</v>
      </c>
      <c r="Y903" s="20" t="s">
        <v>303</v>
      </c>
      <c r="Z903" s="20" t="s">
        <v>131</v>
      </c>
      <c r="AA903" s="20" t="s">
        <v>132</v>
      </c>
      <c r="AB903" s="20" t="s">
        <v>82</v>
      </c>
      <c r="AC903" s="28">
        <v>559.48</v>
      </c>
      <c r="AD903" s="28">
        <f>SUM(BASE[[#This Row],[MONTO DE RENTA ]]*1.16)</f>
        <v>648.99680000000001</v>
      </c>
      <c r="AE903" s="28" t="s">
        <v>83</v>
      </c>
      <c r="AF903" s="28">
        <v>559.48275862068965</v>
      </c>
      <c r="AG903" s="28">
        <v>649</v>
      </c>
      <c r="AH903" s="22" t="s">
        <v>64</v>
      </c>
      <c r="AI903" s="63">
        <v>45703</v>
      </c>
      <c r="AJ903" s="63">
        <v>46433</v>
      </c>
      <c r="AK9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3" s="30"/>
      <c r="AN903" s="20" t="s">
        <v>65</v>
      </c>
      <c r="AP903" s="20" t="s">
        <v>84</v>
      </c>
    </row>
    <row r="904" spans="1:43" ht="16">
      <c r="A904" s="99">
        <v>6442223588</v>
      </c>
      <c r="B904" s="147">
        <v>1047677</v>
      </c>
      <c r="C904" s="20" t="s">
        <v>4180</v>
      </c>
      <c r="D904" s="20" t="s">
        <v>3381</v>
      </c>
      <c r="E904" s="20" t="s">
        <v>205</v>
      </c>
      <c r="F904" s="20" t="s">
        <v>122</v>
      </c>
      <c r="G904" s="20" t="s">
        <v>122</v>
      </c>
      <c r="H904" s="20" t="s">
        <v>48</v>
      </c>
      <c r="I904" s="20" t="s">
        <v>122</v>
      </c>
      <c r="J904" s="100" t="s">
        <v>4181</v>
      </c>
      <c r="K904" s="100" t="s">
        <v>4181</v>
      </c>
      <c r="L904" s="23" t="s">
        <v>4154</v>
      </c>
      <c r="M904" s="24" t="s">
        <v>7740</v>
      </c>
      <c r="N904" s="23">
        <v>18759000</v>
      </c>
      <c r="O904" s="25" t="s">
        <v>866</v>
      </c>
      <c r="P904" s="25" t="s">
        <v>53</v>
      </c>
      <c r="Q904" s="20" t="s">
        <v>4182</v>
      </c>
      <c r="R904" s="20">
        <v>22275318</v>
      </c>
      <c r="S904" s="25" t="s">
        <v>55</v>
      </c>
      <c r="T904" s="101" t="s">
        <v>56</v>
      </c>
      <c r="U904" s="23">
        <v>866223051079169</v>
      </c>
      <c r="V904" s="27" t="s">
        <v>183</v>
      </c>
      <c r="W904" s="20" t="s">
        <v>649</v>
      </c>
      <c r="X904" s="20" t="s">
        <v>650</v>
      </c>
      <c r="Y904" s="20" t="s">
        <v>650</v>
      </c>
      <c r="Z904" s="20" t="s">
        <v>60</v>
      </c>
      <c r="AA904" s="20" t="s">
        <v>61</v>
      </c>
      <c r="AB904" s="20" t="s">
        <v>96</v>
      </c>
      <c r="AC904" s="28">
        <v>369.83</v>
      </c>
      <c r="AD904" s="28">
        <f>SUM(BASE[[#This Row],[MONTO DE RENTA ]]*1.16)</f>
        <v>429.00279999999998</v>
      </c>
      <c r="AE904" s="28" t="s">
        <v>63</v>
      </c>
      <c r="AF904" s="28">
        <v>369.82758620689657</v>
      </c>
      <c r="AG904" s="28">
        <v>429</v>
      </c>
      <c r="AH904" s="100"/>
      <c r="AI904" s="63">
        <v>45940</v>
      </c>
      <c r="AJ904" s="209">
        <v>46024</v>
      </c>
      <c r="AK904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904" s="99"/>
      <c r="AM904" s="104"/>
      <c r="AN904" s="20" t="s">
        <v>99</v>
      </c>
      <c r="AP904" s="20" t="s">
        <v>84</v>
      </c>
      <c r="AQ904" s="20" t="s">
        <v>100</v>
      </c>
    </row>
    <row r="905" spans="1:43" ht="16">
      <c r="A905" s="20">
        <v>6441249704</v>
      </c>
      <c r="B905" s="49">
        <v>20032</v>
      </c>
      <c r="C905" s="20" t="s">
        <v>4183</v>
      </c>
      <c r="D905" s="20" t="s">
        <v>4184</v>
      </c>
      <c r="E905" s="20" t="s">
        <v>1221</v>
      </c>
      <c r="F905" s="20" t="s">
        <v>70</v>
      </c>
      <c r="G905" s="20" t="s">
        <v>70</v>
      </c>
      <c r="H905" s="20" t="s">
        <v>48</v>
      </c>
      <c r="I905" s="20" t="s">
        <v>70</v>
      </c>
      <c r="J905" s="22" t="s">
        <v>4185</v>
      </c>
      <c r="K905" s="22" t="s">
        <v>4185</v>
      </c>
      <c r="L905" s="23" t="s">
        <v>4154</v>
      </c>
      <c r="M905" s="24" t="s">
        <v>7740</v>
      </c>
      <c r="N905" s="23">
        <v>18759000</v>
      </c>
      <c r="O905" s="25" t="s">
        <v>866</v>
      </c>
      <c r="P905" s="25" t="s">
        <v>53</v>
      </c>
      <c r="Q905" s="20" t="s">
        <v>4186</v>
      </c>
      <c r="R905" s="20">
        <v>21899926</v>
      </c>
      <c r="S905" s="25" t="s">
        <v>55</v>
      </c>
      <c r="T905" s="26" t="s">
        <v>56</v>
      </c>
      <c r="U905" s="23">
        <v>357654177654046</v>
      </c>
      <c r="V905" s="27" t="s">
        <v>78</v>
      </c>
      <c r="W905" s="20" t="s">
        <v>95</v>
      </c>
      <c r="X905" s="20" t="s">
        <v>95</v>
      </c>
      <c r="Y905" s="20" t="s">
        <v>95</v>
      </c>
      <c r="Z905" s="20" t="s">
        <v>60</v>
      </c>
      <c r="AA905" s="20" t="s">
        <v>61</v>
      </c>
      <c r="AB905" s="20" t="s">
        <v>82</v>
      </c>
      <c r="AC905" s="28">
        <v>559.48</v>
      </c>
      <c r="AD905" s="28">
        <f>SUM(BASE[[#This Row],[MONTO DE RENTA ]]*1.16)</f>
        <v>648.99680000000001</v>
      </c>
      <c r="AE905" s="28" t="s">
        <v>83</v>
      </c>
      <c r="AF905" s="28">
        <v>559.48275862068965</v>
      </c>
      <c r="AG905" s="28">
        <v>649</v>
      </c>
      <c r="AI905" s="63">
        <v>44937</v>
      </c>
      <c r="AJ905" s="73">
        <v>46043</v>
      </c>
      <c r="AK9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05" s="30"/>
      <c r="AN905" s="20" t="s">
        <v>99</v>
      </c>
      <c r="AP905" s="20" t="s">
        <v>84</v>
      </c>
      <c r="AQ905" s="20" t="s">
        <v>100</v>
      </c>
    </row>
    <row r="906" spans="1:43" ht="16">
      <c r="A906" s="20">
        <v>5518824531</v>
      </c>
      <c r="B906" s="21">
        <v>610278</v>
      </c>
      <c r="C906" s="20" t="s">
        <v>4187</v>
      </c>
      <c r="D906" s="20" t="s">
        <v>186</v>
      </c>
      <c r="E906" s="20" t="s">
        <v>4188</v>
      </c>
      <c r="F906" s="20" t="s">
        <v>47</v>
      </c>
      <c r="G906" s="20" t="s">
        <v>47</v>
      </c>
      <c r="H906" s="20" t="s">
        <v>48</v>
      </c>
      <c r="I906" s="20" t="s">
        <v>47</v>
      </c>
      <c r="J906" s="22" t="s">
        <v>4189</v>
      </c>
      <c r="K906" s="22" t="s">
        <v>4189</v>
      </c>
      <c r="L906" s="23" t="s">
        <v>4133</v>
      </c>
      <c r="M906" s="24" t="s">
        <v>7741</v>
      </c>
      <c r="N906" s="23">
        <v>18760004</v>
      </c>
      <c r="O906" s="25" t="s">
        <v>52</v>
      </c>
      <c r="P906" s="25" t="s">
        <v>53</v>
      </c>
      <c r="Q906" s="20" t="s">
        <v>4190</v>
      </c>
      <c r="R906" s="20">
        <v>90182401</v>
      </c>
      <c r="S906" s="25" t="s">
        <v>4191</v>
      </c>
      <c r="T906" s="26" t="s">
        <v>57</v>
      </c>
      <c r="U906" s="23">
        <v>860900062336656</v>
      </c>
      <c r="V906" s="27" t="s">
        <v>57</v>
      </c>
      <c r="W906" s="20" t="s">
        <v>58</v>
      </c>
      <c r="X906" s="20" t="s">
        <v>59</v>
      </c>
      <c r="Y906" s="20" t="s">
        <v>59</v>
      </c>
      <c r="Z906" s="20" t="s">
        <v>60</v>
      </c>
      <c r="AA906" s="20" t="s">
        <v>61</v>
      </c>
      <c r="AB906" s="20" t="s">
        <v>96</v>
      </c>
      <c r="AC906" s="28">
        <v>369.83</v>
      </c>
      <c r="AD906" s="28">
        <f>SUM(BASE[[#This Row],[MONTO DE RENTA ]]*1.16)</f>
        <v>429.00279999999998</v>
      </c>
      <c r="AE906" s="28" t="s">
        <v>63</v>
      </c>
      <c r="AF906" s="28">
        <v>369.82758620689657</v>
      </c>
      <c r="AG906" s="28">
        <v>429</v>
      </c>
      <c r="AH906" s="22" t="s">
        <v>64</v>
      </c>
      <c r="AI906" s="63">
        <v>45703</v>
      </c>
      <c r="AJ906" s="63">
        <v>46433</v>
      </c>
      <c r="AK9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6" s="30"/>
      <c r="AN906" s="20" t="s">
        <v>65</v>
      </c>
      <c r="AP906" s="20" t="s">
        <v>84</v>
      </c>
    </row>
    <row r="907" spans="1:43" ht="16">
      <c r="A907" s="20">
        <v>5514163612</v>
      </c>
      <c r="B907" s="59">
        <v>475102</v>
      </c>
      <c r="C907" s="20" t="s">
        <v>4192</v>
      </c>
      <c r="D907" s="20" t="s">
        <v>614</v>
      </c>
      <c r="E907" s="20" t="s">
        <v>376</v>
      </c>
      <c r="F907" s="20" t="s">
        <v>248</v>
      </c>
      <c r="G907" s="20" t="s">
        <v>248</v>
      </c>
      <c r="H907" s="20" t="s">
        <v>48</v>
      </c>
      <c r="I907" s="20" t="s">
        <v>248</v>
      </c>
      <c r="J907" s="22" t="s">
        <v>4193</v>
      </c>
      <c r="K907" s="22" t="s">
        <v>4193</v>
      </c>
      <c r="L907" s="23" t="s">
        <v>4133</v>
      </c>
      <c r="M907" s="24" t="s">
        <v>7741</v>
      </c>
      <c r="N907" s="23">
        <v>18760004</v>
      </c>
      <c r="O907" s="25" t="s">
        <v>52</v>
      </c>
      <c r="P907" s="25" t="s">
        <v>53</v>
      </c>
      <c r="Q907" s="20" t="s">
        <v>4194</v>
      </c>
      <c r="R907" s="20">
        <v>90136467</v>
      </c>
      <c r="S907" s="25" t="s">
        <v>4195</v>
      </c>
      <c r="T907" s="26" t="s">
        <v>57</v>
      </c>
      <c r="U907" s="23">
        <v>860900062336763</v>
      </c>
      <c r="V907" s="27" t="s">
        <v>57</v>
      </c>
      <c r="W907" s="20" t="s">
        <v>58</v>
      </c>
      <c r="X907" s="20" t="s">
        <v>59</v>
      </c>
      <c r="Y907" s="20" t="s">
        <v>59</v>
      </c>
      <c r="Z907" s="20" t="s">
        <v>60</v>
      </c>
      <c r="AA907" s="20" t="s">
        <v>61</v>
      </c>
      <c r="AB907" s="20" t="s">
        <v>96</v>
      </c>
      <c r="AC907" s="28">
        <v>369.83</v>
      </c>
      <c r="AD907" s="28">
        <f>SUM(BASE[[#This Row],[MONTO DE RENTA ]]*1.16)</f>
        <v>429.00279999999998</v>
      </c>
      <c r="AE907" s="28" t="s">
        <v>63</v>
      </c>
      <c r="AF907" s="28">
        <v>369.82758620689657</v>
      </c>
      <c r="AG907" s="28">
        <v>429</v>
      </c>
      <c r="AH907" s="22" t="s">
        <v>64</v>
      </c>
      <c r="AI907" s="63">
        <v>45703</v>
      </c>
      <c r="AJ907" s="63">
        <v>46433</v>
      </c>
      <c r="AK9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7" s="30"/>
      <c r="AN907" s="20" t="s">
        <v>65</v>
      </c>
      <c r="AP907" s="20" t="s">
        <v>84</v>
      </c>
    </row>
    <row r="908" spans="1:43" ht="16">
      <c r="A908" s="20">
        <v>5533077735</v>
      </c>
      <c r="B908" s="21">
        <v>997514</v>
      </c>
      <c r="C908" s="20" t="s">
        <v>4131</v>
      </c>
      <c r="D908" s="20" t="s">
        <v>853</v>
      </c>
      <c r="E908" s="20" t="s">
        <v>461</v>
      </c>
      <c r="F908" s="20" t="s">
        <v>257</v>
      </c>
      <c r="G908" s="20" t="s">
        <v>257</v>
      </c>
      <c r="H908" s="20" t="s">
        <v>48</v>
      </c>
      <c r="I908" s="20" t="s">
        <v>257</v>
      </c>
      <c r="J908" s="22" t="s">
        <v>4196</v>
      </c>
      <c r="K908" s="22" t="s">
        <v>4196</v>
      </c>
      <c r="L908" s="23" t="s">
        <v>4197</v>
      </c>
      <c r="M908" s="24" t="s">
        <v>7741</v>
      </c>
      <c r="N908" s="23">
        <v>18760004</v>
      </c>
      <c r="O908" s="25" t="s">
        <v>52</v>
      </c>
      <c r="P908" s="25" t="s">
        <v>53</v>
      </c>
      <c r="Q908" s="20" t="s">
        <v>4198</v>
      </c>
      <c r="R908" s="20">
        <v>90069873</v>
      </c>
      <c r="S908" s="25" t="s">
        <v>4199</v>
      </c>
      <c r="T908" s="26" t="s">
        <v>57</v>
      </c>
      <c r="U908" s="23">
        <v>860478064061218</v>
      </c>
      <c r="V908" s="45" t="s">
        <v>110</v>
      </c>
      <c r="W908" s="20" t="s">
        <v>302</v>
      </c>
      <c r="X908" s="20" t="s">
        <v>303</v>
      </c>
      <c r="Y908" s="20" t="s">
        <v>303</v>
      </c>
      <c r="Z908" s="20" t="s">
        <v>131</v>
      </c>
      <c r="AA908" s="20" t="s">
        <v>132</v>
      </c>
      <c r="AB908" s="20" t="s">
        <v>82</v>
      </c>
      <c r="AC908" s="28">
        <v>559.48</v>
      </c>
      <c r="AD908" s="28">
        <f>SUM(BASE[[#This Row],[MONTO DE RENTA ]]*1.16)</f>
        <v>648.99680000000001</v>
      </c>
      <c r="AE908" s="28" t="s">
        <v>83</v>
      </c>
      <c r="AF908" s="28">
        <v>559.48275862068965</v>
      </c>
      <c r="AG908" s="28">
        <v>649</v>
      </c>
      <c r="AH908" s="22" t="s">
        <v>64</v>
      </c>
      <c r="AI908" s="63">
        <v>45713</v>
      </c>
      <c r="AJ908" s="63">
        <v>46433</v>
      </c>
      <c r="AK9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8" s="30"/>
      <c r="AN908" s="20" t="s">
        <v>65</v>
      </c>
      <c r="AP908" s="20" t="s">
        <v>84</v>
      </c>
    </row>
    <row r="909" spans="1:43" ht="16">
      <c r="A909" s="20">
        <v>5533670547</v>
      </c>
      <c r="B909" s="21">
        <v>1075078</v>
      </c>
      <c r="C909" s="20" t="s">
        <v>4200</v>
      </c>
      <c r="D909" s="20" t="s">
        <v>4201</v>
      </c>
      <c r="E909" s="20" t="s">
        <v>4202</v>
      </c>
      <c r="F909" s="20" t="s">
        <v>104</v>
      </c>
      <c r="G909" s="20" t="s">
        <v>104</v>
      </c>
      <c r="H909" s="20" t="s">
        <v>48</v>
      </c>
      <c r="I909" s="20" t="s">
        <v>104</v>
      </c>
      <c r="J909" s="32" t="s">
        <v>4203</v>
      </c>
      <c r="K909" s="32" t="s">
        <v>4203</v>
      </c>
      <c r="L909" s="23" t="s">
        <v>4133</v>
      </c>
      <c r="M909" s="24" t="s">
        <v>7741</v>
      </c>
      <c r="N909" s="23">
        <v>18760004</v>
      </c>
      <c r="O909" s="25" t="s">
        <v>52</v>
      </c>
      <c r="P909" s="25" t="s">
        <v>53</v>
      </c>
      <c r="Q909" s="20" t="s">
        <v>4204</v>
      </c>
      <c r="R909" s="20">
        <v>90069535</v>
      </c>
      <c r="S909" s="25" t="s">
        <v>4205</v>
      </c>
      <c r="T909" s="26" t="s">
        <v>57</v>
      </c>
      <c r="U909" s="23">
        <v>860478062353955</v>
      </c>
      <c r="V909" s="45" t="s">
        <v>110</v>
      </c>
      <c r="W909" s="20" t="s">
        <v>302</v>
      </c>
      <c r="X909" s="20" t="s">
        <v>303</v>
      </c>
      <c r="Y909" s="20" t="s">
        <v>303</v>
      </c>
      <c r="Z909" s="20" t="s">
        <v>131</v>
      </c>
      <c r="AA909" s="20" t="s">
        <v>132</v>
      </c>
      <c r="AB909" s="20" t="s">
        <v>82</v>
      </c>
      <c r="AC909" s="28">
        <v>559.48</v>
      </c>
      <c r="AD909" s="28">
        <f>SUM(BASE[[#This Row],[MONTO DE RENTA ]]*1.16)</f>
        <v>648.99680000000001</v>
      </c>
      <c r="AE909" s="28" t="s">
        <v>83</v>
      </c>
      <c r="AF909" s="28">
        <v>559.48275862068965</v>
      </c>
      <c r="AG909" s="28">
        <v>649</v>
      </c>
      <c r="AH909" s="22" t="s">
        <v>64</v>
      </c>
      <c r="AI909" s="63">
        <v>45703</v>
      </c>
      <c r="AJ909" s="63">
        <v>46433</v>
      </c>
      <c r="AK9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09" s="30"/>
      <c r="AN909" s="20" t="s">
        <v>65</v>
      </c>
      <c r="AP909" s="20" t="s">
        <v>84</v>
      </c>
    </row>
    <row r="910" spans="1:43" ht="16">
      <c r="A910" s="20">
        <v>5510096900</v>
      </c>
      <c r="B910" s="49">
        <v>1013423</v>
      </c>
      <c r="C910" s="20" t="s">
        <v>4206</v>
      </c>
      <c r="D910" s="20" t="s">
        <v>4207</v>
      </c>
      <c r="E910" s="20" t="s">
        <v>4208</v>
      </c>
      <c r="F910" s="20" t="s">
        <v>122</v>
      </c>
      <c r="G910" s="20" t="s">
        <v>122</v>
      </c>
      <c r="H910" s="20" t="s">
        <v>48</v>
      </c>
      <c r="I910" s="20" t="s">
        <v>122</v>
      </c>
      <c r="J910" s="32" t="s">
        <v>4209</v>
      </c>
      <c r="K910" s="22" t="s">
        <v>4210</v>
      </c>
      <c r="L910" s="23" t="s">
        <v>4133</v>
      </c>
      <c r="M910" s="24" t="s">
        <v>7741</v>
      </c>
      <c r="N910" s="23">
        <v>18760004</v>
      </c>
      <c r="O910" s="25" t="s">
        <v>52</v>
      </c>
      <c r="P910" s="25" t="s">
        <v>53</v>
      </c>
      <c r="Q910" s="20" t="s">
        <v>4211</v>
      </c>
      <c r="R910" s="20">
        <v>91332787</v>
      </c>
      <c r="S910" s="25" t="s">
        <v>55</v>
      </c>
      <c r="T910" s="26" t="s">
        <v>56</v>
      </c>
      <c r="U910" s="23">
        <v>865356065670705</v>
      </c>
      <c r="V910" s="27" t="s">
        <v>183</v>
      </c>
      <c r="W910" s="20" t="s">
        <v>129</v>
      </c>
      <c r="X910" s="20" t="s">
        <v>130</v>
      </c>
      <c r="Y910" s="20" t="s">
        <v>130</v>
      </c>
      <c r="Z910" s="20" t="s">
        <v>60</v>
      </c>
      <c r="AA910" s="20" t="s">
        <v>61</v>
      </c>
      <c r="AB910" s="20" t="s">
        <v>96</v>
      </c>
      <c r="AC910" s="28">
        <v>369.83</v>
      </c>
      <c r="AD910" s="28">
        <f>SUM(BASE[[#This Row],[MONTO DE RENTA ]]*1.16)</f>
        <v>429.00279999999998</v>
      </c>
      <c r="AE910" s="28" t="s">
        <v>63</v>
      </c>
      <c r="AF910" s="28">
        <v>369.82758620689657</v>
      </c>
      <c r="AG910" s="28">
        <v>429</v>
      </c>
      <c r="AI910" s="63">
        <v>44937</v>
      </c>
      <c r="AJ910" s="73">
        <v>46043</v>
      </c>
      <c r="AK91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10" s="30"/>
      <c r="AN910" s="20" t="s">
        <v>99</v>
      </c>
      <c r="AP910" s="20" t="s">
        <v>84</v>
      </c>
      <c r="AQ910" s="20" t="s">
        <v>100</v>
      </c>
    </row>
    <row r="911" spans="1:43" ht="16">
      <c r="A911" s="20">
        <v>5533394220</v>
      </c>
      <c r="B911" s="49">
        <v>680073</v>
      </c>
      <c r="C911" s="20" t="s">
        <v>4212</v>
      </c>
      <c r="D911" s="20" t="s">
        <v>187</v>
      </c>
      <c r="E911" s="20" t="s">
        <v>4213</v>
      </c>
      <c r="F911" s="20" t="s">
        <v>70</v>
      </c>
      <c r="G911" s="20" t="s">
        <v>70</v>
      </c>
      <c r="H911" s="20" t="s">
        <v>48</v>
      </c>
      <c r="I911" s="20" t="s">
        <v>70</v>
      </c>
      <c r="J911" s="22" t="s">
        <v>4214</v>
      </c>
      <c r="K911" s="22" t="s">
        <v>4214</v>
      </c>
      <c r="L911" s="23" t="s">
        <v>4133</v>
      </c>
      <c r="M911" s="24" t="s">
        <v>7741</v>
      </c>
      <c r="N911" s="23">
        <v>18760004</v>
      </c>
      <c r="O911" s="25" t="s">
        <v>52</v>
      </c>
      <c r="P911" s="25" t="s">
        <v>53</v>
      </c>
      <c r="Q911" s="20" t="s">
        <v>4215</v>
      </c>
      <c r="R911" s="20">
        <v>9808593</v>
      </c>
      <c r="S911" s="25" t="s">
        <v>55</v>
      </c>
      <c r="T911" s="26" t="s">
        <v>56</v>
      </c>
      <c r="U911" s="23" t="s">
        <v>4216</v>
      </c>
      <c r="V911" s="27" t="s">
        <v>78</v>
      </c>
      <c r="W911" s="20" t="s">
        <v>95</v>
      </c>
      <c r="X911" s="20" t="s">
        <v>95</v>
      </c>
      <c r="Y911" s="20" t="s">
        <v>95</v>
      </c>
      <c r="Z911" s="20" t="s">
        <v>60</v>
      </c>
      <c r="AA911" s="20" t="s">
        <v>61</v>
      </c>
      <c r="AB911" s="20" t="s">
        <v>82</v>
      </c>
      <c r="AC911" s="28">
        <v>559.48</v>
      </c>
      <c r="AD911" s="28">
        <f>SUM(BASE[[#This Row],[MONTO DE RENTA ]]*1.16)</f>
        <v>648.99680000000001</v>
      </c>
      <c r="AE911" s="28" t="s">
        <v>83</v>
      </c>
      <c r="AF911" s="28">
        <v>559.48275862068965</v>
      </c>
      <c r="AG911" s="28">
        <v>649</v>
      </c>
      <c r="AI911" s="63">
        <v>44937</v>
      </c>
      <c r="AJ911" s="73">
        <v>46043</v>
      </c>
      <c r="AK9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11" s="30"/>
      <c r="AN911" s="20" t="s">
        <v>99</v>
      </c>
      <c r="AP911" s="20" t="s">
        <v>84</v>
      </c>
      <c r="AQ911" s="20" t="s">
        <v>100</v>
      </c>
    </row>
    <row r="912" spans="1:43" ht="16">
      <c r="A912" s="20">
        <v>5518824607</v>
      </c>
      <c r="B912" s="21">
        <v>1001700</v>
      </c>
      <c r="C912" s="20" t="s">
        <v>4217</v>
      </c>
      <c r="D912" s="20" t="s">
        <v>347</v>
      </c>
      <c r="E912" s="20" t="s">
        <v>4218</v>
      </c>
      <c r="F912" s="20" t="s">
        <v>451</v>
      </c>
      <c r="G912" s="20" t="s">
        <v>47</v>
      </c>
      <c r="H912" s="20" t="s">
        <v>48</v>
      </c>
      <c r="I912" s="20" t="s">
        <v>451</v>
      </c>
      <c r="J912" s="234" t="s">
        <v>4219</v>
      </c>
      <c r="K912" s="22" t="s">
        <v>4219</v>
      </c>
      <c r="L912" s="23" t="s">
        <v>4197</v>
      </c>
      <c r="M912" s="24" t="s">
        <v>7741</v>
      </c>
      <c r="N912" s="23">
        <v>18761003</v>
      </c>
      <c r="O912" s="25" t="s">
        <v>52</v>
      </c>
      <c r="P912" s="25" t="s">
        <v>53</v>
      </c>
      <c r="Q912" s="20" t="s">
        <v>4220</v>
      </c>
      <c r="R912" s="20">
        <v>90182402</v>
      </c>
      <c r="S912" s="25" t="s">
        <v>4221</v>
      </c>
      <c r="T912" s="26" t="s">
        <v>57</v>
      </c>
      <c r="U912" s="23">
        <v>860900062336805</v>
      </c>
      <c r="V912" s="27" t="s">
        <v>57</v>
      </c>
      <c r="W912" s="20" t="s">
        <v>58</v>
      </c>
      <c r="X912" s="20" t="s">
        <v>59</v>
      </c>
      <c r="Y912" s="20" t="s">
        <v>59</v>
      </c>
      <c r="Z912" s="20" t="s">
        <v>60</v>
      </c>
      <c r="AA912" s="20" t="s">
        <v>61</v>
      </c>
      <c r="AB912" s="20" t="s">
        <v>96</v>
      </c>
      <c r="AC912" s="28">
        <v>369.83</v>
      </c>
      <c r="AD912" s="28">
        <f>SUM(BASE[[#This Row],[MONTO DE RENTA ]]*1.16)</f>
        <v>429.00279999999998</v>
      </c>
      <c r="AE912" s="28" t="s">
        <v>63</v>
      </c>
      <c r="AF912" s="28">
        <v>369.82758620689657</v>
      </c>
      <c r="AG912" s="28">
        <v>429</v>
      </c>
      <c r="AH912" s="22" t="s">
        <v>64</v>
      </c>
      <c r="AI912" s="29">
        <v>45703</v>
      </c>
      <c r="AJ912" s="29">
        <v>46433</v>
      </c>
      <c r="AK91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12" s="30"/>
      <c r="AN912" s="20" t="s">
        <v>65</v>
      </c>
      <c r="AP912" s="20" t="s">
        <v>84</v>
      </c>
    </row>
    <row r="913" spans="1:43" ht="16">
      <c r="A913" s="20">
        <v>5514013040</v>
      </c>
      <c r="B913" s="21">
        <v>1010950</v>
      </c>
      <c r="C913" s="20" t="s">
        <v>4212</v>
      </c>
      <c r="D913" s="20" t="s">
        <v>657</v>
      </c>
      <c r="E913" s="20" t="s">
        <v>994</v>
      </c>
      <c r="F913" s="20" t="s">
        <v>248</v>
      </c>
      <c r="G913" s="20" t="s">
        <v>248</v>
      </c>
      <c r="H913" s="20" t="s">
        <v>48</v>
      </c>
      <c r="I913" s="20" t="s">
        <v>248</v>
      </c>
      <c r="J913" s="22" t="s">
        <v>4222</v>
      </c>
      <c r="K913" s="22" t="s">
        <v>4222</v>
      </c>
      <c r="L913" s="23" t="s">
        <v>4197</v>
      </c>
      <c r="M913" s="24" t="s">
        <v>7741</v>
      </c>
      <c r="N913" s="23">
        <v>18761003</v>
      </c>
      <c r="O913" s="25" t="s">
        <v>52</v>
      </c>
      <c r="P913" s="25" t="s">
        <v>53</v>
      </c>
      <c r="Q913" s="20" t="s">
        <v>4223</v>
      </c>
      <c r="R913" s="20">
        <v>90135380</v>
      </c>
      <c r="S913" s="25" t="s">
        <v>4224</v>
      </c>
      <c r="T913" s="65" t="s">
        <v>57</v>
      </c>
      <c r="U913" s="23">
        <v>860900062318613</v>
      </c>
      <c r="V913" s="27" t="s">
        <v>183</v>
      </c>
      <c r="W913" s="20" t="s">
        <v>58</v>
      </c>
      <c r="X913" s="20" t="s">
        <v>59</v>
      </c>
      <c r="Y913" s="20" t="s">
        <v>59</v>
      </c>
      <c r="Z913" s="20" t="s">
        <v>60</v>
      </c>
      <c r="AA913" s="20" t="s">
        <v>61</v>
      </c>
      <c r="AB913" s="20" t="s">
        <v>96</v>
      </c>
      <c r="AC913" s="28">
        <v>369.83</v>
      </c>
      <c r="AD913" s="28">
        <f>SUM(BASE[[#This Row],[MONTO DE RENTA ]]*1.16)</f>
        <v>429.00279999999998</v>
      </c>
      <c r="AE913" s="28" t="s">
        <v>63</v>
      </c>
      <c r="AF913" s="28">
        <v>369.82758620689657</v>
      </c>
      <c r="AG913" s="28">
        <v>429</v>
      </c>
      <c r="AH913" s="22" t="s">
        <v>140</v>
      </c>
      <c r="AI913" s="63">
        <v>45560</v>
      </c>
      <c r="AJ913" s="63">
        <v>46040</v>
      </c>
      <c r="AK9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913" s="20" t="s">
        <v>775</v>
      </c>
      <c r="AM913" s="30"/>
      <c r="AN913" s="20" t="s">
        <v>99</v>
      </c>
      <c r="AP913" s="20" t="s">
        <v>84</v>
      </c>
      <c r="AQ913" s="20" t="s">
        <v>100</v>
      </c>
    </row>
    <row r="914" spans="1:43" ht="16">
      <c r="A914" s="20">
        <v>5514389793</v>
      </c>
      <c r="B914" s="21">
        <v>460361</v>
      </c>
      <c r="C914" s="20" t="s">
        <v>3937</v>
      </c>
      <c r="D914" s="20" t="s">
        <v>172</v>
      </c>
      <c r="E914" s="20" t="s">
        <v>3938</v>
      </c>
      <c r="F914" s="20" t="s">
        <v>257</v>
      </c>
      <c r="G914" s="20" t="s">
        <v>257</v>
      </c>
      <c r="H914" s="20" t="s">
        <v>48</v>
      </c>
      <c r="I914" s="20" t="s">
        <v>257</v>
      </c>
      <c r="J914" s="22" t="s">
        <v>4225</v>
      </c>
      <c r="K914" s="22" t="s">
        <v>4225</v>
      </c>
      <c r="L914" s="23" t="s">
        <v>4226</v>
      </c>
      <c r="M914" s="24" t="s">
        <v>7741</v>
      </c>
      <c r="N914" s="23">
        <v>18746003</v>
      </c>
      <c r="O914" s="25" t="s">
        <v>52</v>
      </c>
      <c r="P914" s="25" t="s">
        <v>53</v>
      </c>
      <c r="Q914" s="20" t="s">
        <v>4227</v>
      </c>
      <c r="R914" s="20">
        <v>90159565</v>
      </c>
      <c r="S914" s="25" t="s">
        <v>1054</v>
      </c>
      <c r="T914" s="26" t="s">
        <v>57</v>
      </c>
      <c r="U914" s="23">
        <v>860478064953711</v>
      </c>
      <c r="V914" s="45" t="s">
        <v>110</v>
      </c>
      <c r="W914" s="20" t="s">
        <v>302</v>
      </c>
      <c r="X914" s="20" t="s">
        <v>303</v>
      </c>
      <c r="Y914" s="20" t="s">
        <v>303</v>
      </c>
      <c r="Z914" s="20" t="s">
        <v>80</v>
      </c>
      <c r="AA914" s="20" t="s">
        <v>81</v>
      </c>
      <c r="AB914" s="20" t="s">
        <v>82</v>
      </c>
      <c r="AC914" s="28">
        <v>559.48</v>
      </c>
      <c r="AD914" s="28">
        <f>SUM(BASE[[#This Row],[MONTO DE RENTA ]]*1.16)</f>
        <v>648.99680000000001</v>
      </c>
      <c r="AE914" s="28" t="s">
        <v>83</v>
      </c>
      <c r="AF914" s="28">
        <v>559.48275862068965</v>
      </c>
      <c r="AG914" s="28">
        <v>649</v>
      </c>
      <c r="AH914" s="22" t="s">
        <v>448</v>
      </c>
      <c r="AI914" s="63">
        <v>45931</v>
      </c>
      <c r="AJ914" s="63">
        <v>46661</v>
      </c>
      <c r="AK914" s="30">
        <f ca="1">IFERROR(IF(BASE[[#This Row],[FECHA DE RENOVACION ]]&gt;TODAY(), DATEDIF(TODAY(),BASE[[#This Row],[FECHA DE RENOVACION ]],"M"), -DATEDIF(BASE[[#This Row],[FECHA DE RENOVACION ]],TODAY(),"M")), "Sin fecha")</f>
        <v>18</v>
      </c>
      <c r="AM914" s="30"/>
      <c r="AN914" s="20" t="s">
        <v>65</v>
      </c>
      <c r="AP914" s="20" t="s">
        <v>84</v>
      </c>
    </row>
    <row r="915" spans="1:43" ht="16">
      <c r="A915" s="20">
        <v>5533078839</v>
      </c>
      <c r="B915" s="21">
        <v>1075076</v>
      </c>
      <c r="C915" s="20" t="s">
        <v>4228</v>
      </c>
      <c r="D915" s="20" t="s">
        <v>1156</v>
      </c>
      <c r="E915" s="20" t="s">
        <v>1546</v>
      </c>
      <c r="F915" s="20" t="s">
        <v>104</v>
      </c>
      <c r="G915" s="20" t="s">
        <v>104</v>
      </c>
      <c r="H915" s="20" t="s">
        <v>48</v>
      </c>
      <c r="I915" s="20" t="s">
        <v>104</v>
      </c>
      <c r="J915" s="32" t="s">
        <v>4229</v>
      </c>
      <c r="K915" s="22" t="s">
        <v>4229</v>
      </c>
      <c r="L915" s="23" t="s">
        <v>4197</v>
      </c>
      <c r="M915" s="24" t="s">
        <v>7741</v>
      </c>
      <c r="N915" s="23">
        <v>18761003</v>
      </c>
      <c r="O915" s="25" t="s">
        <v>52</v>
      </c>
      <c r="P915" s="25" t="s">
        <v>53</v>
      </c>
      <c r="Q915" s="20" t="s">
        <v>4230</v>
      </c>
      <c r="R915" s="20">
        <v>90069512</v>
      </c>
      <c r="S915" s="25" t="s">
        <v>4231</v>
      </c>
      <c r="T915" s="26" t="s">
        <v>57</v>
      </c>
      <c r="U915" s="23">
        <v>860478062373474</v>
      </c>
      <c r="V915" s="45" t="s">
        <v>110</v>
      </c>
      <c r="W915" s="20" t="s">
        <v>302</v>
      </c>
      <c r="X915" s="20" t="s">
        <v>303</v>
      </c>
      <c r="Y915" s="20" t="s">
        <v>303</v>
      </c>
      <c r="Z915" s="20" t="s">
        <v>131</v>
      </c>
      <c r="AA915" s="20" t="s">
        <v>132</v>
      </c>
      <c r="AB915" s="20" t="s">
        <v>82</v>
      </c>
      <c r="AC915" s="28">
        <v>559.48</v>
      </c>
      <c r="AD915" s="28">
        <f>SUM(BASE[[#This Row],[MONTO DE RENTA ]]*1.16)</f>
        <v>648.99680000000001</v>
      </c>
      <c r="AE915" s="28" t="s">
        <v>83</v>
      </c>
      <c r="AF915" s="28">
        <v>559.48275862068965</v>
      </c>
      <c r="AG915" s="28">
        <v>649</v>
      </c>
      <c r="AH915" s="22" t="s">
        <v>64</v>
      </c>
      <c r="AI915" s="29">
        <v>45703</v>
      </c>
      <c r="AJ915" s="29">
        <v>46433</v>
      </c>
      <c r="AK9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15" s="30"/>
      <c r="AN915" s="20" t="s">
        <v>65</v>
      </c>
      <c r="AP915" s="20" t="s">
        <v>84</v>
      </c>
    </row>
    <row r="916" spans="1:43" ht="16">
      <c r="A916" s="20">
        <v>5510117847</v>
      </c>
      <c r="B916" s="49">
        <v>650127</v>
      </c>
      <c r="C916" s="20" t="s">
        <v>3260</v>
      </c>
      <c r="D916" s="20" t="s">
        <v>657</v>
      </c>
      <c r="E916" s="20" t="s">
        <v>45</v>
      </c>
      <c r="F916" s="20" t="s">
        <v>509</v>
      </c>
      <c r="G916" s="20" t="s">
        <v>122</v>
      </c>
      <c r="H916" s="20" t="s">
        <v>48</v>
      </c>
      <c r="I916" s="20" t="s">
        <v>509</v>
      </c>
      <c r="J916" s="32" t="s">
        <v>4232</v>
      </c>
      <c r="K916" s="22" t="s">
        <v>4232</v>
      </c>
      <c r="L916" s="23" t="s">
        <v>4197</v>
      </c>
      <c r="M916" s="24" t="s">
        <v>7741</v>
      </c>
      <c r="N916" s="23">
        <v>18861000</v>
      </c>
      <c r="O916" s="25" t="s">
        <v>52</v>
      </c>
      <c r="P916" s="25" t="s">
        <v>53</v>
      </c>
      <c r="Q916" s="20" t="s">
        <v>4233</v>
      </c>
      <c r="R916" s="20">
        <v>91332783</v>
      </c>
      <c r="S916" s="25" t="s">
        <v>55</v>
      </c>
      <c r="T916" s="26" t="s">
        <v>56</v>
      </c>
      <c r="U916" s="23">
        <v>865356065688475</v>
      </c>
      <c r="V916" s="27" t="s">
        <v>183</v>
      </c>
      <c r="W916" s="20" t="s">
        <v>129</v>
      </c>
      <c r="X916" s="20" t="s">
        <v>130</v>
      </c>
      <c r="Y916" s="20" t="s">
        <v>130</v>
      </c>
      <c r="Z916" s="20" t="s">
        <v>60</v>
      </c>
      <c r="AA916" s="20" t="s">
        <v>61</v>
      </c>
      <c r="AB916" s="20" t="s">
        <v>96</v>
      </c>
      <c r="AC916" s="28">
        <v>369.83</v>
      </c>
      <c r="AD916" s="28">
        <f>SUM(BASE[[#This Row],[MONTO DE RENTA ]]*1.16)</f>
        <v>429.00279999999998</v>
      </c>
      <c r="AE916" s="28" t="s">
        <v>63</v>
      </c>
      <c r="AF916" s="28">
        <v>369.82758620689657</v>
      </c>
      <c r="AG916" s="28">
        <v>429</v>
      </c>
      <c r="AI916" s="63">
        <v>44937</v>
      </c>
      <c r="AJ916" s="73">
        <v>46043</v>
      </c>
      <c r="AK91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16" s="30"/>
      <c r="AN916" s="20" t="s">
        <v>99</v>
      </c>
      <c r="AP916" s="20" t="s">
        <v>84</v>
      </c>
      <c r="AQ916" s="20" t="s">
        <v>100</v>
      </c>
    </row>
    <row r="917" spans="1:43" ht="16">
      <c r="A917" s="20">
        <v>5533078882</v>
      </c>
      <c r="B917" s="21">
        <v>999401</v>
      </c>
      <c r="C917" s="20" t="s">
        <v>1855</v>
      </c>
      <c r="D917" s="20" t="s">
        <v>657</v>
      </c>
      <c r="E917" s="20" t="s">
        <v>405</v>
      </c>
      <c r="F917" s="20" t="s">
        <v>104</v>
      </c>
      <c r="G917" s="20" t="s">
        <v>104</v>
      </c>
      <c r="H917" s="20" t="s">
        <v>48</v>
      </c>
      <c r="I917" s="20" t="s">
        <v>104</v>
      </c>
      <c r="J917" s="22" t="s">
        <v>4234</v>
      </c>
      <c r="K917" s="22" t="s">
        <v>4235</v>
      </c>
      <c r="L917" s="23" t="s">
        <v>4197</v>
      </c>
      <c r="M917" s="24" t="s">
        <v>7741</v>
      </c>
      <c r="N917" s="23">
        <v>18761003</v>
      </c>
      <c r="O917" s="25" t="s">
        <v>52</v>
      </c>
      <c r="P917" s="25" t="s">
        <v>53</v>
      </c>
      <c r="Q917" s="20" t="s">
        <v>4236</v>
      </c>
      <c r="R917" s="20">
        <v>90069526</v>
      </c>
      <c r="S917" s="25" t="s">
        <v>4237</v>
      </c>
      <c r="T917" s="26" t="s">
        <v>57</v>
      </c>
      <c r="U917" s="23">
        <v>860478064065334</v>
      </c>
      <c r="V917" s="45" t="s">
        <v>110</v>
      </c>
      <c r="W917" s="20" t="s">
        <v>302</v>
      </c>
      <c r="X917" s="20" t="s">
        <v>303</v>
      </c>
      <c r="Y917" s="20" t="s">
        <v>303</v>
      </c>
      <c r="Z917" s="20" t="s">
        <v>131</v>
      </c>
      <c r="AA917" s="20" t="s">
        <v>132</v>
      </c>
      <c r="AB917" s="20" t="s">
        <v>82</v>
      </c>
      <c r="AC917" s="28">
        <v>559.48</v>
      </c>
      <c r="AD917" s="28">
        <f>SUM(BASE[[#This Row],[MONTO DE RENTA ]]*1.16)</f>
        <v>648.99680000000001</v>
      </c>
      <c r="AE917" s="28" t="s">
        <v>83</v>
      </c>
      <c r="AF917" s="28">
        <v>559.48275862068965</v>
      </c>
      <c r="AG917" s="28">
        <v>649</v>
      </c>
      <c r="AH917" s="22" t="s">
        <v>64</v>
      </c>
      <c r="AI917" s="63">
        <v>45703</v>
      </c>
      <c r="AJ917" s="63">
        <v>46433</v>
      </c>
      <c r="AK9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17" s="30"/>
      <c r="AN917" s="20" t="s">
        <v>65</v>
      </c>
      <c r="AP917" s="20" t="s">
        <v>84</v>
      </c>
    </row>
    <row r="918" spans="1:43" ht="16">
      <c r="A918" s="20">
        <v>5548323066</v>
      </c>
      <c r="B918" s="49">
        <v>600603</v>
      </c>
      <c r="C918" s="20" t="s">
        <v>2176</v>
      </c>
      <c r="D918" s="20" t="s">
        <v>477</v>
      </c>
      <c r="E918" s="20" t="s">
        <v>172</v>
      </c>
      <c r="F918" s="20" t="s">
        <v>557</v>
      </c>
      <c r="G918" s="20" t="s">
        <v>557</v>
      </c>
      <c r="H918" s="20" t="s">
        <v>48</v>
      </c>
      <c r="I918" s="20" t="s">
        <v>557</v>
      </c>
      <c r="J918" s="32" t="s">
        <v>4238</v>
      </c>
      <c r="K918" s="32" t="s">
        <v>4238</v>
      </c>
      <c r="L918" s="23" t="s">
        <v>4197</v>
      </c>
      <c r="M918" s="24" t="s">
        <v>7741</v>
      </c>
      <c r="N918" s="23">
        <v>18761003</v>
      </c>
      <c r="O918" s="25" t="s">
        <v>52</v>
      </c>
      <c r="P918" s="25" t="s">
        <v>53</v>
      </c>
      <c r="Q918" s="20" t="s">
        <v>4239</v>
      </c>
      <c r="R918" s="20">
        <v>9808589</v>
      </c>
      <c r="S918" s="25" t="s">
        <v>55</v>
      </c>
      <c r="T918" s="26" t="s">
        <v>56</v>
      </c>
      <c r="U918" s="23">
        <v>357654178981349</v>
      </c>
      <c r="V918" s="27" t="s">
        <v>78</v>
      </c>
      <c r="W918" s="20" t="s">
        <v>95</v>
      </c>
      <c r="X918" s="20" t="s">
        <v>95</v>
      </c>
      <c r="Y918" s="20" t="s">
        <v>95</v>
      </c>
      <c r="Z918" s="20" t="s">
        <v>60</v>
      </c>
      <c r="AA918" s="20" t="s">
        <v>61</v>
      </c>
      <c r="AB918" s="20" t="s">
        <v>82</v>
      </c>
      <c r="AC918" s="28">
        <v>559.48</v>
      </c>
      <c r="AD918" s="28">
        <f>SUM(BASE[[#This Row],[MONTO DE RENTA ]]*1.16)</f>
        <v>648.99680000000001</v>
      </c>
      <c r="AE918" s="28" t="s">
        <v>83</v>
      </c>
      <c r="AF918" s="28">
        <v>559.48275862068965</v>
      </c>
      <c r="AG918" s="28">
        <v>649</v>
      </c>
      <c r="AI918" s="63">
        <v>44937</v>
      </c>
      <c r="AJ918" s="73">
        <v>46043</v>
      </c>
      <c r="AK9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18" s="30"/>
      <c r="AN918" s="20" t="s">
        <v>99</v>
      </c>
      <c r="AP918" s="20" t="s">
        <v>84</v>
      </c>
      <c r="AQ918" s="20" t="s">
        <v>100</v>
      </c>
    </row>
    <row r="919" spans="1:43" ht="16">
      <c r="A919" s="20">
        <v>5518824270</v>
      </c>
      <c r="B919" s="21">
        <v>620018</v>
      </c>
      <c r="C919" s="20" t="s">
        <v>1479</v>
      </c>
      <c r="D919" s="20" t="s">
        <v>442</v>
      </c>
      <c r="E919" s="20" t="s">
        <v>4240</v>
      </c>
      <c r="F919" s="20" t="s">
        <v>47</v>
      </c>
      <c r="G919" s="20" t="s">
        <v>47</v>
      </c>
      <c r="H919" s="20" t="s">
        <v>48</v>
      </c>
      <c r="I919" s="20" t="s">
        <v>47</v>
      </c>
      <c r="J919" s="22" t="s">
        <v>4241</v>
      </c>
      <c r="K919" s="22" t="s">
        <v>4241</v>
      </c>
      <c r="L919" s="23" t="s">
        <v>4226</v>
      </c>
      <c r="M919" s="24" t="s">
        <v>7741</v>
      </c>
      <c r="N919" s="23">
        <v>18762003</v>
      </c>
      <c r="O919" s="25" t="s">
        <v>52</v>
      </c>
      <c r="P919" s="25" t="s">
        <v>53</v>
      </c>
      <c r="Q919" s="20" t="s">
        <v>4242</v>
      </c>
      <c r="R919" s="20">
        <v>90182397</v>
      </c>
      <c r="S919" s="25" t="s">
        <v>4243</v>
      </c>
      <c r="T919" s="26" t="s">
        <v>57</v>
      </c>
      <c r="U919" s="23">
        <v>860900062336441</v>
      </c>
      <c r="V919" s="27" t="s">
        <v>57</v>
      </c>
      <c r="W919" s="20" t="s">
        <v>58</v>
      </c>
      <c r="X919" s="20" t="s">
        <v>59</v>
      </c>
      <c r="Y919" s="20" t="s">
        <v>59</v>
      </c>
      <c r="Z919" s="20" t="s">
        <v>60</v>
      </c>
      <c r="AA919" s="20" t="s">
        <v>61</v>
      </c>
      <c r="AB919" s="20" t="s">
        <v>96</v>
      </c>
      <c r="AC919" s="28">
        <v>369.83</v>
      </c>
      <c r="AD919" s="28">
        <f>SUM(BASE[[#This Row],[MONTO DE RENTA ]]*1.16)</f>
        <v>429.00279999999998</v>
      </c>
      <c r="AE919" s="28" t="s">
        <v>63</v>
      </c>
      <c r="AF919" s="28">
        <v>369.82758620689657</v>
      </c>
      <c r="AG919" s="28">
        <v>429</v>
      </c>
      <c r="AH919" s="22" t="s">
        <v>64</v>
      </c>
      <c r="AI919" s="63">
        <v>45703</v>
      </c>
      <c r="AJ919" s="63">
        <v>46433</v>
      </c>
      <c r="AK9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19" s="30"/>
      <c r="AN919" s="20" t="s">
        <v>65</v>
      </c>
      <c r="AP919" s="20" t="s">
        <v>84</v>
      </c>
    </row>
    <row r="920" spans="1:43" ht="16">
      <c r="A920" s="20">
        <v>5514163363</v>
      </c>
      <c r="B920" s="21">
        <v>620063</v>
      </c>
      <c r="C920" s="20" t="s">
        <v>4244</v>
      </c>
      <c r="D920" s="20" t="s">
        <v>1182</v>
      </c>
      <c r="E920" s="20" t="s">
        <v>187</v>
      </c>
      <c r="F920" s="20" t="s">
        <v>451</v>
      </c>
      <c r="G920" s="20" t="s">
        <v>248</v>
      </c>
      <c r="H920" s="20" t="s">
        <v>48</v>
      </c>
      <c r="I920" s="20" t="s">
        <v>451</v>
      </c>
      <c r="J920" s="22" t="s">
        <v>4245</v>
      </c>
      <c r="K920" s="22" t="s">
        <v>4245</v>
      </c>
      <c r="L920" s="23" t="s">
        <v>4226</v>
      </c>
      <c r="M920" s="24" t="s">
        <v>7741</v>
      </c>
      <c r="N920" s="23">
        <v>18762003</v>
      </c>
      <c r="O920" s="25" t="s">
        <v>52</v>
      </c>
      <c r="P920" s="25" t="s">
        <v>53</v>
      </c>
      <c r="Q920" s="20" t="s">
        <v>4246</v>
      </c>
      <c r="R920" s="20">
        <v>90135403</v>
      </c>
      <c r="S920" s="25" t="s">
        <v>4247</v>
      </c>
      <c r="T920" s="26" t="s">
        <v>57</v>
      </c>
      <c r="U920" s="23">
        <v>860900062336383</v>
      </c>
      <c r="V920" s="27" t="s">
        <v>57</v>
      </c>
      <c r="W920" s="20" t="s">
        <v>58</v>
      </c>
      <c r="X920" s="20" t="s">
        <v>59</v>
      </c>
      <c r="Y920" s="20" t="s">
        <v>59</v>
      </c>
      <c r="Z920" s="20" t="s">
        <v>60</v>
      </c>
      <c r="AA920" s="20" t="s">
        <v>61</v>
      </c>
      <c r="AB920" s="20" t="s">
        <v>96</v>
      </c>
      <c r="AC920" s="28">
        <v>369.83</v>
      </c>
      <c r="AD920" s="28">
        <f>SUM(BASE[[#This Row],[MONTO DE RENTA ]]*1.16)</f>
        <v>429.00279999999998</v>
      </c>
      <c r="AE920" s="28" t="s">
        <v>63</v>
      </c>
      <c r="AF920" s="28">
        <v>369.82758620689657</v>
      </c>
      <c r="AG920" s="28">
        <v>429</v>
      </c>
      <c r="AH920" s="22" t="s">
        <v>64</v>
      </c>
      <c r="AI920" s="63">
        <v>45703</v>
      </c>
      <c r="AJ920" s="63">
        <v>46433</v>
      </c>
      <c r="AK9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0" s="30"/>
      <c r="AN920" s="20" t="s">
        <v>65</v>
      </c>
      <c r="AP920" s="20" t="s">
        <v>84</v>
      </c>
    </row>
    <row r="921" spans="1:43" ht="16">
      <c r="A921" s="20">
        <v>5514390007</v>
      </c>
      <c r="B921" s="21">
        <v>1031360</v>
      </c>
      <c r="C921" s="20" t="s">
        <v>3363</v>
      </c>
      <c r="D921" s="20" t="s">
        <v>2664</v>
      </c>
      <c r="E921" s="20" t="s">
        <v>1649</v>
      </c>
      <c r="F921" s="20" t="s">
        <v>104</v>
      </c>
      <c r="G921" s="20" t="s">
        <v>104</v>
      </c>
      <c r="H921" s="20" t="s">
        <v>48</v>
      </c>
      <c r="I921" s="20" t="s">
        <v>104</v>
      </c>
      <c r="J921" s="54" t="s">
        <v>4248</v>
      </c>
      <c r="K921" s="54" t="s">
        <v>4248</v>
      </c>
      <c r="L921" s="23" t="s">
        <v>4226</v>
      </c>
      <c r="M921" s="24" t="s">
        <v>7741</v>
      </c>
      <c r="N921" s="23">
        <v>18762003</v>
      </c>
      <c r="O921" s="25" t="s">
        <v>52</v>
      </c>
      <c r="P921" s="25" t="s">
        <v>53</v>
      </c>
      <c r="Q921" s="20" t="s">
        <v>4249</v>
      </c>
      <c r="R921" s="20">
        <v>90159568</v>
      </c>
      <c r="S921" s="25" t="s">
        <v>4250</v>
      </c>
      <c r="T921" s="81" t="s">
        <v>57</v>
      </c>
      <c r="U921" s="23">
        <v>860478062378721</v>
      </c>
      <c r="V921" s="45" t="s">
        <v>110</v>
      </c>
      <c r="W921" s="20" t="s">
        <v>302</v>
      </c>
      <c r="X921" s="20" t="s">
        <v>303</v>
      </c>
      <c r="Y921" s="20" t="s">
        <v>303</v>
      </c>
      <c r="Z921" s="20" t="s">
        <v>131</v>
      </c>
      <c r="AA921" s="20" t="s">
        <v>132</v>
      </c>
      <c r="AB921" s="20" t="s">
        <v>82</v>
      </c>
      <c r="AC921" s="28">
        <v>559.48</v>
      </c>
      <c r="AD921" s="28">
        <f>SUM(BASE[[#This Row],[MONTO DE RENTA ]]*1.16)</f>
        <v>648.99680000000001</v>
      </c>
      <c r="AE921" s="28" t="s">
        <v>83</v>
      </c>
      <c r="AF921" s="28">
        <v>559.48275862068965</v>
      </c>
      <c r="AG921" s="28">
        <v>649</v>
      </c>
      <c r="AH921" s="22" t="s">
        <v>64</v>
      </c>
      <c r="AI921" s="63">
        <v>45713</v>
      </c>
      <c r="AJ921" s="63">
        <v>46433</v>
      </c>
      <c r="AK9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1" s="30"/>
      <c r="AN921" s="20" t="s">
        <v>65</v>
      </c>
      <c r="AP921" s="20" t="s">
        <v>84</v>
      </c>
    </row>
    <row r="922" spans="1:43" ht="16">
      <c r="A922" s="20">
        <v>5514391051</v>
      </c>
      <c r="B922" s="21">
        <v>600633</v>
      </c>
      <c r="C922" s="20" t="s">
        <v>3411</v>
      </c>
      <c r="D922" s="20" t="s">
        <v>999</v>
      </c>
      <c r="E922" s="20" t="s">
        <v>358</v>
      </c>
      <c r="F922" s="20" t="s">
        <v>257</v>
      </c>
      <c r="G922" s="20" t="s">
        <v>257</v>
      </c>
      <c r="H922" s="20" t="s">
        <v>48</v>
      </c>
      <c r="I922" s="20" t="s">
        <v>257</v>
      </c>
      <c r="J922" s="22" t="s">
        <v>4251</v>
      </c>
      <c r="K922" s="22" t="s">
        <v>4251</v>
      </c>
      <c r="L922" s="23" t="s">
        <v>4252</v>
      </c>
      <c r="M922" s="24" t="s">
        <v>7736</v>
      </c>
      <c r="N922" s="23">
        <v>18763004</v>
      </c>
      <c r="O922" s="25" t="s">
        <v>52</v>
      </c>
      <c r="P922" s="25" t="s">
        <v>53</v>
      </c>
      <c r="Q922" s="20" t="s">
        <v>4253</v>
      </c>
      <c r="R922" s="20">
        <v>90159574</v>
      </c>
      <c r="S922" s="25" t="s">
        <v>4254</v>
      </c>
      <c r="T922" s="26" t="s">
        <v>57</v>
      </c>
      <c r="U922" s="23">
        <v>860478064844308</v>
      </c>
      <c r="V922" s="45" t="s">
        <v>110</v>
      </c>
      <c r="W922" s="20" t="s">
        <v>302</v>
      </c>
      <c r="X922" s="20" t="s">
        <v>303</v>
      </c>
      <c r="Y922" s="20" t="s">
        <v>303</v>
      </c>
      <c r="Z922" s="20" t="s">
        <v>80</v>
      </c>
      <c r="AA922" s="20" t="s">
        <v>81</v>
      </c>
      <c r="AB922" s="20" t="s">
        <v>82</v>
      </c>
      <c r="AC922" s="28">
        <v>559.48</v>
      </c>
      <c r="AD922" s="28">
        <f>SUM(BASE[[#This Row],[MONTO DE RENTA ]]*1.16)</f>
        <v>648.99680000000001</v>
      </c>
      <c r="AE922" s="28" t="s">
        <v>83</v>
      </c>
      <c r="AF922" s="28">
        <v>559.48275862068965</v>
      </c>
      <c r="AG922" s="28">
        <v>649</v>
      </c>
      <c r="AH922" s="22" t="s">
        <v>64</v>
      </c>
      <c r="AI922" s="63">
        <v>45713</v>
      </c>
      <c r="AJ922" s="63">
        <v>46433</v>
      </c>
      <c r="AK9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2" s="30"/>
      <c r="AN922" s="20" t="s">
        <v>65</v>
      </c>
      <c r="AP922" s="20" t="s">
        <v>84</v>
      </c>
    </row>
    <row r="923" spans="1:43" ht="16">
      <c r="A923" s="20">
        <v>5540346646</v>
      </c>
      <c r="B923" s="49">
        <v>620203</v>
      </c>
      <c r="C923" s="20" t="s">
        <v>4183</v>
      </c>
      <c r="D923" s="20" t="s">
        <v>657</v>
      </c>
      <c r="E923" s="20" t="s">
        <v>853</v>
      </c>
      <c r="F923" s="20" t="s">
        <v>122</v>
      </c>
      <c r="G923" s="20" t="s">
        <v>122</v>
      </c>
      <c r="H923" s="20" t="s">
        <v>48</v>
      </c>
      <c r="I923" s="20" t="s">
        <v>122</v>
      </c>
      <c r="J923" s="22" t="s">
        <v>4255</v>
      </c>
      <c r="K923" s="22" t="s">
        <v>4255</v>
      </c>
      <c r="L923" s="23" t="s">
        <v>4226</v>
      </c>
      <c r="M923" s="24" t="s">
        <v>7741</v>
      </c>
      <c r="N923" s="23">
        <v>18762003</v>
      </c>
      <c r="O923" s="25" t="s">
        <v>52</v>
      </c>
      <c r="P923" s="25" t="s">
        <v>53</v>
      </c>
      <c r="Q923" s="20" t="s">
        <v>4256</v>
      </c>
      <c r="R923" s="20">
        <v>91246587</v>
      </c>
      <c r="S923" s="25" t="s">
        <v>55</v>
      </c>
      <c r="T923" s="26" t="s">
        <v>56</v>
      </c>
      <c r="U923" s="23">
        <v>865356065688442</v>
      </c>
      <c r="V923" s="27" t="s">
        <v>183</v>
      </c>
      <c r="W923" s="20" t="s">
        <v>129</v>
      </c>
      <c r="X923" s="20" t="s">
        <v>130</v>
      </c>
      <c r="Y923" s="20" t="s">
        <v>130</v>
      </c>
      <c r="Z923" s="20" t="s">
        <v>60</v>
      </c>
      <c r="AA923" s="20" t="s">
        <v>61</v>
      </c>
      <c r="AB923" s="20" t="s">
        <v>96</v>
      </c>
      <c r="AC923" s="28">
        <v>369.83</v>
      </c>
      <c r="AD923" s="28">
        <f>SUM(BASE[[#This Row],[MONTO DE RENTA ]]*1.16)</f>
        <v>429.00279999999998</v>
      </c>
      <c r="AE923" s="28" t="s">
        <v>63</v>
      </c>
      <c r="AF923" s="28">
        <v>369.82758620689657</v>
      </c>
      <c r="AG923" s="28">
        <v>429</v>
      </c>
      <c r="AI923" s="63">
        <v>44937</v>
      </c>
      <c r="AJ923" s="73">
        <v>46043</v>
      </c>
      <c r="AK92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23" s="30"/>
      <c r="AN923" s="20" t="s">
        <v>99</v>
      </c>
      <c r="AP923" s="20" t="s">
        <v>84</v>
      </c>
      <c r="AQ923" s="20" t="s">
        <v>100</v>
      </c>
    </row>
    <row r="924" spans="1:43" ht="16">
      <c r="A924" s="20">
        <v>5514389076</v>
      </c>
      <c r="B924" s="21">
        <v>620330</v>
      </c>
      <c r="C924" s="20" t="s">
        <v>4257</v>
      </c>
      <c r="D924" s="20" t="s">
        <v>4152</v>
      </c>
      <c r="E924" s="20" t="s">
        <v>845</v>
      </c>
      <c r="F924" s="20" t="s">
        <v>257</v>
      </c>
      <c r="G924" s="20" t="s">
        <v>104</v>
      </c>
      <c r="H924" s="20" t="s">
        <v>48</v>
      </c>
      <c r="I924" s="20" t="s">
        <v>257</v>
      </c>
      <c r="J924" s="22" t="s">
        <v>4258</v>
      </c>
      <c r="K924" s="22" t="s">
        <v>4259</v>
      </c>
      <c r="L924" s="23" t="s">
        <v>4226</v>
      </c>
      <c r="M924" s="24" t="s">
        <v>7741</v>
      </c>
      <c r="N924" s="23">
        <v>18762003</v>
      </c>
      <c r="O924" s="25" t="s">
        <v>52</v>
      </c>
      <c r="P924" s="25" t="s">
        <v>53</v>
      </c>
      <c r="Q924" s="20" t="s">
        <v>4260</v>
      </c>
      <c r="R924" s="20">
        <v>90159360</v>
      </c>
      <c r="S924" s="25" t="s">
        <v>4261</v>
      </c>
      <c r="T924" s="26" t="s">
        <v>57</v>
      </c>
      <c r="U924" s="23">
        <v>860478064061689</v>
      </c>
      <c r="V924" s="45" t="s">
        <v>110</v>
      </c>
      <c r="W924" s="20" t="s">
        <v>302</v>
      </c>
      <c r="X924" s="20" t="s">
        <v>303</v>
      </c>
      <c r="Y924" s="20" t="s">
        <v>303</v>
      </c>
      <c r="Z924" s="20" t="s">
        <v>131</v>
      </c>
      <c r="AA924" s="20" t="s">
        <v>132</v>
      </c>
      <c r="AB924" s="20" t="s">
        <v>82</v>
      </c>
      <c r="AC924" s="28">
        <v>559.48</v>
      </c>
      <c r="AD924" s="28">
        <f>SUM(BASE[[#This Row],[MONTO DE RENTA ]]*1.16)</f>
        <v>648.99680000000001</v>
      </c>
      <c r="AE924" s="28" t="s">
        <v>83</v>
      </c>
      <c r="AF924" s="28">
        <v>559.48275862068965</v>
      </c>
      <c r="AG924" s="28">
        <v>649</v>
      </c>
      <c r="AH924" s="22" t="s">
        <v>64</v>
      </c>
      <c r="AI924" s="63">
        <v>45703</v>
      </c>
      <c r="AJ924" s="63">
        <v>46433</v>
      </c>
      <c r="AK92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4" s="30"/>
      <c r="AN924" s="20" t="s">
        <v>65</v>
      </c>
      <c r="AP924" s="20" t="s">
        <v>84</v>
      </c>
    </row>
    <row r="925" spans="1:43" ht="16">
      <c r="A925" s="20">
        <v>5542680249</v>
      </c>
      <c r="B925" s="49">
        <v>630007</v>
      </c>
      <c r="C925" s="20" t="s">
        <v>4262</v>
      </c>
      <c r="D925" s="20" t="s">
        <v>2538</v>
      </c>
      <c r="E925" s="20" t="s">
        <v>3702</v>
      </c>
      <c r="F925" s="20" t="s">
        <v>70</v>
      </c>
      <c r="G925" s="20" t="s">
        <v>70</v>
      </c>
      <c r="H925" s="20" t="s">
        <v>48</v>
      </c>
      <c r="I925" s="20" t="s">
        <v>70</v>
      </c>
      <c r="J925" s="22" t="s">
        <v>4263</v>
      </c>
      <c r="K925" s="22" t="s">
        <v>4263</v>
      </c>
      <c r="L925" s="23" t="s">
        <v>4226</v>
      </c>
      <c r="M925" s="24" t="s">
        <v>7741</v>
      </c>
      <c r="N925" s="23">
        <v>18724000</v>
      </c>
      <c r="O925" s="25" t="s">
        <v>52</v>
      </c>
      <c r="P925" s="25" t="s">
        <v>53</v>
      </c>
      <c r="Q925" s="20" t="s">
        <v>4264</v>
      </c>
      <c r="R925" s="20">
        <v>9808569</v>
      </c>
      <c r="S925" s="25" t="s">
        <v>55</v>
      </c>
      <c r="T925" s="26" t="s">
        <v>56</v>
      </c>
      <c r="U925" s="23">
        <v>357654179757003</v>
      </c>
      <c r="V925" s="27" t="s">
        <v>78</v>
      </c>
      <c r="W925" s="20" t="s">
        <v>95</v>
      </c>
      <c r="X925" s="20" t="s">
        <v>95</v>
      </c>
      <c r="Y925" s="20" t="s">
        <v>95</v>
      </c>
      <c r="Z925" s="20" t="s">
        <v>60</v>
      </c>
      <c r="AA925" s="20" t="s">
        <v>61</v>
      </c>
      <c r="AB925" s="20" t="s">
        <v>82</v>
      </c>
      <c r="AC925" s="28">
        <v>559.48</v>
      </c>
      <c r="AD925" s="28">
        <f>SUM(BASE[[#This Row],[MONTO DE RENTA ]]*1.16)</f>
        <v>648.99680000000001</v>
      </c>
      <c r="AE925" s="28" t="s">
        <v>83</v>
      </c>
      <c r="AF925" s="28">
        <v>559.48275862068965</v>
      </c>
      <c r="AG925" s="28">
        <v>649</v>
      </c>
      <c r="AI925" s="63">
        <v>44937</v>
      </c>
      <c r="AJ925" s="73">
        <v>46043</v>
      </c>
      <c r="AK9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25" s="30"/>
      <c r="AN925" s="20" t="s">
        <v>99</v>
      </c>
      <c r="AP925" s="20" t="s">
        <v>84</v>
      </c>
      <c r="AQ925" s="20" t="s">
        <v>100</v>
      </c>
    </row>
    <row r="926" spans="1:43" ht="16">
      <c r="A926" s="20">
        <v>5579440608</v>
      </c>
      <c r="B926" s="21">
        <v>1003341</v>
      </c>
      <c r="C926" s="20" t="s">
        <v>4265</v>
      </c>
      <c r="D926" s="20" t="s">
        <v>45</v>
      </c>
      <c r="E926" s="20" t="s">
        <v>1205</v>
      </c>
      <c r="F926" s="20" t="s">
        <v>418</v>
      </c>
      <c r="G926" s="20" t="s">
        <v>47</v>
      </c>
      <c r="H926" s="20" t="s">
        <v>48</v>
      </c>
      <c r="I926" s="20" t="s">
        <v>418</v>
      </c>
      <c r="J926" s="22" t="s">
        <v>4266</v>
      </c>
      <c r="K926" s="22" t="s">
        <v>4266</v>
      </c>
      <c r="L926" s="23" t="s">
        <v>4252</v>
      </c>
      <c r="M926" s="24" t="s">
        <v>7736</v>
      </c>
      <c r="N926" s="23">
        <v>18763004</v>
      </c>
      <c r="O926" s="25" t="s">
        <v>52</v>
      </c>
      <c r="P926" s="25" t="s">
        <v>53</v>
      </c>
      <c r="Q926" s="20" t="s">
        <v>4267</v>
      </c>
      <c r="R926" s="20">
        <v>95328888</v>
      </c>
      <c r="S926" s="25" t="s">
        <v>4268</v>
      </c>
      <c r="T926" s="26" t="s">
        <v>57</v>
      </c>
      <c r="U926" s="23">
        <v>860900062322474</v>
      </c>
      <c r="V926" s="27" t="s">
        <v>57</v>
      </c>
      <c r="W926" s="20" t="s">
        <v>58</v>
      </c>
      <c r="X926" s="20" t="s">
        <v>59</v>
      </c>
      <c r="Y926" s="20" t="s">
        <v>59</v>
      </c>
      <c r="Z926" s="20" t="s">
        <v>60</v>
      </c>
      <c r="AA926" s="20" t="s">
        <v>61</v>
      </c>
      <c r="AB926" s="20" t="s">
        <v>96</v>
      </c>
      <c r="AC926" s="28">
        <v>369.83</v>
      </c>
      <c r="AD926" s="28">
        <f>SUM(BASE[[#This Row],[MONTO DE RENTA ]]*1.16)</f>
        <v>429.00279999999998</v>
      </c>
      <c r="AE926" s="28" t="s">
        <v>63</v>
      </c>
      <c r="AF926" s="28">
        <v>369.82758620689657</v>
      </c>
      <c r="AG926" s="28">
        <v>429</v>
      </c>
      <c r="AH926" s="22" t="s">
        <v>64</v>
      </c>
      <c r="AI926" s="63">
        <v>45703</v>
      </c>
      <c r="AJ926" s="63">
        <v>46433</v>
      </c>
      <c r="AK9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6" s="30"/>
      <c r="AN926" s="20" t="s">
        <v>65</v>
      </c>
      <c r="AP926" s="20" t="s">
        <v>84</v>
      </c>
    </row>
    <row r="927" spans="1:43" ht="16">
      <c r="A927" s="20">
        <v>5514163324</v>
      </c>
      <c r="B927" s="21">
        <v>630068</v>
      </c>
      <c r="C927" s="20" t="s">
        <v>4269</v>
      </c>
      <c r="D927" s="20" t="s">
        <v>4270</v>
      </c>
      <c r="E927" s="20" t="s">
        <v>4271</v>
      </c>
      <c r="F927" s="20" t="s">
        <v>248</v>
      </c>
      <c r="G927" s="20" t="s">
        <v>248</v>
      </c>
      <c r="H927" s="20" t="s">
        <v>48</v>
      </c>
      <c r="I927" s="20" t="s">
        <v>248</v>
      </c>
      <c r="J927" s="22" t="s">
        <v>4272</v>
      </c>
      <c r="K927" s="22" t="s">
        <v>4272</v>
      </c>
      <c r="L927" s="23" t="s">
        <v>4252</v>
      </c>
      <c r="M927" s="24" t="s">
        <v>7736</v>
      </c>
      <c r="N927" s="23">
        <v>18763004</v>
      </c>
      <c r="O927" s="25" t="s">
        <v>52</v>
      </c>
      <c r="P927" s="25" t="s">
        <v>53</v>
      </c>
      <c r="Q927" s="20" t="s">
        <v>4273</v>
      </c>
      <c r="R927" s="20">
        <v>90135402</v>
      </c>
      <c r="S927" s="25" t="s">
        <v>4274</v>
      </c>
      <c r="T927" s="26" t="s">
        <v>57</v>
      </c>
      <c r="U927" s="23">
        <v>860900062322169</v>
      </c>
      <c r="V927" s="27" t="s">
        <v>57</v>
      </c>
      <c r="W927" s="20" t="s">
        <v>58</v>
      </c>
      <c r="X927" s="20" t="s">
        <v>59</v>
      </c>
      <c r="Y927" s="20" t="s">
        <v>59</v>
      </c>
      <c r="Z927" s="20" t="s">
        <v>60</v>
      </c>
      <c r="AA927" s="20" t="s">
        <v>61</v>
      </c>
      <c r="AB927" s="20" t="s">
        <v>96</v>
      </c>
      <c r="AC927" s="28">
        <v>369.83</v>
      </c>
      <c r="AD927" s="28">
        <f>SUM(BASE[[#This Row],[MONTO DE RENTA ]]*1.16)</f>
        <v>429.00279999999998</v>
      </c>
      <c r="AE927" s="28" t="s">
        <v>63</v>
      </c>
      <c r="AF927" s="28">
        <v>369.82758620689657</v>
      </c>
      <c r="AG927" s="28">
        <v>429</v>
      </c>
      <c r="AH927" s="22" t="s">
        <v>64</v>
      </c>
      <c r="AI927" s="29">
        <v>45703</v>
      </c>
      <c r="AJ927" s="29">
        <v>46433</v>
      </c>
      <c r="AK9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7" s="30"/>
      <c r="AN927" s="20" t="s">
        <v>65</v>
      </c>
      <c r="AP927" s="20" t="s">
        <v>84</v>
      </c>
    </row>
    <row r="928" spans="1:43" ht="16">
      <c r="A928" s="20">
        <v>5545886055</v>
      </c>
      <c r="B928" s="161">
        <v>470238</v>
      </c>
      <c r="C928" s="20" t="s">
        <v>67</v>
      </c>
      <c r="D928" s="20" t="s">
        <v>607</v>
      </c>
      <c r="E928" s="20" t="s">
        <v>1516</v>
      </c>
      <c r="F928" s="20" t="s">
        <v>122</v>
      </c>
      <c r="G928" s="20" t="s">
        <v>122</v>
      </c>
      <c r="H928" s="20" t="s">
        <v>48</v>
      </c>
      <c r="I928" s="20" t="s">
        <v>122</v>
      </c>
      <c r="J928" s="22" t="s">
        <v>4275</v>
      </c>
      <c r="K928" s="22" t="s">
        <v>4276</v>
      </c>
      <c r="L928" s="23" t="s">
        <v>3991</v>
      </c>
      <c r="M928" s="24" t="s">
        <v>7736</v>
      </c>
      <c r="N928" s="23">
        <v>18748003</v>
      </c>
      <c r="O928" s="25" t="s">
        <v>52</v>
      </c>
      <c r="P928" s="25" t="s">
        <v>53</v>
      </c>
      <c r="Q928" s="20" t="s">
        <v>4277</v>
      </c>
      <c r="R928" s="20">
        <v>91310502</v>
      </c>
      <c r="S928" s="25" t="s">
        <v>4278</v>
      </c>
      <c r="T928" s="26" t="s">
        <v>57</v>
      </c>
      <c r="U928" s="23">
        <v>865356065672206</v>
      </c>
      <c r="V928" s="27" t="s">
        <v>183</v>
      </c>
      <c r="W928" s="20" t="s">
        <v>129</v>
      </c>
      <c r="X928" s="20" t="s">
        <v>130</v>
      </c>
      <c r="Y928" s="20" t="s">
        <v>130</v>
      </c>
      <c r="Z928" s="20" t="s">
        <v>261</v>
      </c>
      <c r="AA928" s="20" t="s">
        <v>473</v>
      </c>
      <c r="AB928" s="20" t="s">
        <v>262</v>
      </c>
      <c r="AC928" s="28">
        <v>369.83</v>
      </c>
      <c r="AD928" s="28">
        <f>SUM(BASE[[#This Row],[MONTO DE RENTA ]]*1.16)</f>
        <v>429.00279999999998</v>
      </c>
      <c r="AE928" s="28" t="s">
        <v>63</v>
      </c>
      <c r="AF928" s="28">
        <v>369.82758620689657</v>
      </c>
      <c r="AG928" s="28">
        <v>429</v>
      </c>
      <c r="AI928" s="63">
        <v>44937</v>
      </c>
      <c r="AJ928" s="73">
        <v>46043</v>
      </c>
      <c r="AK9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28" s="30"/>
      <c r="AN928" s="20" t="s">
        <v>99</v>
      </c>
      <c r="AP928" s="20" t="s">
        <v>84</v>
      </c>
      <c r="AQ928" s="20" t="s">
        <v>100</v>
      </c>
    </row>
    <row r="929" spans="1:43" ht="16">
      <c r="A929" s="20">
        <v>5514391014</v>
      </c>
      <c r="B929" s="21">
        <v>630501</v>
      </c>
      <c r="C929" s="20" t="s">
        <v>4279</v>
      </c>
      <c r="D929" s="20" t="s">
        <v>4280</v>
      </c>
      <c r="E929" s="20" t="s">
        <v>2795</v>
      </c>
      <c r="F929" s="20" t="s">
        <v>104</v>
      </c>
      <c r="G929" s="20" t="s">
        <v>104</v>
      </c>
      <c r="H929" s="20" t="s">
        <v>48</v>
      </c>
      <c r="I929" s="20" t="s">
        <v>104</v>
      </c>
      <c r="J929" s="22" t="s">
        <v>4281</v>
      </c>
      <c r="K929" s="32" t="s">
        <v>4281</v>
      </c>
      <c r="L929" s="23" t="s">
        <v>4252</v>
      </c>
      <c r="M929" s="24" t="s">
        <v>7736</v>
      </c>
      <c r="N929" s="23">
        <v>18763004</v>
      </c>
      <c r="O929" s="25" t="s">
        <v>52</v>
      </c>
      <c r="P929" s="25" t="s">
        <v>53</v>
      </c>
      <c r="Q929" s="20" t="s">
        <v>4282</v>
      </c>
      <c r="R929" s="20">
        <v>90069626</v>
      </c>
      <c r="S929" s="25" t="s">
        <v>4283</v>
      </c>
      <c r="T929" s="26" t="s">
        <v>57</v>
      </c>
      <c r="U929" s="23">
        <v>860478064865253</v>
      </c>
      <c r="V929" s="45" t="s">
        <v>110</v>
      </c>
      <c r="W929" s="20" t="s">
        <v>302</v>
      </c>
      <c r="X929" s="20" t="s">
        <v>303</v>
      </c>
      <c r="Y929" s="20" t="s">
        <v>303</v>
      </c>
      <c r="Z929" s="20" t="s">
        <v>80</v>
      </c>
      <c r="AA929" s="20" t="s">
        <v>81</v>
      </c>
      <c r="AB929" s="20" t="s">
        <v>82</v>
      </c>
      <c r="AC929" s="28">
        <v>559.48</v>
      </c>
      <c r="AD929" s="28">
        <f>SUM(BASE[[#This Row],[MONTO DE RENTA ]]*1.16)</f>
        <v>648.99680000000001</v>
      </c>
      <c r="AE929" s="28" t="s">
        <v>83</v>
      </c>
      <c r="AF929" s="28">
        <v>559.48275862068965</v>
      </c>
      <c r="AG929" s="28">
        <v>649</v>
      </c>
      <c r="AH929" s="22" t="s">
        <v>64</v>
      </c>
      <c r="AI929" s="63">
        <v>45703</v>
      </c>
      <c r="AJ929" s="63">
        <v>46433</v>
      </c>
      <c r="AK9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29" s="30"/>
      <c r="AN929" s="20" t="s">
        <v>65</v>
      </c>
      <c r="AP929" s="20" t="s">
        <v>84</v>
      </c>
    </row>
    <row r="930" spans="1:43" ht="16">
      <c r="A930" s="20">
        <v>5514389717</v>
      </c>
      <c r="B930" s="21">
        <v>470420</v>
      </c>
      <c r="C930" s="20" t="s">
        <v>4284</v>
      </c>
      <c r="D930" s="20" t="s">
        <v>497</v>
      </c>
      <c r="E930" s="20" t="s">
        <v>2404</v>
      </c>
      <c r="F930" s="20" t="s">
        <v>104</v>
      </c>
      <c r="G930" s="20" t="s">
        <v>104</v>
      </c>
      <c r="H930" s="20" t="s">
        <v>48</v>
      </c>
      <c r="I930" s="20" t="s">
        <v>104</v>
      </c>
      <c r="J930" s="22" t="s">
        <v>4285</v>
      </c>
      <c r="K930" s="22" t="s">
        <v>4285</v>
      </c>
      <c r="L930" s="23" t="s">
        <v>4252</v>
      </c>
      <c r="M930" s="24" t="s">
        <v>7736</v>
      </c>
      <c r="N930" s="23">
        <v>18763004</v>
      </c>
      <c r="O930" s="25" t="s">
        <v>52</v>
      </c>
      <c r="P930" s="25" t="s">
        <v>53</v>
      </c>
      <c r="Q930" s="20" t="s">
        <v>4286</v>
      </c>
      <c r="R930" s="20">
        <v>90069622</v>
      </c>
      <c r="S930" s="25" t="s">
        <v>4287</v>
      </c>
      <c r="T930" s="26" t="s">
        <v>57</v>
      </c>
      <c r="U930" s="23">
        <v>860478064950626</v>
      </c>
      <c r="V930" s="45" t="s">
        <v>110</v>
      </c>
      <c r="W930" s="20" t="s">
        <v>302</v>
      </c>
      <c r="X930" s="20" t="s">
        <v>303</v>
      </c>
      <c r="Y930" s="20" t="s">
        <v>303</v>
      </c>
      <c r="Z930" s="20" t="s">
        <v>80</v>
      </c>
      <c r="AA930" s="20" t="s">
        <v>81</v>
      </c>
      <c r="AB930" s="20" t="s">
        <v>82</v>
      </c>
      <c r="AC930" s="28">
        <v>559.48</v>
      </c>
      <c r="AD930" s="28">
        <f>SUM(BASE[[#This Row],[MONTO DE RENTA ]]*1.16)</f>
        <v>648.99680000000001</v>
      </c>
      <c r="AE930" s="28" t="s">
        <v>83</v>
      </c>
      <c r="AF930" s="28">
        <v>559.48275862068965</v>
      </c>
      <c r="AG930" s="28">
        <v>649</v>
      </c>
      <c r="AH930" s="22" t="s">
        <v>64</v>
      </c>
      <c r="AI930" s="63">
        <v>45703</v>
      </c>
      <c r="AJ930" s="63">
        <v>46433</v>
      </c>
      <c r="AK9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0" s="30"/>
      <c r="AN930" s="20" t="s">
        <v>65</v>
      </c>
      <c r="AP930" s="20" t="s">
        <v>84</v>
      </c>
    </row>
    <row r="931" spans="1:43" s="87" customFormat="1" ht="16">
      <c r="A931" s="87">
        <v>5580218052</v>
      </c>
      <c r="B931" s="235">
        <v>0</v>
      </c>
      <c r="C931" s="87" t="s">
        <v>1653</v>
      </c>
      <c r="D931" s="87" t="s">
        <v>1654</v>
      </c>
      <c r="E931" s="87" t="s">
        <v>1655</v>
      </c>
      <c r="F931" s="87" t="s">
        <v>1656</v>
      </c>
      <c r="G931" s="20" t="s">
        <v>122</v>
      </c>
      <c r="H931" s="87" t="s">
        <v>1657</v>
      </c>
      <c r="I931" s="87" t="s">
        <v>1658</v>
      </c>
      <c r="J931" s="217" t="s">
        <v>4288</v>
      </c>
      <c r="K931" s="217" t="s">
        <v>4288</v>
      </c>
      <c r="L931" s="218" t="s">
        <v>4252</v>
      </c>
      <c r="M931" s="219" t="s">
        <v>7736</v>
      </c>
      <c r="N931" s="218" t="s">
        <v>1661</v>
      </c>
      <c r="O931" s="220" t="s">
        <v>52</v>
      </c>
      <c r="P931" s="25" t="s">
        <v>3857</v>
      </c>
      <c r="Q931" s="87" t="s">
        <v>4289</v>
      </c>
      <c r="R931" s="87">
        <v>90182574</v>
      </c>
      <c r="S931" s="220" t="s">
        <v>4290</v>
      </c>
      <c r="T931" s="221" t="s">
        <v>57</v>
      </c>
      <c r="U931" s="218" t="s">
        <v>193</v>
      </c>
      <c r="V931" s="222" t="s">
        <v>57</v>
      </c>
      <c r="W931" s="87" t="s">
        <v>194</v>
      </c>
      <c r="X931" s="20" t="s">
        <v>194</v>
      </c>
      <c r="Y931" s="20" t="s">
        <v>194</v>
      </c>
      <c r="Z931" s="87" t="s">
        <v>60</v>
      </c>
      <c r="AA931" s="87" t="s">
        <v>61</v>
      </c>
      <c r="AB931" s="87" t="s">
        <v>96</v>
      </c>
      <c r="AC931" s="223">
        <v>369.83</v>
      </c>
      <c r="AD931" s="223">
        <f>SUM(BASE[[#This Row],[MONTO DE RENTA ]]*1.16)</f>
        <v>429.00279999999998</v>
      </c>
      <c r="AE931" s="28" t="s">
        <v>63</v>
      </c>
      <c r="AF931" s="223">
        <v>369.82758620689657</v>
      </c>
      <c r="AG931" s="223">
        <v>429</v>
      </c>
      <c r="AH931" s="217" t="s">
        <v>64</v>
      </c>
      <c r="AI931" s="232">
        <v>45703</v>
      </c>
      <c r="AJ931" s="232">
        <v>46433</v>
      </c>
      <c r="AK931" s="225">
        <f ca="1">IFERROR(IF(BASE[[#This Row],[FECHA DE RENOVACION ]]&gt;TODAY(), DATEDIF(TODAY(),BASE[[#This Row],[FECHA DE RENOVACION ]],"M"), -DATEDIF(BASE[[#This Row],[FECHA DE RENOVACION ]],TODAY(),"M")), "Sin fecha")</f>
        <v>11</v>
      </c>
      <c r="AM931" s="225"/>
      <c r="AN931" s="87" t="s">
        <v>65</v>
      </c>
      <c r="AP931" s="20" t="s">
        <v>84</v>
      </c>
    </row>
    <row r="932" spans="1:43" ht="16">
      <c r="A932" s="20">
        <v>5542680176</v>
      </c>
      <c r="B932" s="49">
        <v>1046422</v>
      </c>
      <c r="C932" s="20" t="s">
        <v>475</v>
      </c>
      <c r="D932" s="20" t="s">
        <v>4291</v>
      </c>
      <c r="E932" s="20" t="s">
        <v>1067</v>
      </c>
      <c r="F932" s="20" t="s">
        <v>70</v>
      </c>
      <c r="G932" s="20" t="s">
        <v>70</v>
      </c>
      <c r="H932" s="20" t="s">
        <v>48</v>
      </c>
      <c r="I932" s="20" t="s">
        <v>70</v>
      </c>
      <c r="J932" s="22" t="s">
        <v>4292</v>
      </c>
      <c r="K932" s="22" t="s">
        <v>4292</v>
      </c>
      <c r="L932" s="23" t="s">
        <v>4252</v>
      </c>
      <c r="M932" s="24" t="s">
        <v>7736</v>
      </c>
      <c r="N932" s="23">
        <v>18763004</v>
      </c>
      <c r="O932" s="25" t="s">
        <v>52</v>
      </c>
      <c r="P932" s="25" t="s">
        <v>53</v>
      </c>
      <c r="Q932" s="20" t="s">
        <v>4293</v>
      </c>
      <c r="R932" s="20">
        <v>9808582</v>
      </c>
      <c r="S932" s="25" t="s">
        <v>4294</v>
      </c>
      <c r="T932" s="26" t="s">
        <v>77</v>
      </c>
      <c r="U932" s="23">
        <v>357654178415082</v>
      </c>
      <c r="V932" s="27" t="s">
        <v>78</v>
      </c>
      <c r="W932" s="20" t="s">
        <v>95</v>
      </c>
      <c r="X932" s="20" t="s">
        <v>95</v>
      </c>
      <c r="Y932" s="20" t="s">
        <v>95</v>
      </c>
      <c r="Z932" s="20" t="s">
        <v>261</v>
      </c>
      <c r="AA932" s="20" t="s">
        <v>473</v>
      </c>
      <c r="AB932" s="20" t="s">
        <v>474</v>
      </c>
      <c r="AC932" s="28">
        <v>559.48</v>
      </c>
      <c r="AD932" s="28">
        <f>SUM(BASE[[#This Row],[MONTO DE RENTA ]]*1.16)</f>
        <v>648.99680000000001</v>
      </c>
      <c r="AE932" s="28" t="s">
        <v>83</v>
      </c>
      <c r="AF932" s="28">
        <v>559.48275862068965</v>
      </c>
      <c r="AG932" s="28">
        <v>649</v>
      </c>
      <c r="AI932" s="63">
        <v>44937</v>
      </c>
      <c r="AJ932" s="73">
        <v>46043</v>
      </c>
      <c r="AK93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32" s="30"/>
      <c r="AN932" s="20" t="s">
        <v>99</v>
      </c>
      <c r="AP932" s="20" t="s">
        <v>84</v>
      </c>
      <c r="AQ932" s="20" t="s">
        <v>100</v>
      </c>
    </row>
    <row r="933" spans="1:43" ht="16">
      <c r="A933" s="20">
        <v>5518825053</v>
      </c>
      <c r="B933" s="21">
        <v>450011</v>
      </c>
      <c r="C933" s="20" t="s">
        <v>4295</v>
      </c>
      <c r="D933" s="20" t="s">
        <v>206</v>
      </c>
      <c r="E933" s="20" t="s">
        <v>477</v>
      </c>
      <c r="F933" s="20" t="s">
        <v>451</v>
      </c>
      <c r="G933" s="20" t="s">
        <v>47</v>
      </c>
      <c r="H933" s="20" t="s">
        <v>48</v>
      </c>
      <c r="I933" s="20" t="s">
        <v>451</v>
      </c>
      <c r="J933" s="22" t="s">
        <v>4296</v>
      </c>
      <c r="K933" s="22" t="s">
        <v>4296</v>
      </c>
      <c r="L933" s="23" t="s">
        <v>4297</v>
      </c>
      <c r="M933" s="24" t="s">
        <v>7741</v>
      </c>
      <c r="N933" s="23">
        <v>18765000</v>
      </c>
      <c r="O933" s="25" t="s">
        <v>52</v>
      </c>
      <c r="P933" s="25" t="s">
        <v>53</v>
      </c>
      <c r="Q933" s="20" t="s">
        <v>4298</v>
      </c>
      <c r="R933" s="20">
        <v>90182477</v>
      </c>
      <c r="S933" s="25" t="s">
        <v>4299</v>
      </c>
      <c r="T933" s="26" t="s">
        <v>57</v>
      </c>
      <c r="U933" s="23">
        <v>860900062323076</v>
      </c>
      <c r="V933" s="27" t="s">
        <v>57</v>
      </c>
      <c r="W933" s="20" t="s">
        <v>58</v>
      </c>
      <c r="X933" s="20" t="s">
        <v>59</v>
      </c>
      <c r="Y933" s="20" t="s">
        <v>59</v>
      </c>
      <c r="Z933" s="20" t="s">
        <v>60</v>
      </c>
      <c r="AA933" s="20" t="s">
        <v>61</v>
      </c>
      <c r="AB933" s="20" t="s">
        <v>96</v>
      </c>
      <c r="AC933" s="28">
        <v>369.83</v>
      </c>
      <c r="AD933" s="28">
        <f>SUM(BASE[[#This Row],[MONTO DE RENTA ]]*1.16)</f>
        <v>429.00279999999998</v>
      </c>
      <c r="AE933" s="28" t="s">
        <v>63</v>
      </c>
      <c r="AF933" s="28">
        <v>369.82758620689657</v>
      </c>
      <c r="AG933" s="28">
        <v>429</v>
      </c>
      <c r="AH933" s="22" t="s">
        <v>64</v>
      </c>
      <c r="AI933" s="63">
        <v>45703</v>
      </c>
      <c r="AJ933" s="63">
        <v>46433</v>
      </c>
      <c r="AK93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3" s="30"/>
      <c r="AN933" s="20" t="s">
        <v>65</v>
      </c>
      <c r="AP933" s="20" t="s">
        <v>84</v>
      </c>
    </row>
    <row r="934" spans="1:43" s="87" customFormat="1" ht="16">
      <c r="A934" s="20">
        <v>5518833922</v>
      </c>
      <c r="B934" s="21">
        <v>998866</v>
      </c>
      <c r="C934" s="20" t="s">
        <v>4300</v>
      </c>
      <c r="D934" s="20" t="s">
        <v>507</v>
      </c>
      <c r="E934" s="20" t="s">
        <v>1104</v>
      </c>
      <c r="F934" s="20" t="s">
        <v>451</v>
      </c>
      <c r="G934" s="20" t="s">
        <v>248</v>
      </c>
      <c r="H934" s="20" t="s">
        <v>48</v>
      </c>
      <c r="I934" s="20" t="s">
        <v>451</v>
      </c>
      <c r="J934" s="54" t="s">
        <v>4301</v>
      </c>
      <c r="K934" s="54" t="s">
        <v>4301</v>
      </c>
      <c r="L934" s="23" t="s">
        <v>4297</v>
      </c>
      <c r="M934" s="24" t="s">
        <v>7741</v>
      </c>
      <c r="N934" s="23">
        <v>18765000</v>
      </c>
      <c r="O934" s="25" t="s">
        <v>52</v>
      </c>
      <c r="P934" s="25" t="s">
        <v>53</v>
      </c>
      <c r="Q934" s="20" t="s">
        <v>4302</v>
      </c>
      <c r="R934" s="20">
        <v>90136564</v>
      </c>
      <c r="S934" s="25" t="s">
        <v>4303</v>
      </c>
      <c r="T934" s="65" t="s">
        <v>57</v>
      </c>
      <c r="U934" s="23">
        <v>865356065730079</v>
      </c>
      <c r="V934" s="27" t="s">
        <v>183</v>
      </c>
      <c r="W934" s="20" t="s">
        <v>129</v>
      </c>
      <c r="X934" s="20" t="s">
        <v>130</v>
      </c>
      <c r="Y934" s="20" t="s">
        <v>130</v>
      </c>
      <c r="Z934" s="20" t="s">
        <v>60</v>
      </c>
      <c r="AA934" s="20" t="s">
        <v>61</v>
      </c>
      <c r="AB934" s="20" t="s">
        <v>96</v>
      </c>
      <c r="AC934" s="28">
        <v>369.83</v>
      </c>
      <c r="AD934" s="28">
        <f>SUM(BASE[[#This Row],[MONTO DE RENTA ]]*1.16)</f>
        <v>429.00279999999998</v>
      </c>
      <c r="AE934" s="28" t="s">
        <v>63</v>
      </c>
      <c r="AF934" s="28">
        <v>369.82758620689657</v>
      </c>
      <c r="AG934" s="28">
        <v>429</v>
      </c>
      <c r="AH934" s="22" t="s">
        <v>448</v>
      </c>
      <c r="AI934" s="63">
        <v>45365</v>
      </c>
      <c r="AJ934" s="63">
        <v>46040</v>
      </c>
      <c r="AK9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934" s="20"/>
      <c r="AM934" s="30"/>
      <c r="AN934" s="20" t="s">
        <v>99</v>
      </c>
      <c r="AO934" s="20"/>
      <c r="AP934" s="20" t="s">
        <v>84</v>
      </c>
      <c r="AQ934" s="20" t="s">
        <v>100</v>
      </c>
    </row>
    <row r="935" spans="1:43" ht="16">
      <c r="A935" s="20">
        <v>5561441006</v>
      </c>
      <c r="B935" s="21">
        <v>650269</v>
      </c>
      <c r="C935" s="20" t="s">
        <v>4304</v>
      </c>
      <c r="D935" s="20" t="s">
        <v>406</v>
      </c>
      <c r="E935" s="20" t="s">
        <v>519</v>
      </c>
      <c r="F935" s="20" t="s">
        <v>122</v>
      </c>
      <c r="G935" s="20" t="s">
        <v>122</v>
      </c>
      <c r="H935" s="20" t="s">
        <v>48</v>
      </c>
      <c r="I935" s="20" t="s">
        <v>122</v>
      </c>
      <c r="J935" s="22" t="s">
        <v>4305</v>
      </c>
      <c r="K935" s="22" t="s">
        <v>4305</v>
      </c>
      <c r="L935" s="23" t="s">
        <v>4297</v>
      </c>
      <c r="M935" s="24" t="s">
        <v>7741</v>
      </c>
      <c r="N935" s="23">
        <v>18765000</v>
      </c>
      <c r="O935" s="25" t="s">
        <v>52</v>
      </c>
      <c r="P935" s="25" t="s">
        <v>53</v>
      </c>
      <c r="Q935" s="20" t="s">
        <v>4306</v>
      </c>
      <c r="R935" s="20">
        <v>90475299</v>
      </c>
      <c r="S935" s="25" t="s">
        <v>4307</v>
      </c>
      <c r="T935" s="26" t="s">
        <v>57</v>
      </c>
      <c r="U935" s="23">
        <v>860900062336714</v>
      </c>
      <c r="V935" s="27" t="s">
        <v>57</v>
      </c>
      <c r="W935" s="20" t="s">
        <v>58</v>
      </c>
      <c r="X935" s="20" t="s">
        <v>59</v>
      </c>
      <c r="Y935" s="20" t="s">
        <v>59</v>
      </c>
      <c r="Z935" s="20" t="s">
        <v>60</v>
      </c>
      <c r="AA935" s="20" t="s">
        <v>61</v>
      </c>
      <c r="AB935" s="20" t="s">
        <v>96</v>
      </c>
      <c r="AC935" s="28">
        <v>369.83</v>
      </c>
      <c r="AD935" s="28">
        <f>SUM(BASE[[#This Row],[MONTO DE RENTA ]]*1.16)</f>
        <v>429.00279999999998</v>
      </c>
      <c r="AE935" s="28" t="s">
        <v>63</v>
      </c>
      <c r="AF935" s="28">
        <v>369.82758620689657</v>
      </c>
      <c r="AG935" s="28">
        <v>429</v>
      </c>
      <c r="AH935" s="22" t="s">
        <v>64</v>
      </c>
      <c r="AI935" s="63">
        <v>45703</v>
      </c>
      <c r="AJ935" s="63">
        <v>46433</v>
      </c>
      <c r="AK9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5" s="30"/>
      <c r="AN935" s="20" t="s">
        <v>65</v>
      </c>
      <c r="AP935" s="20" t="s">
        <v>84</v>
      </c>
    </row>
    <row r="936" spans="1:43" ht="16">
      <c r="A936" s="20">
        <v>5533088848</v>
      </c>
      <c r="B936" s="21">
        <v>610060</v>
      </c>
      <c r="C936" s="20" t="s">
        <v>4308</v>
      </c>
      <c r="D936" s="20" t="s">
        <v>432</v>
      </c>
      <c r="E936" s="20" t="s">
        <v>4081</v>
      </c>
      <c r="F936" s="20" t="s">
        <v>257</v>
      </c>
      <c r="G936" s="20" t="s">
        <v>257</v>
      </c>
      <c r="H936" s="20" t="s">
        <v>48</v>
      </c>
      <c r="I936" s="20" t="s">
        <v>257</v>
      </c>
      <c r="J936" s="22" t="s">
        <v>4309</v>
      </c>
      <c r="K936" s="22" t="s">
        <v>4309</v>
      </c>
      <c r="L936" s="23" t="s">
        <v>4297</v>
      </c>
      <c r="M936" s="24" t="s">
        <v>7741</v>
      </c>
      <c r="N936" s="23">
        <v>18765000</v>
      </c>
      <c r="O936" s="25" t="s">
        <v>52</v>
      </c>
      <c r="P936" s="25" t="s">
        <v>53</v>
      </c>
      <c r="Q936" s="20" t="s">
        <v>4310</v>
      </c>
      <c r="R936" s="20">
        <v>90069533</v>
      </c>
      <c r="S936" s="25" t="s">
        <v>4311</v>
      </c>
      <c r="T936" s="26" t="s">
        <v>57</v>
      </c>
      <c r="U936" s="23">
        <v>860478064066621</v>
      </c>
      <c r="V936" s="45" t="s">
        <v>110</v>
      </c>
      <c r="W936" s="20" t="s">
        <v>302</v>
      </c>
      <c r="X936" s="20" t="s">
        <v>303</v>
      </c>
      <c r="Y936" s="20" t="s">
        <v>303</v>
      </c>
      <c r="Z936" s="20" t="s">
        <v>131</v>
      </c>
      <c r="AA936" s="20" t="s">
        <v>132</v>
      </c>
      <c r="AB936" s="20" t="s">
        <v>82</v>
      </c>
      <c r="AC936" s="28">
        <v>559.48</v>
      </c>
      <c r="AD936" s="28">
        <f>SUM(BASE[[#This Row],[MONTO DE RENTA ]]*1.16)</f>
        <v>648.99680000000001</v>
      </c>
      <c r="AE936" s="28" t="s">
        <v>83</v>
      </c>
      <c r="AF936" s="28">
        <v>559.48275862068965</v>
      </c>
      <c r="AG936" s="28">
        <v>649</v>
      </c>
      <c r="AH936" s="22" t="s">
        <v>64</v>
      </c>
      <c r="AI936" s="63">
        <v>45703</v>
      </c>
      <c r="AJ936" s="63">
        <v>46433</v>
      </c>
      <c r="AK9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6" s="30"/>
      <c r="AN936" s="20" t="s">
        <v>65</v>
      </c>
      <c r="AP936" s="20" t="s">
        <v>84</v>
      </c>
    </row>
    <row r="937" spans="1:43" ht="16">
      <c r="A937" s="20">
        <v>5518730719</v>
      </c>
      <c r="B937" s="21">
        <v>450336</v>
      </c>
      <c r="C937" s="20" t="s">
        <v>4312</v>
      </c>
      <c r="D937" s="20" t="s">
        <v>4313</v>
      </c>
      <c r="E937" s="20" t="s">
        <v>3062</v>
      </c>
      <c r="F937" s="20" t="s">
        <v>104</v>
      </c>
      <c r="G937" s="20" t="s">
        <v>104</v>
      </c>
      <c r="H937" s="20" t="s">
        <v>48</v>
      </c>
      <c r="I937" s="20" t="s">
        <v>104</v>
      </c>
      <c r="J937" s="22" t="s">
        <v>4314</v>
      </c>
      <c r="K937" s="22" t="s">
        <v>4314</v>
      </c>
      <c r="L937" s="23" t="s">
        <v>4297</v>
      </c>
      <c r="M937" s="24" t="s">
        <v>7741</v>
      </c>
      <c r="N937" s="23">
        <v>18765000</v>
      </c>
      <c r="O937" s="25" t="s">
        <v>52</v>
      </c>
      <c r="P937" s="25" t="s">
        <v>53</v>
      </c>
      <c r="Q937" s="20" t="s">
        <v>4315</v>
      </c>
      <c r="R937" s="20">
        <v>90069652</v>
      </c>
      <c r="S937" s="25" t="s">
        <v>4316</v>
      </c>
      <c r="T937" s="26" t="s">
        <v>57</v>
      </c>
      <c r="U937" s="23">
        <v>860478060204630</v>
      </c>
      <c r="V937" s="45" t="s">
        <v>110</v>
      </c>
      <c r="W937" s="20" t="s">
        <v>302</v>
      </c>
      <c r="X937" s="20" t="s">
        <v>303</v>
      </c>
      <c r="Y937" s="20" t="s">
        <v>303</v>
      </c>
      <c r="Z937" s="20" t="s">
        <v>131</v>
      </c>
      <c r="AA937" s="20" t="s">
        <v>132</v>
      </c>
      <c r="AB937" s="20" t="s">
        <v>82</v>
      </c>
      <c r="AC937" s="28">
        <v>559.48</v>
      </c>
      <c r="AD937" s="28">
        <f>SUM(BASE[[#This Row],[MONTO DE RENTA ]]*1.16)</f>
        <v>648.99680000000001</v>
      </c>
      <c r="AE937" s="28" t="s">
        <v>83</v>
      </c>
      <c r="AF937" s="28">
        <v>559.48275862068965</v>
      </c>
      <c r="AG937" s="28">
        <v>649</v>
      </c>
      <c r="AH937" s="22" t="s">
        <v>64</v>
      </c>
      <c r="AI937" s="63">
        <v>45703</v>
      </c>
      <c r="AJ937" s="63">
        <v>46433</v>
      </c>
      <c r="AK9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7" s="30"/>
      <c r="AN937" s="20" t="s">
        <v>65</v>
      </c>
      <c r="AP937" s="20" t="s">
        <v>84</v>
      </c>
    </row>
    <row r="938" spans="1:43" ht="16">
      <c r="A938" s="20">
        <v>5533920592</v>
      </c>
      <c r="B938" s="21">
        <v>1014077</v>
      </c>
      <c r="C938" s="20" t="s">
        <v>4317</v>
      </c>
      <c r="D938" s="20" t="s">
        <v>172</v>
      </c>
      <c r="E938" s="20" t="s">
        <v>340</v>
      </c>
      <c r="F938" s="20" t="s">
        <v>104</v>
      </c>
      <c r="G938" s="20" t="s">
        <v>104</v>
      </c>
      <c r="H938" s="20" t="s">
        <v>48</v>
      </c>
      <c r="I938" s="20" t="s">
        <v>104</v>
      </c>
      <c r="J938" s="22" t="s">
        <v>4318</v>
      </c>
      <c r="K938" s="32" t="s">
        <v>4319</v>
      </c>
      <c r="L938" s="23" t="s">
        <v>4297</v>
      </c>
      <c r="M938" s="24" t="s">
        <v>7741</v>
      </c>
      <c r="N938" s="23">
        <v>18765000</v>
      </c>
      <c r="O938" s="25" t="s">
        <v>52</v>
      </c>
      <c r="P938" s="25" t="s">
        <v>53</v>
      </c>
      <c r="Q938" s="20" t="s">
        <v>4320</v>
      </c>
      <c r="R938" s="20">
        <v>90069555</v>
      </c>
      <c r="S938" s="25" t="s">
        <v>4321</v>
      </c>
      <c r="T938" s="26" t="s">
        <v>57</v>
      </c>
      <c r="U938" s="23">
        <v>860478062097206</v>
      </c>
      <c r="V938" s="45" t="s">
        <v>110</v>
      </c>
      <c r="W938" s="20" t="s">
        <v>302</v>
      </c>
      <c r="X938" s="20" t="s">
        <v>303</v>
      </c>
      <c r="Y938" s="20" t="s">
        <v>303</v>
      </c>
      <c r="Z938" s="20" t="s">
        <v>131</v>
      </c>
      <c r="AA938" s="20" t="s">
        <v>132</v>
      </c>
      <c r="AB938" s="20" t="s">
        <v>82</v>
      </c>
      <c r="AC938" s="28">
        <v>559.48</v>
      </c>
      <c r="AD938" s="28">
        <f>SUM(BASE[[#This Row],[MONTO DE RENTA ]]*1.16)</f>
        <v>648.99680000000001</v>
      </c>
      <c r="AE938" s="28" t="s">
        <v>83</v>
      </c>
      <c r="AF938" s="28">
        <v>559.48275862068965</v>
      </c>
      <c r="AG938" s="28">
        <v>649</v>
      </c>
      <c r="AH938" s="22" t="s">
        <v>64</v>
      </c>
      <c r="AI938" s="63">
        <v>45703</v>
      </c>
      <c r="AJ938" s="63">
        <v>46433</v>
      </c>
      <c r="AK9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38" s="30"/>
      <c r="AN938" s="20" t="s">
        <v>65</v>
      </c>
      <c r="AP938" s="20" t="s">
        <v>84</v>
      </c>
    </row>
    <row r="939" spans="1:43" ht="16">
      <c r="A939" s="20">
        <v>5533403450</v>
      </c>
      <c r="B939" s="147">
        <v>1050667</v>
      </c>
      <c r="C939" s="20" t="s">
        <v>4322</v>
      </c>
      <c r="D939" s="20" t="s">
        <v>2333</v>
      </c>
      <c r="E939" s="20" t="s">
        <v>4323</v>
      </c>
      <c r="F939" s="20" t="s">
        <v>70</v>
      </c>
      <c r="G939" s="20" t="s">
        <v>70</v>
      </c>
      <c r="H939" s="20" t="s">
        <v>48</v>
      </c>
      <c r="I939" s="20" t="s">
        <v>70</v>
      </c>
      <c r="J939" s="22" t="s">
        <v>4324</v>
      </c>
      <c r="K939" s="22" t="s">
        <v>4324</v>
      </c>
      <c r="L939" s="23" t="s">
        <v>4297</v>
      </c>
      <c r="M939" s="24" t="s">
        <v>7741</v>
      </c>
      <c r="N939" s="23">
        <v>18765000</v>
      </c>
      <c r="O939" s="25" t="s">
        <v>52</v>
      </c>
      <c r="P939" s="25" t="s">
        <v>53</v>
      </c>
      <c r="Q939" s="20" t="s">
        <v>4325</v>
      </c>
      <c r="R939" s="20">
        <v>9808590</v>
      </c>
      <c r="S939" s="25" t="s">
        <v>4326</v>
      </c>
      <c r="T939" s="26" t="s">
        <v>77</v>
      </c>
      <c r="U939" s="23">
        <v>357654179527836</v>
      </c>
      <c r="V939" s="27" t="s">
        <v>78</v>
      </c>
      <c r="W939" s="20" t="s">
        <v>95</v>
      </c>
      <c r="X939" s="20" t="s">
        <v>95</v>
      </c>
      <c r="Y939" s="20" t="s">
        <v>95</v>
      </c>
      <c r="Z939" s="20" t="s">
        <v>60</v>
      </c>
      <c r="AA939" s="20" t="s">
        <v>61</v>
      </c>
      <c r="AB939" s="20" t="s">
        <v>82</v>
      </c>
      <c r="AC939" s="28">
        <v>559.48</v>
      </c>
      <c r="AD939" s="28">
        <f>SUM(BASE[[#This Row],[MONTO DE RENTA ]]*1.16)</f>
        <v>648.99680000000001</v>
      </c>
      <c r="AE939" s="28" t="s">
        <v>83</v>
      </c>
      <c r="AF939" s="28">
        <v>559.48275862068965</v>
      </c>
      <c r="AG939" s="28">
        <v>649</v>
      </c>
      <c r="AI939" s="63">
        <v>44937</v>
      </c>
      <c r="AJ939" s="73">
        <v>46043</v>
      </c>
      <c r="AK93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39" s="30"/>
      <c r="AN939" s="20" t="s">
        <v>99</v>
      </c>
      <c r="AP939" s="20" t="s">
        <v>84</v>
      </c>
      <c r="AQ939" s="20" t="s">
        <v>100</v>
      </c>
    </row>
    <row r="940" spans="1:43" ht="16">
      <c r="A940" s="20">
        <v>6241344512</v>
      </c>
      <c r="B940" s="21">
        <v>660647</v>
      </c>
      <c r="C940" s="20" t="s">
        <v>572</v>
      </c>
      <c r="D940" s="20" t="s">
        <v>598</v>
      </c>
      <c r="E940" s="20" t="s">
        <v>4327</v>
      </c>
      <c r="F940" s="20" t="s">
        <v>451</v>
      </c>
      <c r="G940" s="20" t="s">
        <v>47</v>
      </c>
      <c r="H940" s="20" t="s">
        <v>48</v>
      </c>
      <c r="I940" s="20" t="s">
        <v>451</v>
      </c>
      <c r="J940" s="22" t="s">
        <v>4328</v>
      </c>
      <c r="K940" s="22" t="s">
        <v>4328</v>
      </c>
      <c r="L940" s="23" t="s">
        <v>125</v>
      </c>
      <c r="M940" s="24" t="s">
        <v>7740</v>
      </c>
      <c r="N940" s="23">
        <v>18766000</v>
      </c>
      <c r="O940" s="25" t="s">
        <v>126</v>
      </c>
      <c r="P940" s="25" t="s">
        <v>53</v>
      </c>
      <c r="Q940" s="20" t="s">
        <v>4329</v>
      </c>
      <c r="R940" s="20">
        <v>11595656</v>
      </c>
      <c r="S940" s="25" t="s">
        <v>4330</v>
      </c>
      <c r="T940" s="26" t="s">
        <v>57</v>
      </c>
      <c r="U940" s="23">
        <v>860900062736020</v>
      </c>
      <c r="V940" s="27" t="s">
        <v>57</v>
      </c>
      <c r="W940" s="20" t="s">
        <v>58</v>
      </c>
      <c r="X940" s="20" t="s">
        <v>59</v>
      </c>
      <c r="Y940" s="20" t="s">
        <v>59</v>
      </c>
      <c r="Z940" s="20" t="s">
        <v>131</v>
      </c>
      <c r="AA940" s="20" t="s">
        <v>132</v>
      </c>
      <c r="AB940" s="20" t="s">
        <v>96</v>
      </c>
      <c r="AC940" s="28">
        <v>369.83</v>
      </c>
      <c r="AD940" s="28">
        <f>SUM(BASE[[#This Row],[MONTO DE RENTA ]]*1.16)</f>
        <v>429.00279999999998</v>
      </c>
      <c r="AE940" s="28" t="s">
        <v>63</v>
      </c>
      <c r="AF940" s="28">
        <v>369.82758620689657</v>
      </c>
      <c r="AG940" s="28">
        <v>429</v>
      </c>
      <c r="AH940" s="22" t="s">
        <v>448</v>
      </c>
      <c r="AI940" s="63">
        <v>45710</v>
      </c>
      <c r="AJ940" s="63">
        <v>46440</v>
      </c>
      <c r="AK9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0" s="30" t="s">
        <v>4331</v>
      </c>
      <c r="AN940" s="20" t="s">
        <v>65</v>
      </c>
      <c r="AP940" s="20" t="s">
        <v>84</v>
      </c>
    </row>
    <row r="941" spans="1:43" ht="16">
      <c r="A941" s="20">
        <v>6241747129</v>
      </c>
      <c r="B941" s="49">
        <v>995172</v>
      </c>
      <c r="C941" s="20" t="s">
        <v>506</v>
      </c>
      <c r="D941" s="20" t="s">
        <v>4332</v>
      </c>
      <c r="E941" s="20" t="s">
        <v>1221</v>
      </c>
      <c r="F941" s="20" t="s">
        <v>1568</v>
      </c>
      <c r="G941" s="20" t="s">
        <v>1568</v>
      </c>
      <c r="H941" s="20" t="s">
        <v>48</v>
      </c>
      <c r="I941" s="20" t="s">
        <v>1568</v>
      </c>
      <c r="J941" s="22" t="s">
        <v>4333</v>
      </c>
      <c r="K941" s="22" t="s">
        <v>4333</v>
      </c>
      <c r="L941" s="23" t="s">
        <v>125</v>
      </c>
      <c r="M941" s="24" t="s">
        <v>7740</v>
      </c>
      <c r="N941" s="23">
        <v>18766000</v>
      </c>
      <c r="O941" s="25" t="s">
        <v>126</v>
      </c>
      <c r="P941" s="25" t="s">
        <v>53</v>
      </c>
      <c r="Q941" s="20" t="s">
        <v>4334</v>
      </c>
      <c r="R941" s="20">
        <v>12054747</v>
      </c>
      <c r="S941" s="25" t="s">
        <v>55</v>
      </c>
      <c r="T941" s="26" t="s">
        <v>56</v>
      </c>
      <c r="U941" s="23">
        <v>865356065672107</v>
      </c>
      <c r="V941" s="27" t="s">
        <v>183</v>
      </c>
      <c r="W941" s="20" t="s">
        <v>129</v>
      </c>
      <c r="X941" s="20" t="s">
        <v>130</v>
      </c>
      <c r="Y941" s="20" t="s">
        <v>130</v>
      </c>
      <c r="Z941" s="20" t="s">
        <v>60</v>
      </c>
      <c r="AA941" s="20" t="s">
        <v>61</v>
      </c>
      <c r="AB941" s="20" t="s">
        <v>96</v>
      </c>
      <c r="AC941" s="28">
        <v>369.83</v>
      </c>
      <c r="AD941" s="28">
        <f>SUM(BASE[[#This Row],[MONTO DE RENTA ]]*1.16)</f>
        <v>429.00279999999998</v>
      </c>
      <c r="AE941" s="28" t="s">
        <v>63</v>
      </c>
      <c r="AF941" s="28">
        <v>369.82758620689657</v>
      </c>
      <c r="AG941" s="28">
        <v>429</v>
      </c>
      <c r="AI941" s="63">
        <v>44937</v>
      </c>
      <c r="AJ941" s="73">
        <v>46043</v>
      </c>
      <c r="AK9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41" s="30"/>
      <c r="AN941" s="20" t="s">
        <v>99</v>
      </c>
      <c r="AP941" s="20" t="s">
        <v>84</v>
      </c>
      <c r="AQ941" s="20" t="s">
        <v>100</v>
      </c>
    </row>
    <row r="942" spans="1:43" ht="16">
      <c r="A942" s="20">
        <v>6241274249</v>
      </c>
      <c r="B942" s="21">
        <v>660767</v>
      </c>
      <c r="C942" s="20" t="s">
        <v>1855</v>
      </c>
      <c r="D942" s="20" t="s">
        <v>613</v>
      </c>
      <c r="E942" s="20" t="s">
        <v>186</v>
      </c>
      <c r="F942" s="20" t="s">
        <v>483</v>
      </c>
      <c r="G942" s="20" t="s">
        <v>248</v>
      </c>
      <c r="H942" s="20" t="s">
        <v>48</v>
      </c>
      <c r="I942" s="20" t="s">
        <v>483</v>
      </c>
      <c r="J942" s="22" t="s">
        <v>4335</v>
      </c>
      <c r="K942" s="22" t="s">
        <v>4335</v>
      </c>
      <c r="L942" s="23" t="s">
        <v>125</v>
      </c>
      <c r="M942" s="24" t="s">
        <v>7740</v>
      </c>
      <c r="N942" s="23">
        <v>18766000</v>
      </c>
      <c r="O942" s="25" t="s">
        <v>126</v>
      </c>
      <c r="P942" s="25" t="s">
        <v>53</v>
      </c>
      <c r="Q942" s="20" t="s">
        <v>4336</v>
      </c>
      <c r="R942" s="20">
        <v>11587061</v>
      </c>
      <c r="S942" s="25" t="s">
        <v>4337</v>
      </c>
      <c r="T942" s="26" t="s">
        <v>57</v>
      </c>
      <c r="U942" s="23">
        <v>860900062737358</v>
      </c>
      <c r="V942" s="27" t="s">
        <v>57</v>
      </c>
      <c r="W942" s="20" t="s">
        <v>58</v>
      </c>
      <c r="X942" s="20" t="s">
        <v>59</v>
      </c>
      <c r="Y942" s="20" t="s">
        <v>59</v>
      </c>
      <c r="Z942" s="20" t="s">
        <v>131</v>
      </c>
      <c r="AA942" s="20" t="s">
        <v>132</v>
      </c>
      <c r="AB942" s="20" t="s">
        <v>96</v>
      </c>
      <c r="AC942" s="28">
        <v>369.83</v>
      </c>
      <c r="AD942" s="28">
        <f>SUM(BASE[[#This Row],[MONTO DE RENTA ]]*1.16)</f>
        <v>429.00279999999998</v>
      </c>
      <c r="AE942" s="28" t="s">
        <v>63</v>
      </c>
      <c r="AF942" s="28">
        <v>369.82758620689657</v>
      </c>
      <c r="AG942" s="28">
        <v>429</v>
      </c>
      <c r="AH942" s="22" t="s">
        <v>64</v>
      </c>
      <c r="AI942" s="63">
        <v>45703</v>
      </c>
      <c r="AJ942" s="63">
        <v>46433</v>
      </c>
      <c r="AK9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2" s="30"/>
      <c r="AN942" s="20" t="s">
        <v>65</v>
      </c>
      <c r="AP942" s="20" t="s">
        <v>84</v>
      </c>
    </row>
    <row r="943" spans="1:43" ht="16">
      <c r="A943" s="20">
        <v>6241099581</v>
      </c>
      <c r="B943" s="21">
        <v>1003391</v>
      </c>
      <c r="C943" s="20" t="s">
        <v>4338</v>
      </c>
      <c r="D943" s="20" t="s">
        <v>135</v>
      </c>
      <c r="E943" s="20" t="s">
        <v>4339</v>
      </c>
      <c r="F943" s="20" t="s">
        <v>257</v>
      </c>
      <c r="G943" s="20" t="s">
        <v>257</v>
      </c>
      <c r="H943" s="20" t="s">
        <v>48</v>
      </c>
      <c r="I943" s="20" t="s">
        <v>257</v>
      </c>
      <c r="J943" s="22" t="s">
        <v>4340</v>
      </c>
      <c r="K943" s="22" t="s">
        <v>4340</v>
      </c>
      <c r="L943" s="23" t="s">
        <v>125</v>
      </c>
      <c r="M943" s="24" t="s">
        <v>7740</v>
      </c>
      <c r="N943" s="23">
        <v>18766000</v>
      </c>
      <c r="O943" s="25" t="s">
        <v>126</v>
      </c>
      <c r="P943" s="25" t="s">
        <v>53</v>
      </c>
      <c r="Q943" s="20" t="s">
        <v>4341</v>
      </c>
      <c r="R943" s="20">
        <v>11560910</v>
      </c>
      <c r="S943" s="25" t="s">
        <v>4342</v>
      </c>
      <c r="T943" s="26" t="s">
        <v>57</v>
      </c>
      <c r="U943" s="23">
        <v>860478063595331</v>
      </c>
      <c r="V943" s="45" t="s">
        <v>110</v>
      </c>
      <c r="W943" s="20" t="s">
        <v>302</v>
      </c>
      <c r="X943" s="20" t="s">
        <v>303</v>
      </c>
      <c r="Y943" s="20" t="s">
        <v>303</v>
      </c>
      <c r="Z943" s="20" t="s">
        <v>131</v>
      </c>
      <c r="AA943" s="20" t="s">
        <v>132</v>
      </c>
      <c r="AB943" s="20" t="s">
        <v>82</v>
      </c>
      <c r="AC943" s="28">
        <v>559.48</v>
      </c>
      <c r="AD943" s="28">
        <f>SUM(BASE[[#This Row],[MONTO DE RENTA ]]*1.16)</f>
        <v>648.99680000000001</v>
      </c>
      <c r="AE943" s="28" t="s">
        <v>83</v>
      </c>
      <c r="AF943" s="28">
        <v>559.48275862068965</v>
      </c>
      <c r="AG943" s="28">
        <v>649</v>
      </c>
      <c r="AH943" s="22" t="s">
        <v>64</v>
      </c>
      <c r="AI943" s="29">
        <v>45703</v>
      </c>
      <c r="AJ943" s="29">
        <v>46433</v>
      </c>
      <c r="AK9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3" s="30"/>
      <c r="AN943" s="20" t="s">
        <v>65</v>
      </c>
      <c r="AP943" s="20" t="s">
        <v>84</v>
      </c>
    </row>
    <row r="944" spans="1:43" ht="16">
      <c r="A944" s="20">
        <v>6241099659</v>
      </c>
      <c r="B944" s="21">
        <v>1006550</v>
      </c>
      <c r="C944" s="20" t="s">
        <v>4343</v>
      </c>
      <c r="D944" s="20" t="s">
        <v>4344</v>
      </c>
      <c r="E944" s="20" t="s">
        <v>172</v>
      </c>
      <c r="F944" s="20" t="s">
        <v>104</v>
      </c>
      <c r="G944" s="20" t="s">
        <v>104</v>
      </c>
      <c r="H944" s="20" t="s">
        <v>48</v>
      </c>
      <c r="I944" s="20" t="s">
        <v>104</v>
      </c>
      <c r="J944" s="32" t="s">
        <v>4345</v>
      </c>
      <c r="K944" s="32" t="s">
        <v>4345</v>
      </c>
      <c r="L944" s="23" t="s">
        <v>125</v>
      </c>
      <c r="M944" s="24" t="s">
        <v>7740</v>
      </c>
      <c r="N944" s="23">
        <v>18766000</v>
      </c>
      <c r="O944" s="25" t="s">
        <v>126</v>
      </c>
      <c r="P944" s="25" t="s">
        <v>53</v>
      </c>
      <c r="Q944" s="20" t="s">
        <v>4346</v>
      </c>
      <c r="R944" s="20">
        <v>11606211</v>
      </c>
      <c r="S944" s="25" t="s">
        <v>4347</v>
      </c>
      <c r="T944" s="26" t="s">
        <v>57</v>
      </c>
      <c r="U944" s="23">
        <v>860478063598889</v>
      </c>
      <c r="V944" s="45" t="s">
        <v>110</v>
      </c>
      <c r="W944" s="20" t="s">
        <v>302</v>
      </c>
      <c r="X944" s="20" t="s">
        <v>303</v>
      </c>
      <c r="Y944" s="20" t="s">
        <v>303</v>
      </c>
      <c r="Z944" s="20" t="s">
        <v>131</v>
      </c>
      <c r="AA944" s="20" t="s">
        <v>132</v>
      </c>
      <c r="AB944" s="20" t="s">
        <v>82</v>
      </c>
      <c r="AC944" s="28">
        <v>559.48</v>
      </c>
      <c r="AD944" s="28">
        <f>SUM(BASE[[#This Row],[MONTO DE RENTA ]]*1.16)</f>
        <v>648.99680000000001</v>
      </c>
      <c r="AE944" s="28" t="s">
        <v>83</v>
      </c>
      <c r="AF944" s="28">
        <v>559.48275862068965</v>
      </c>
      <c r="AG944" s="28">
        <v>649</v>
      </c>
      <c r="AH944" s="22" t="s">
        <v>64</v>
      </c>
      <c r="AI944" s="63">
        <v>45713</v>
      </c>
      <c r="AJ944" s="63">
        <v>46433</v>
      </c>
      <c r="AK9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4" s="30"/>
      <c r="AN944" s="20" t="s">
        <v>65</v>
      </c>
      <c r="AP944" s="20" t="s">
        <v>84</v>
      </c>
    </row>
    <row r="945" spans="1:43" ht="16">
      <c r="A945" s="20">
        <v>6241099607</v>
      </c>
      <c r="B945" s="21">
        <v>1006550</v>
      </c>
      <c r="C945" s="20" t="s">
        <v>4343</v>
      </c>
      <c r="D945" s="20" t="s">
        <v>4344</v>
      </c>
      <c r="E945" s="20" t="s">
        <v>172</v>
      </c>
      <c r="F945" s="20" t="s">
        <v>104</v>
      </c>
      <c r="G945" s="20" t="s">
        <v>104</v>
      </c>
      <c r="H945" s="20" t="s">
        <v>48</v>
      </c>
      <c r="I945" s="20" t="s">
        <v>104</v>
      </c>
      <c r="J945" s="22" t="s">
        <v>4348</v>
      </c>
      <c r="K945" s="22" t="s">
        <v>4348</v>
      </c>
      <c r="L945" s="23" t="s">
        <v>125</v>
      </c>
      <c r="M945" s="24" t="s">
        <v>7740</v>
      </c>
      <c r="N945" s="23">
        <v>18766000</v>
      </c>
      <c r="O945" s="25" t="s">
        <v>126</v>
      </c>
      <c r="P945" s="25" t="s">
        <v>53</v>
      </c>
      <c r="Q945" s="20" t="s">
        <v>4349</v>
      </c>
      <c r="R945" s="20">
        <v>11591832</v>
      </c>
      <c r="S945" s="25" t="s">
        <v>4350</v>
      </c>
      <c r="T945" s="26" t="s">
        <v>57</v>
      </c>
      <c r="U945" s="23">
        <v>860478064969204</v>
      </c>
      <c r="V945" s="45" t="s">
        <v>110</v>
      </c>
      <c r="W945" s="20" t="s">
        <v>302</v>
      </c>
      <c r="X945" s="20" t="s">
        <v>303</v>
      </c>
      <c r="Y945" s="20" t="s">
        <v>303</v>
      </c>
      <c r="Z945" s="20" t="s">
        <v>131</v>
      </c>
      <c r="AA945" s="20" t="s">
        <v>132</v>
      </c>
      <c r="AB945" s="20" t="s">
        <v>82</v>
      </c>
      <c r="AC945" s="28">
        <v>559.48</v>
      </c>
      <c r="AD945" s="28">
        <f>SUM(BASE[[#This Row],[MONTO DE RENTA ]]*1.16)</f>
        <v>648.99680000000001</v>
      </c>
      <c r="AE945" s="28" t="s">
        <v>83</v>
      </c>
      <c r="AF945" s="28">
        <v>559.48275862068965</v>
      </c>
      <c r="AG945" s="28">
        <v>649</v>
      </c>
      <c r="AH945" s="22" t="s">
        <v>64</v>
      </c>
      <c r="AI945" s="63">
        <v>45713</v>
      </c>
      <c r="AJ945" s="63">
        <v>46433</v>
      </c>
      <c r="AK9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5" s="30"/>
      <c r="AN945" s="20" t="s">
        <v>65</v>
      </c>
      <c r="AP945" s="20" t="s">
        <v>84</v>
      </c>
    </row>
    <row r="946" spans="1:43" ht="16">
      <c r="A946" s="20">
        <v>6241099489</v>
      </c>
      <c r="B946" s="21">
        <v>1014044</v>
      </c>
      <c r="C946" s="20" t="s">
        <v>4351</v>
      </c>
      <c r="D946" s="20" t="s">
        <v>3753</v>
      </c>
      <c r="E946" s="20" t="s">
        <v>1886</v>
      </c>
      <c r="F946" s="20" t="s">
        <v>104</v>
      </c>
      <c r="G946" s="20" t="s">
        <v>104</v>
      </c>
      <c r="H946" s="20" t="s">
        <v>48</v>
      </c>
      <c r="I946" s="20" t="s">
        <v>104</v>
      </c>
      <c r="J946" s="22" t="s">
        <v>4352</v>
      </c>
      <c r="K946" s="22" t="s">
        <v>4352</v>
      </c>
      <c r="L946" s="23" t="s">
        <v>125</v>
      </c>
      <c r="M946" s="24" t="s">
        <v>7740</v>
      </c>
      <c r="N946" s="23">
        <v>18766000</v>
      </c>
      <c r="O946" s="25" t="s">
        <v>126</v>
      </c>
      <c r="P946" s="25" t="s">
        <v>53</v>
      </c>
      <c r="Q946" s="20" t="s">
        <v>4353</v>
      </c>
      <c r="R946" s="20">
        <v>11591794</v>
      </c>
      <c r="S946" s="25" t="s">
        <v>4354</v>
      </c>
      <c r="T946" s="26" t="s">
        <v>57</v>
      </c>
      <c r="U946" s="23">
        <v>860478063598905</v>
      </c>
      <c r="V946" s="45" t="s">
        <v>110</v>
      </c>
      <c r="W946" s="20" t="s">
        <v>302</v>
      </c>
      <c r="X946" s="20" t="s">
        <v>303</v>
      </c>
      <c r="Y946" s="20" t="s">
        <v>303</v>
      </c>
      <c r="Z946" s="20" t="s">
        <v>131</v>
      </c>
      <c r="AA946" s="20" t="s">
        <v>132</v>
      </c>
      <c r="AB946" s="20" t="s">
        <v>82</v>
      </c>
      <c r="AC946" s="28">
        <v>559.48</v>
      </c>
      <c r="AD946" s="28">
        <f>SUM(BASE[[#This Row],[MONTO DE RENTA ]]*1.16)</f>
        <v>648.99680000000001</v>
      </c>
      <c r="AE946" s="28" t="s">
        <v>83</v>
      </c>
      <c r="AF946" s="28">
        <v>559.48275862068965</v>
      </c>
      <c r="AG946" s="28">
        <v>649</v>
      </c>
      <c r="AH946" s="22" t="s">
        <v>64</v>
      </c>
      <c r="AI946" s="63">
        <v>45703</v>
      </c>
      <c r="AJ946" s="63">
        <v>46433</v>
      </c>
      <c r="AK9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6" s="30"/>
      <c r="AN946" s="20" t="s">
        <v>65</v>
      </c>
      <c r="AP946" s="20" t="s">
        <v>84</v>
      </c>
    </row>
    <row r="947" spans="1:43" ht="16">
      <c r="A947" s="20">
        <v>6241574494</v>
      </c>
      <c r="B947" s="49">
        <v>660781</v>
      </c>
      <c r="C947" s="20" t="s">
        <v>4355</v>
      </c>
      <c r="D947" s="20" t="s">
        <v>160</v>
      </c>
      <c r="E947" s="20" t="s">
        <v>756</v>
      </c>
      <c r="F947" s="20" t="s">
        <v>122</v>
      </c>
      <c r="G947" s="20" t="s">
        <v>122</v>
      </c>
      <c r="H947" s="20" t="s">
        <v>48</v>
      </c>
      <c r="I947" s="20" t="s">
        <v>122</v>
      </c>
      <c r="J947" s="22" t="s">
        <v>4356</v>
      </c>
      <c r="K947" s="22" t="s">
        <v>124</v>
      </c>
      <c r="L947" s="23" t="s">
        <v>125</v>
      </c>
      <c r="M947" s="24" t="s">
        <v>7740</v>
      </c>
      <c r="N947" s="23">
        <v>18766000</v>
      </c>
      <c r="O947" s="25" t="s">
        <v>126</v>
      </c>
      <c r="P947" s="25" t="s">
        <v>53</v>
      </c>
      <c r="Q947" s="20" t="s">
        <v>4357</v>
      </c>
      <c r="R947" s="20">
        <v>11759911</v>
      </c>
      <c r="S947" s="25" t="s">
        <v>55</v>
      </c>
      <c r="T947" s="26" t="s">
        <v>56</v>
      </c>
      <c r="U947" s="23">
        <v>865356065670275</v>
      </c>
      <c r="V947" s="27" t="s">
        <v>183</v>
      </c>
      <c r="W947" s="20" t="s">
        <v>129</v>
      </c>
      <c r="X947" s="20" t="s">
        <v>130</v>
      </c>
      <c r="Y947" s="20" t="s">
        <v>130</v>
      </c>
      <c r="Z947" s="20" t="s">
        <v>60</v>
      </c>
      <c r="AA947" s="20" t="s">
        <v>61</v>
      </c>
      <c r="AB947" s="20" t="s">
        <v>96</v>
      </c>
      <c r="AC947" s="28">
        <v>369.83</v>
      </c>
      <c r="AD947" s="28">
        <f>SUM(BASE[[#This Row],[MONTO DE RENTA ]]*1.16)</f>
        <v>429.00279999999998</v>
      </c>
      <c r="AE947" s="28" t="s">
        <v>63</v>
      </c>
      <c r="AF947" s="28">
        <v>369.82758620689657</v>
      </c>
      <c r="AG947" s="28">
        <v>429</v>
      </c>
      <c r="AI947" s="63">
        <v>44937</v>
      </c>
      <c r="AJ947" s="73">
        <v>46043</v>
      </c>
      <c r="AK9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47" s="30"/>
      <c r="AN947" s="20" t="s">
        <v>99</v>
      </c>
      <c r="AP947" s="20" t="s">
        <v>84</v>
      </c>
      <c r="AQ947" s="20" t="s">
        <v>100</v>
      </c>
    </row>
    <row r="948" spans="1:43" ht="16">
      <c r="A948" s="20">
        <v>6241160088</v>
      </c>
      <c r="B948" s="49">
        <v>710115</v>
      </c>
      <c r="C948" s="20" t="s">
        <v>4358</v>
      </c>
      <c r="D948" s="20" t="s">
        <v>937</v>
      </c>
      <c r="E948" s="20" t="s">
        <v>442</v>
      </c>
      <c r="F948" s="20" t="s">
        <v>70</v>
      </c>
      <c r="G948" s="20" t="s">
        <v>70</v>
      </c>
      <c r="H948" s="20" t="s">
        <v>48</v>
      </c>
      <c r="I948" s="20" t="s">
        <v>70</v>
      </c>
      <c r="J948" s="22" t="s">
        <v>4359</v>
      </c>
      <c r="K948" s="54" t="s">
        <v>4359</v>
      </c>
      <c r="L948" s="23" t="s">
        <v>125</v>
      </c>
      <c r="M948" s="24" t="s">
        <v>7740</v>
      </c>
      <c r="N948" s="23">
        <v>18766000</v>
      </c>
      <c r="O948" s="25" t="s">
        <v>126</v>
      </c>
      <c r="P948" s="25" t="s">
        <v>53</v>
      </c>
      <c r="Q948" s="20" t="s">
        <v>4360</v>
      </c>
      <c r="R948" s="20">
        <v>11511437</v>
      </c>
      <c r="S948" s="25" t="s">
        <v>55</v>
      </c>
      <c r="T948" s="44" t="s">
        <v>56</v>
      </c>
      <c r="U948" s="23">
        <v>357894928684047</v>
      </c>
      <c r="V948" s="27" t="s">
        <v>78</v>
      </c>
      <c r="W948" s="20" t="s">
        <v>95</v>
      </c>
      <c r="X948" s="20" t="s">
        <v>95</v>
      </c>
      <c r="Y948" s="20" t="s">
        <v>95</v>
      </c>
      <c r="Z948" s="20" t="s">
        <v>60</v>
      </c>
      <c r="AA948" s="20" t="s">
        <v>61</v>
      </c>
      <c r="AB948" s="20" t="s">
        <v>82</v>
      </c>
      <c r="AC948" s="28">
        <v>559.48</v>
      </c>
      <c r="AD948" s="28">
        <f>SUM(BASE[[#This Row],[MONTO DE RENTA ]]*1.16)</f>
        <v>648.99680000000001</v>
      </c>
      <c r="AE948" s="28" t="s">
        <v>83</v>
      </c>
      <c r="AF948" s="28">
        <v>559.48275862068965</v>
      </c>
      <c r="AG948" s="28">
        <v>649</v>
      </c>
      <c r="AI948" s="63">
        <v>44937</v>
      </c>
      <c r="AJ948" s="73">
        <v>46043</v>
      </c>
      <c r="AK9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48" s="30"/>
      <c r="AN948" s="20" t="s">
        <v>99</v>
      </c>
      <c r="AP948" s="20" t="s">
        <v>84</v>
      </c>
      <c r="AQ948" s="20" t="s">
        <v>100</v>
      </c>
    </row>
    <row r="949" spans="1:43" ht="16">
      <c r="A949" s="20">
        <v>2281873979</v>
      </c>
      <c r="B949" s="21">
        <v>670393</v>
      </c>
      <c r="C949" s="20" t="s">
        <v>4361</v>
      </c>
      <c r="D949" s="20" t="s">
        <v>4362</v>
      </c>
      <c r="E949" s="20" t="s">
        <v>657</v>
      </c>
      <c r="F949" s="20" t="s">
        <v>451</v>
      </c>
      <c r="G949" s="20" t="s">
        <v>47</v>
      </c>
      <c r="H949" s="20" t="s">
        <v>48</v>
      </c>
      <c r="I949" s="20" t="s">
        <v>451</v>
      </c>
      <c r="J949" s="22" t="s">
        <v>4363</v>
      </c>
      <c r="K949" s="22" t="s">
        <v>4363</v>
      </c>
      <c r="L949" s="23" t="s">
        <v>4364</v>
      </c>
      <c r="M949" s="24" t="s">
        <v>7753</v>
      </c>
      <c r="N949" s="23">
        <v>18767000</v>
      </c>
      <c r="O949" s="25" t="s">
        <v>828</v>
      </c>
      <c r="P949" s="25" t="s">
        <v>53</v>
      </c>
      <c r="Q949" s="20" t="s">
        <v>4365</v>
      </c>
      <c r="R949" s="20">
        <v>73085120</v>
      </c>
      <c r="S949" s="25" t="s">
        <v>4366</v>
      </c>
      <c r="T949" s="26" t="s">
        <v>57</v>
      </c>
      <c r="U949" s="23">
        <v>860900062321542</v>
      </c>
      <c r="V949" s="27" t="s">
        <v>57</v>
      </c>
      <c r="W949" s="20" t="s">
        <v>58</v>
      </c>
      <c r="X949" s="20" t="s">
        <v>59</v>
      </c>
      <c r="Y949" s="20" t="s">
        <v>59</v>
      </c>
      <c r="Z949" s="20" t="s">
        <v>60</v>
      </c>
      <c r="AA949" s="20" t="s">
        <v>61</v>
      </c>
      <c r="AB949" s="20" t="s">
        <v>96</v>
      </c>
      <c r="AC949" s="28">
        <v>369.83</v>
      </c>
      <c r="AD949" s="28">
        <f>SUM(BASE[[#This Row],[MONTO DE RENTA ]]*1.16)</f>
        <v>429.00279999999998</v>
      </c>
      <c r="AE949" s="28" t="s">
        <v>63</v>
      </c>
      <c r="AF949" s="28">
        <v>369.82758620689657</v>
      </c>
      <c r="AG949" s="28">
        <v>429</v>
      </c>
      <c r="AH949" s="22" t="s">
        <v>64</v>
      </c>
      <c r="AI949" s="63">
        <v>45703</v>
      </c>
      <c r="AJ949" s="63">
        <v>46433</v>
      </c>
      <c r="AK9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49" s="30"/>
      <c r="AN949" s="20" t="s">
        <v>65</v>
      </c>
      <c r="AP949" s="20" t="s">
        <v>84</v>
      </c>
    </row>
    <row r="950" spans="1:43" ht="16">
      <c r="A950" s="20">
        <v>2281850123</v>
      </c>
      <c r="B950" s="48">
        <v>670484</v>
      </c>
      <c r="C950" s="20" t="s">
        <v>4367</v>
      </c>
      <c r="D950" s="20" t="s">
        <v>711</v>
      </c>
      <c r="E950" s="20" t="s">
        <v>657</v>
      </c>
      <c r="F950" s="20" t="s">
        <v>451</v>
      </c>
      <c r="G950" s="20" t="s">
        <v>248</v>
      </c>
      <c r="H950" s="20" t="s">
        <v>48</v>
      </c>
      <c r="I950" s="20" t="s">
        <v>451</v>
      </c>
      <c r="J950" s="22" t="s">
        <v>4368</v>
      </c>
      <c r="K950" s="22" t="s">
        <v>4368</v>
      </c>
      <c r="L950" s="23" t="s">
        <v>4364</v>
      </c>
      <c r="M950" s="24" t="s">
        <v>7753</v>
      </c>
      <c r="N950" s="23">
        <v>18767000</v>
      </c>
      <c r="O950" s="25" t="s">
        <v>828</v>
      </c>
      <c r="P950" s="25" t="s">
        <v>53</v>
      </c>
      <c r="Q950" s="20" t="s">
        <v>4369</v>
      </c>
      <c r="R950" s="20">
        <v>73065651</v>
      </c>
      <c r="S950" s="25" t="s">
        <v>4370</v>
      </c>
      <c r="T950" s="26" t="s">
        <v>57</v>
      </c>
      <c r="U950" s="23">
        <v>860900062321898</v>
      </c>
      <c r="V950" s="27" t="s">
        <v>57</v>
      </c>
      <c r="W950" s="20" t="s">
        <v>58</v>
      </c>
      <c r="X950" s="20" t="s">
        <v>59</v>
      </c>
      <c r="Y950" s="20" t="s">
        <v>59</v>
      </c>
      <c r="Z950" s="20" t="s">
        <v>60</v>
      </c>
      <c r="AA950" s="20" t="s">
        <v>61</v>
      </c>
      <c r="AB950" s="20" t="s">
        <v>96</v>
      </c>
      <c r="AC950" s="28">
        <v>369.83</v>
      </c>
      <c r="AD950" s="28">
        <f>SUM(BASE[[#This Row],[MONTO DE RENTA ]]*1.16)</f>
        <v>429.00279999999998</v>
      </c>
      <c r="AE950" s="28" t="s">
        <v>63</v>
      </c>
      <c r="AF950" s="28">
        <v>369.82758620689657</v>
      </c>
      <c r="AG950" s="28">
        <v>429</v>
      </c>
      <c r="AH950" s="22" t="s">
        <v>64</v>
      </c>
      <c r="AI950" s="63">
        <v>45703</v>
      </c>
      <c r="AJ950" s="63">
        <v>46433</v>
      </c>
      <c r="AK95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0" s="30"/>
      <c r="AN950" s="20" t="s">
        <v>65</v>
      </c>
      <c r="AP950" s="20" t="s">
        <v>84</v>
      </c>
    </row>
    <row r="951" spans="1:43" ht="16">
      <c r="A951" s="20">
        <v>2281301215</v>
      </c>
      <c r="B951" s="21">
        <v>670260</v>
      </c>
      <c r="C951" s="20" t="s">
        <v>506</v>
      </c>
      <c r="D951" s="20" t="s">
        <v>607</v>
      </c>
      <c r="E951" s="20" t="s">
        <v>347</v>
      </c>
      <c r="F951" s="20" t="s">
        <v>257</v>
      </c>
      <c r="G951" s="20" t="s">
        <v>257</v>
      </c>
      <c r="H951" s="20" t="s">
        <v>48</v>
      </c>
      <c r="I951" s="20" t="s">
        <v>257</v>
      </c>
      <c r="J951" s="22" t="s">
        <v>4371</v>
      </c>
      <c r="K951" s="22" t="s">
        <v>4371</v>
      </c>
      <c r="L951" s="25" t="s">
        <v>4364</v>
      </c>
      <c r="M951" s="24" t="s">
        <v>7753</v>
      </c>
      <c r="N951" s="23">
        <v>18767000</v>
      </c>
      <c r="O951" s="25" t="s">
        <v>828</v>
      </c>
      <c r="P951" s="25" t="s">
        <v>53</v>
      </c>
      <c r="Q951" s="20" t="s">
        <v>4372</v>
      </c>
      <c r="R951" s="20">
        <v>73076060</v>
      </c>
      <c r="S951" s="25" t="s">
        <v>4373</v>
      </c>
      <c r="T951" s="26" t="s">
        <v>57</v>
      </c>
      <c r="U951" s="23">
        <v>860478063560814</v>
      </c>
      <c r="V951" s="45" t="s">
        <v>110</v>
      </c>
      <c r="W951" s="20" t="s">
        <v>302</v>
      </c>
      <c r="X951" s="20" t="s">
        <v>303</v>
      </c>
      <c r="Y951" s="20" t="s">
        <v>303</v>
      </c>
      <c r="Z951" s="20" t="s">
        <v>80</v>
      </c>
      <c r="AA951" s="20" t="s">
        <v>81</v>
      </c>
      <c r="AB951" s="20" t="s">
        <v>82</v>
      </c>
      <c r="AC951" s="28">
        <v>559.48</v>
      </c>
      <c r="AD951" s="28">
        <f>SUM(BASE[[#This Row],[MONTO DE RENTA ]]*1.16)</f>
        <v>648.99680000000001</v>
      </c>
      <c r="AE951" s="28" t="s">
        <v>83</v>
      </c>
      <c r="AF951" s="28">
        <v>559.48275862068965</v>
      </c>
      <c r="AG951" s="28">
        <v>649</v>
      </c>
      <c r="AH951" s="22" t="s">
        <v>64</v>
      </c>
      <c r="AI951" s="63">
        <v>45703</v>
      </c>
      <c r="AJ951" s="63">
        <v>46433</v>
      </c>
      <c r="AK9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1" s="30"/>
      <c r="AN951" s="20" t="s">
        <v>65</v>
      </c>
      <c r="AP951" s="20" t="s">
        <v>84</v>
      </c>
    </row>
    <row r="952" spans="1:43" ht="16">
      <c r="A952" s="20">
        <v>2281305507</v>
      </c>
      <c r="B952" s="21">
        <v>670047</v>
      </c>
      <c r="C952" s="20" t="s">
        <v>4374</v>
      </c>
      <c r="D952" s="20" t="s">
        <v>1017</v>
      </c>
      <c r="E952" s="20" t="s">
        <v>4375</v>
      </c>
      <c r="F952" s="20" t="s">
        <v>104</v>
      </c>
      <c r="G952" s="20" t="s">
        <v>104</v>
      </c>
      <c r="H952" s="20" t="s">
        <v>48</v>
      </c>
      <c r="I952" s="20" t="s">
        <v>104</v>
      </c>
      <c r="J952" s="22" t="s">
        <v>4376</v>
      </c>
      <c r="K952" s="22" t="s">
        <v>4376</v>
      </c>
      <c r="L952" s="23" t="s">
        <v>4364</v>
      </c>
      <c r="M952" s="24" t="s">
        <v>7753</v>
      </c>
      <c r="N952" s="23">
        <v>18767000</v>
      </c>
      <c r="O952" s="25" t="s">
        <v>828</v>
      </c>
      <c r="P952" s="25" t="s">
        <v>53</v>
      </c>
      <c r="Q952" s="20" t="s">
        <v>4377</v>
      </c>
      <c r="R952" s="20">
        <v>73076075</v>
      </c>
      <c r="S952" s="25" t="s">
        <v>4378</v>
      </c>
      <c r="T952" s="26" t="s">
        <v>57</v>
      </c>
      <c r="U952" s="23">
        <v>860478064978585</v>
      </c>
      <c r="V952" s="45" t="s">
        <v>110</v>
      </c>
      <c r="W952" s="20" t="s">
        <v>302</v>
      </c>
      <c r="X952" s="20" t="s">
        <v>303</v>
      </c>
      <c r="Y952" s="20" t="s">
        <v>303</v>
      </c>
      <c r="Z952" s="20" t="s">
        <v>80</v>
      </c>
      <c r="AA952" s="20" t="s">
        <v>81</v>
      </c>
      <c r="AB952" s="20" t="s">
        <v>82</v>
      </c>
      <c r="AC952" s="28">
        <v>559.48</v>
      </c>
      <c r="AD952" s="28">
        <f>SUM(BASE[[#This Row],[MONTO DE RENTA ]]*1.16)</f>
        <v>648.99680000000001</v>
      </c>
      <c r="AE952" s="28" t="s">
        <v>83</v>
      </c>
      <c r="AF952" s="28">
        <v>559.48275862068965</v>
      </c>
      <c r="AG952" s="28">
        <v>649</v>
      </c>
      <c r="AH952" s="22" t="s">
        <v>64</v>
      </c>
      <c r="AI952" s="63">
        <v>45703</v>
      </c>
      <c r="AJ952" s="63">
        <v>46433</v>
      </c>
      <c r="AK9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2" s="30"/>
      <c r="AN952" s="20" t="s">
        <v>65</v>
      </c>
      <c r="AP952" s="20" t="s">
        <v>84</v>
      </c>
    </row>
    <row r="953" spans="1:43" ht="16">
      <c r="A953" s="20">
        <v>2281802740</v>
      </c>
      <c r="B953" s="49">
        <v>670404</v>
      </c>
      <c r="C953" s="20" t="s">
        <v>964</v>
      </c>
      <c r="D953" s="20" t="s">
        <v>2664</v>
      </c>
      <c r="E953" s="20" t="s">
        <v>4379</v>
      </c>
      <c r="F953" s="20" t="s">
        <v>104</v>
      </c>
      <c r="G953" s="20" t="s">
        <v>104</v>
      </c>
      <c r="H953" s="20" t="s">
        <v>48</v>
      </c>
      <c r="I953" s="20" t="s">
        <v>104</v>
      </c>
      <c r="J953" s="22" t="s">
        <v>4380</v>
      </c>
      <c r="K953" s="22" t="s">
        <v>4380</v>
      </c>
      <c r="L953" s="23" t="s">
        <v>4364</v>
      </c>
      <c r="M953" s="24" t="s">
        <v>7753</v>
      </c>
      <c r="N953" s="23">
        <v>18767000</v>
      </c>
      <c r="O953" s="25" t="s">
        <v>828</v>
      </c>
      <c r="P953" s="25" t="s">
        <v>53</v>
      </c>
      <c r="Q953" s="20" t="s">
        <v>4381</v>
      </c>
      <c r="R953" s="20">
        <v>74971605</v>
      </c>
      <c r="S953" s="25" t="s">
        <v>55</v>
      </c>
      <c r="T953" s="67" t="s">
        <v>56</v>
      </c>
      <c r="U953" s="23">
        <v>867353050201636</v>
      </c>
      <c r="V953" s="45" t="s">
        <v>110</v>
      </c>
      <c r="W953" s="20" t="s">
        <v>149</v>
      </c>
      <c r="X953" s="20" t="s">
        <v>150</v>
      </c>
      <c r="Y953" s="20" t="s">
        <v>150</v>
      </c>
      <c r="Z953" s="20" t="s">
        <v>60</v>
      </c>
      <c r="AA953" s="20" t="s">
        <v>61</v>
      </c>
      <c r="AB953" s="20" t="s">
        <v>96</v>
      </c>
      <c r="AC953" s="28">
        <v>369.83</v>
      </c>
      <c r="AD953" s="28">
        <f>SUM(BASE[[#This Row],[MONTO DE RENTA ]]*1.16)</f>
        <v>429.00279999999998</v>
      </c>
      <c r="AE953" s="28" t="s">
        <v>97</v>
      </c>
      <c r="AF953" s="28">
        <v>473.27586206896552</v>
      </c>
      <c r="AG953" s="28">
        <v>549</v>
      </c>
      <c r="AH953" s="145"/>
      <c r="AI953" s="68">
        <v>45133</v>
      </c>
      <c r="AJ953" s="68">
        <v>46024</v>
      </c>
      <c r="AK953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953" s="30"/>
      <c r="AN953" s="20" t="s">
        <v>99</v>
      </c>
      <c r="AP953" s="20" t="s">
        <v>66</v>
      </c>
      <c r="AQ953" s="20" t="s">
        <v>100</v>
      </c>
    </row>
    <row r="954" spans="1:43" ht="16">
      <c r="A954" s="20">
        <v>2281301839</v>
      </c>
      <c r="B954" s="21">
        <v>670332</v>
      </c>
      <c r="C954" s="20" t="s">
        <v>4382</v>
      </c>
      <c r="D954" s="20" t="s">
        <v>172</v>
      </c>
      <c r="E954" s="20">
        <v>0</v>
      </c>
      <c r="F954" s="20" t="s">
        <v>104</v>
      </c>
      <c r="G954" s="20" t="s">
        <v>104</v>
      </c>
      <c r="H954" s="20" t="s">
        <v>48</v>
      </c>
      <c r="I954" s="20" t="s">
        <v>104</v>
      </c>
      <c r="J954" s="22" t="s">
        <v>4383</v>
      </c>
      <c r="K954" s="22" t="s">
        <v>4383</v>
      </c>
      <c r="L954" s="25" t="s">
        <v>4364</v>
      </c>
      <c r="M954" s="24" t="s">
        <v>7753</v>
      </c>
      <c r="N954" s="23">
        <v>18767000</v>
      </c>
      <c r="O954" s="25" t="s">
        <v>828</v>
      </c>
      <c r="P954" s="25" t="s">
        <v>53</v>
      </c>
      <c r="Q954" s="20" t="s">
        <v>4384</v>
      </c>
      <c r="R954" s="20">
        <v>73076071</v>
      </c>
      <c r="S954" s="25" t="s">
        <v>4385</v>
      </c>
      <c r="T954" s="26" t="s">
        <v>57</v>
      </c>
      <c r="U954" s="23">
        <v>860478060023642</v>
      </c>
      <c r="V954" s="45" t="s">
        <v>110</v>
      </c>
      <c r="W954" s="20" t="s">
        <v>302</v>
      </c>
      <c r="X954" s="20" t="s">
        <v>303</v>
      </c>
      <c r="Y954" s="20" t="s">
        <v>303</v>
      </c>
      <c r="Z954" s="20" t="s">
        <v>80</v>
      </c>
      <c r="AA954" s="20" t="s">
        <v>81</v>
      </c>
      <c r="AB954" s="20" t="s">
        <v>82</v>
      </c>
      <c r="AC954" s="28">
        <v>559.48</v>
      </c>
      <c r="AD954" s="28">
        <f>SUM(BASE[[#This Row],[MONTO DE RENTA ]]*1.16)</f>
        <v>648.99680000000001</v>
      </c>
      <c r="AE954" s="28" t="s">
        <v>83</v>
      </c>
      <c r="AF954" s="28">
        <v>559.48275862068965</v>
      </c>
      <c r="AG954" s="28">
        <v>649</v>
      </c>
      <c r="AH954" s="22" t="s">
        <v>64</v>
      </c>
      <c r="AI954" s="63">
        <v>45703</v>
      </c>
      <c r="AJ954" s="63">
        <v>46433</v>
      </c>
      <c r="AK9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4" s="30"/>
      <c r="AN954" s="20" t="s">
        <v>65</v>
      </c>
      <c r="AP954" s="20" t="s">
        <v>84</v>
      </c>
    </row>
    <row r="955" spans="1:43" ht="16">
      <c r="A955" s="20">
        <v>2281795737</v>
      </c>
      <c r="B955" s="49">
        <v>670233</v>
      </c>
      <c r="C955" s="20" t="s">
        <v>4386</v>
      </c>
      <c r="D955" s="20" t="s">
        <v>4387</v>
      </c>
      <c r="E955" s="20" t="s">
        <v>657</v>
      </c>
      <c r="F955" s="20" t="s">
        <v>122</v>
      </c>
      <c r="G955" s="20" t="s">
        <v>122</v>
      </c>
      <c r="H955" s="20" t="s">
        <v>48</v>
      </c>
      <c r="I955" s="20" t="s">
        <v>122</v>
      </c>
      <c r="J955" s="22" t="s">
        <v>4388</v>
      </c>
      <c r="K955" s="22" t="s">
        <v>4389</v>
      </c>
      <c r="L955" s="23" t="s">
        <v>4364</v>
      </c>
      <c r="M955" s="24" t="s">
        <v>7753</v>
      </c>
      <c r="N955" s="23">
        <v>18767000</v>
      </c>
      <c r="O955" s="25" t="s">
        <v>828</v>
      </c>
      <c r="P955" s="25" t="s">
        <v>53</v>
      </c>
      <c r="Q955" s="20" t="s">
        <v>4390</v>
      </c>
      <c r="R955" s="20">
        <v>73493343</v>
      </c>
      <c r="S955" s="25" t="s">
        <v>55</v>
      </c>
      <c r="T955" s="26" t="s">
        <v>56</v>
      </c>
      <c r="U955" s="23">
        <v>865356065673477</v>
      </c>
      <c r="V955" s="27" t="s">
        <v>183</v>
      </c>
      <c r="W955" s="20" t="s">
        <v>129</v>
      </c>
      <c r="X955" s="20" t="s">
        <v>130</v>
      </c>
      <c r="Y955" s="20" t="s">
        <v>130</v>
      </c>
      <c r="Z955" s="20" t="s">
        <v>60</v>
      </c>
      <c r="AA955" s="20" t="s">
        <v>61</v>
      </c>
      <c r="AB955" s="20" t="s">
        <v>96</v>
      </c>
      <c r="AC955" s="28">
        <v>369.83</v>
      </c>
      <c r="AD955" s="28">
        <f>SUM(BASE[[#This Row],[MONTO DE RENTA ]]*1.16)</f>
        <v>429.00279999999998</v>
      </c>
      <c r="AE955" s="28" t="s">
        <v>63</v>
      </c>
      <c r="AF955" s="28">
        <v>369.82758620689657</v>
      </c>
      <c r="AG955" s="28">
        <v>429</v>
      </c>
      <c r="AI955" s="63">
        <v>44937</v>
      </c>
      <c r="AJ955" s="63">
        <v>46043</v>
      </c>
      <c r="AK9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55" s="30"/>
      <c r="AN955" s="20" t="s">
        <v>99</v>
      </c>
      <c r="AP955" s="20" t="s">
        <v>84</v>
      </c>
      <c r="AQ955" s="20" t="s">
        <v>100</v>
      </c>
    </row>
    <row r="956" spans="1:43" ht="16">
      <c r="A956" s="20">
        <v>2281319418</v>
      </c>
      <c r="B956" s="49">
        <v>1001144</v>
      </c>
      <c r="C956" s="20" t="s">
        <v>1855</v>
      </c>
      <c r="D956" s="20" t="s">
        <v>4391</v>
      </c>
      <c r="E956" s="20" t="s">
        <v>598</v>
      </c>
      <c r="F956" s="20" t="s">
        <v>483</v>
      </c>
      <c r="G956" s="20" t="s">
        <v>483</v>
      </c>
      <c r="H956" s="20" t="s">
        <v>48</v>
      </c>
      <c r="I956" s="20" t="s">
        <v>483</v>
      </c>
      <c r="J956" s="22" t="s">
        <v>4392</v>
      </c>
      <c r="K956" s="22" t="s">
        <v>4392</v>
      </c>
      <c r="L956" s="23" t="s">
        <v>4364</v>
      </c>
      <c r="M956" s="24" t="s">
        <v>7753</v>
      </c>
      <c r="N956" s="23">
        <v>18767000</v>
      </c>
      <c r="O956" s="25" t="s">
        <v>828</v>
      </c>
      <c r="P956" s="25" t="s">
        <v>53</v>
      </c>
      <c r="Q956" s="20" t="s">
        <v>4393</v>
      </c>
      <c r="R956" s="20">
        <v>72922674</v>
      </c>
      <c r="S956" s="25" t="s">
        <v>4394</v>
      </c>
      <c r="T956" s="26" t="s">
        <v>77</v>
      </c>
      <c r="U956" s="23">
        <v>357894929721723</v>
      </c>
      <c r="V956" s="27" t="s">
        <v>78</v>
      </c>
      <c r="W956" s="20" t="s">
        <v>95</v>
      </c>
      <c r="X956" s="20" t="s">
        <v>95</v>
      </c>
      <c r="Y956" s="20" t="s">
        <v>95</v>
      </c>
      <c r="Z956" s="20" t="s">
        <v>60</v>
      </c>
      <c r="AA956" s="20" t="s">
        <v>61</v>
      </c>
      <c r="AB956" s="20" t="s">
        <v>82</v>
      </c>
      <c r="AC956" s="28">
        <v>559.48</v>
      </c>
      <c r="AD956" s="28">
        <f>SUM(BASE[[#This Row],[MONTO DE RENTA ]]*1.16)</f>
        <v>648.99680000000001</v>
      </c>
      <c r="AE956" s="28" t="s">
        <v>83</v>
      </c>
      <c r="AF956" s="28">
        <v>559.48275862068965</v>
      </c>
      <c r="AG956" s="28">
        <v>649</v>
      </c>
      <c r="AI956" s="29">
        <v>44937</v>
      </c>
      <c r="AJ956" s="29">
        <v>46043</v>
      </c>
      <c r="AK9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56" s="30"/>
      <c r="AN956" s="20" t="s">
        <v>99</v>
      </c>
      <c r="AP956" s="20" t="s">
        <v>84</v>
      </c>
      <c r="AQ956" s="20" t="s">
        <v>100</v>
      </c>
    </row>
    <row r="957" spans="1:43" ht="16">
      <c r="A957" s="20">
        <v>2223845279</v>
      </c>
      <c r="B957" s="21">
        <v>355006</v>
      </c>
      <c r="C957" s="20" t="s">
        <v>4395</v>
      </c>
      <c r="D957" s="20" t="s">
        <v>357</v>
      </c>
      <c r="E957" s="20" t="s">
        <v>461</v>
      </c>
      <c r="F957" s="20" t="s">
        <v>47</v>
      </c>
      <c r="G957" s="20" t="s">
        <v>47</v>
      </c>
      <c r="H957" s="20" t="s">
        <v>48</v>
      </c>
      <c r="I957" s="20" t="s">
        <v>47</v>
      </c>
      <c r="J957" s="22" t="s">
        <v>4396</v>
      </c>
      <c r="K957" s="22" t="s">
        <v>4396</v>
      </c>
      <c r="L957" s="23" t="s">
        <v>4397</v>
      </c>
      <c r="M957" s="24" t="s">
        <v>7753</v>
      </c>
      <c r="N957" s="23">
        <v>18768000</v>
      </c>
      <c r="O957" s="25" t="s">
        <v>828</v>
      </c>
      <c r="P957" s="25" t="s">
        <v>53</v>
      </c>
      <c r="Q957" s="20" t="s">
        <v>4398</v>
      </c>
      <c r="R957" s="20">
        <v>73085082</v>
      </c>
      <c r="S957" s="25" t="s">
        <v>4399</v>
      </c>
      <c r="T957" s="26" t="s">
        <v>57</v>
      </c>
      <c r="U957" s="23">
        <v>860900062321468</v>
      </c>
      <c r="V957" s="27" t="s">
        <v>57</v>
      </c>
      <c r="W957" s="20" t="s">
        <v>58</v>
      </c>
      <c r="X957" s="20" t="s">
        <v>59</v>
      </c>
      <c r="Y957" s="20" t="s">
        <v>59</v>
      </c>
      <c r="Z957" s="20" t="s">
        <v>60</v>
      </c>
      <c r="AA957" s="20" t="s">
        <v>61</v>
      </c>
      <c r="AB957" s="20" t="s">
        <v>96</v>
      </c>
      <c r="AC957" s="28">
        <v>369.83</v>
      </c>
      <c r="AD957" s="28">
        <f>SUM(BASE[[#This Row],[MONTO DE RENTA ]]*1.16)</f>
        <v>429.00279999999998</v>
      </c>
      <c r="AE957" s="28" t="s">
        <v>63</v>
      </c>
      <c r="AF957" s="28">
        <v>369.82758620689657</v>
      </c>
      <c r="AG957" s="28">
        <v>429</v>
      </c>
      <c r="AH957" s="22" t="s">
        <v>64</v>
      </c>
      <c r="AI957" s="63">
        <v>45703</v>
      </c>
      <c r="AJ957" s="63">
        <v>46433</v>
      </c>
      <c r="AK9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7" s="30"/>
      <c r="AN957" s="20" t="s">
        <v>65</v>
      </c>
      <c r="AP957" s="20" t="s">
        <v>84</v>
      </c>
    </row>
    <row r="958" spans="1:43" ht="16">
      <c r="A958" s="20">
        <v>2221439608</v>
      </c>
      <c r="B958" s="21">
        <v>680156</v>
      </c>
      <c r="C958" s="20" t="s">
        <v>3640</v>
      </c>
      <c r="D958" s="20" t="s">
        <v>871</v>
      </c>
      <c r="E958" s="20" t="s">
        <v>4400</v>
      </c>
      <c r="F958" s="20" t="s">
        <v>451</v>
      </c>
      <c r="G958" s="20" t="s">
        <v>248</v>
      </c>
      <c r="H958" s="20" t="s">
        <v>48</v>
      </c>
      <c r="I958" s="20" t="s">
        <v>451</v>
      </c>
      <c r="J958" s="22" t="s">
        <v>4401</v>
      </c>
      <c r="K958" s="22" t="s">
        <v>4402</v>
      </c>
      <c r="L958" s="23" t="s">
        <v>4397</v>
      </c>
      <c r="M958" s="24" t="s">
        <v>7753</v>
      </c>
      <c r="N958" s="23">
        <v>18768000</v>
      </c>
      <c r="O958" s="25" t="s">
        <v>828</v>
      </c>
      <c r="P958" s="25" t="s">
        <v>53</v>
      </c>
      <c r="Q958" s="20" t="s">
        <v>4403</v>
      </c>
      <c r="R958" s="20">
        <v>73065644</v>
      </c>
      <c r="S958" s="25" t="s">
        <v>4404</v>
      </c>
      <c r="T958" s="26" t="s">
        <v>57</v>
      </c>
      <c r="U958" s="23">
        <v>860900062338744</v>
      </c>
      <c r="V958" s="27" t="s">
        <v>57</v>
      </c>
      <c r="W958" s="20" t="s">
        <v>58</v>
      </c>
      <c r="X958" s="20" t="s">
        <v>59</v>
      </c>
      <c r="Y958" s="20" t="s">
        <v>59</v>
      </c>
      <c r="Z958" s="20" t="s">
        <v>60</v>
      </c>
      <c r="AA958" s="20" t="s">
        <v>61</v>
      </c>
      <c r="AB958" s="20" t="s">
        <v>96</v>
      </c>
      <c r="AC958" s="28">
        <v>369.83</v>
      </c>
      <c r="AD958" s="28">
        <f>SUM(BASE[[#This Row],[MONTO DE RENTA ]]*1.16)</f>
        <v>429.00279999999998</v>
      </c>
      <c r="AE958" s="28" t="s">
        <v>63</v>
      </c>
      <c r="AF958" s="28">
        <v>369.82758620689657</v>
      </c>
      <c r="AG958" s="28">
        <v>429</v>
      </c>
      <c r="AH958" s="22" t="s">
        <v>64</v>
      </c>
      <c r="AI958" s="63">
        <v>45703</v>
      </c>
      <c r="AJ958" s="63">
        <v>46433</v>
      </c>
      <c r="AK9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8" s="30"/>
      <c r="AN958" s="20" t="s">
        <v>65</v>
      </c>
      <c r="AP958" s="20" t="s">
        <v>84</v>
      </c>
    </row>
    <row r="959" spans="1:43" ht="16">
      <c r="A959" s="20">
        <v>2226067833</v>
      </c>
      <c r="B959" s="21">
        <v>1000034</v>
      </c>
      <c r="C959" s="20" t="s">
        <v>488</v>
      </c>
      <c r="D959" s="20" t="s">
        <v>4405</v>
      </c>
      <c r="E959" s="20" t="s">
        <v>432</v>
      </c>
      <c r="F959" s="20" t="s">
        <v>104</v>
      </c>
      <c r="G959" s="20" t="s">
        <v>104</v>
      </c>
      <c r="H959" s="20" t="s">
        <v>48</v>
      </c>
      <c r="I959" s="20" t="s">
        <v>104</v>
      </c>
      <c r="J959" s="22" t="s">
        <v>4406</v>
      </c>
      <c r="K959" s="22" t="s">
        <v>4406</v>
      </c>
      <c r="L959" s="23" t="s">
        <v>4397</v>
      </c>
      <c r="M959" s="24" t="s">
        <v>7753</v>
      </c>
      <c r="N959" s="23">
        <v>18768000</v>
      </c>
      <c r="O959" s="25" t="s">
        <v>828</v>
      </c>
      <c r="P959" s="25" t="s">
        <v>53</v>
      </c>
      <c r="Q959" s="20" t="s">
        <v>4407</v>
      </c>
      <c r="R959" s="20">
        <v>73076054</v>
      </c>
      <c r="S959" s="25" t="s">
        <v>4408</v>
      </c>
      <c r="T959" s="26" t="s">
        <v>57</v>
      </c>
      <c r="U959" s="23">
        <v>860478061969231</v>
      </c>
      <c r="V959" s="45" t="s">
        <v>110</v>
      </c>
      <c r="W959" s="20" t="s">
        <v>302</v>
      </c>
      <c r="X959" s="20" t="s">
        <v>303</v>
      </c>
      <c r="Y959" s="20" t="s">
        <v>303</v>
      </c>
      <c r="Z959" s="20" t="s">
        <v>80</v>
      </c>
      <c r="AA959" s="20" t="s">
        <v>81</v>
      </c>
      <c r="AB959" s="20" t="s">
        <v>82</v>
      </c>
      <c r="AC959" s="28">
        <v>559.48</v>
      </c>
      <c r="AD959" s="28">
        <f>SUM(BASE[[#This Row],[MONTO DE RENTA ]]*1.16)</f>
        <v>648.99680000000001</v>
      </c>
      <c r="AE959" s="28" t="s">
        <v>83</v>
      </c>
      <c r="AF959" s="28">
        <v>559.48275862068965</v>
      </c>
      <c r="AG959" s="28">
        <v>649</v>
      </c>
      <c r="AH959" s="22" t="s">
        <v>64</v>
      </c>
      <c r="AI959" s="63">
        <v>45703</v>
      </c>
      <c r="AJ959" s="63">
        <v>46433</v>
      </c>
      <c r="AK9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59" s="30"/>
      <c r="AN959" s="20" t="s">
        <v>65</v>
      </c>
      <c r="AP959" s="20" t="s">
        <v>84</v>
      </c>
    </row>
    <row r="960" spans="1:43" ht="16">
      <c r="A960" s="20">
        <v>2224819300</v>
      </c>
      <c r="B960" s="49">
        <v>1035122</v>
      </c>
      <c r="C960" s="20" t="s">
        <v>4409</v>
      </c>
      <c r="D960" s="20" t="s">
        <v>4410</v>
      </c>
      <c r="E960" s="20" t="s">
        <v>357</v>
      </c>
      <c r="F960" s="20" t="s">
        <v>104</v>
      </c>
      <c r="G960" s="20" t="s">
        <v>104</v>
      </c>
      <c r="H960" s="20" t="s">
        <v>48</v>
      </c>
      <c r="I960" s="20" t="s">
        <v>104</v>
      </c>
      <c r="J960" s="22" t="s">
        <v>4411</v>
      </c>
      <c r="K960" s="22" t="s">
        <v>4411</v>
      </c>
      <c r="L960" s="23" t="s">
        <v>4397</v>
      </c>
      <c r="M960" s="24" t="s">
        <v>7753</v>
      </c>
      <c r="N960" s="23">
        <v>18768000</v>
      </c>
      <c r="O960" s="25" t="s">
        <v>828</v>
      </c>
      <c r="P960" s="25" t="s">
        <v>53</v>
      </c>
      <c r="Q960" s="20" t="s">
        <v>4412</v>
      </c>
      <c r="R960" s="20">
        <v>73608961</v>
      </c>
      <c r="S960" s="25" t="s">
        <v>55</v>
      </c>
      <c r="T960" s="26" t="s">
        <v>56</v>
      </c>
      <c r="U960" s="23">
        <v>867353050203897</v>
      </c>
      <c r="V960" s="45" t="s">
        <v>110</v>
      </c>
      <c r="W960" s="20" t="s">
        <v>149</v>
      </c>
      <c r="X960" s="20" t="s">
        <v>150</v>
      </c>
      <c r="Y960" s="20" t="s">
        <v>150</v>
      </c>
      <c r="Z960" s="20" t="s">
        <v>60</v>
      </c>
      <c r="AA960" s="20" t="s">
        <v>61</v>
      </c>
      <c r="AB960" s="20" t="s">
        <v>96</v>
      </c>
      <c r="AC960" s="28">
        <v>369.83</v>
      </c>
      <c r="AD960" s="28">
        <f>SUM(BASE[[#This Row],[MONTO DE RENTA ]]*1.16)</f>
        <v>429.00279999999998</v>
      </c>
      <c r="AE960" s="28" t="s">
        <v>97</v>
      </c>
      <c r="AF960" s="28">
        <v>473.27586206896552</v>
      </c>
      <c r="AG960" s="28">
        <v>549</v>
      </c>
      <c r="AI960" s="63">
        <v>44937</v>
      </c>
      <c r="AJ960" s="63">
        <v>46043</v>
      </c>
      <c r="AK96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60" s="30"/>
      <c r="AN960" s="20" t="s">
        <v>99</v>
      </c>
      <c r="AP960" s="20" t="s">
        <v>66</v>
      </c>
      <c r="AQ960" s="20" t="s">
        <v>100</v>
      </c>
    </row>
    <row r="961" spans="1:43" ht="16">
      <c r="A961" s="20">
        <v>2223161574</v>
      </c>
      <c r="B961" s="21">
        <v>260312</v>
      </c>
      <c r="C961" s="20" t="s">
        <v>4413</v>
      </c>
      <c r="D961" s="20" t="s">
        <v>437</v>
      </c>
      <c r="E961" s="20" t="s">
        <v>3748</v>
      </c>
      <c r="F961" s="20" t="s">
        <v>104</v>
      </c>
      <c r="G961" s="20" t="s">
        <v>104</v>
      </c>
      <c r="H961" s="20" t="s">
        <v>48</v>
      </c>
      <c r="I961" s="20" t="s">
        <v>104</v>
      </c>
      <c r="J961" s="22" t="s">
        <v>4414</v>
      </c>
      <c r="K961" s="22" t="s">
        <v>4414</v>
      </c>
      <c r="L961" s="23" t="s">
        <v>4397</v>
      </c>
      <c r="M961" s="24" t="s">
        <v>7753</v>
      </c>
      <c r="N961" s="23">
        <v>18768000</v>
      </c>
      <c r="O961" s="25" t="s">
        <v>828</v>
      </c>
      <c r="P961" s="25" t="s">
        <v>53</v>
      </c>
      <c r="Q961" s="20" t="s">
        <v>4415</v>
      </c>
      <c r="R961" s="20">
        <v>73076046</v>
      </c>
      <c r="S961" s="25" t="s">
        <v>4416</v>
      </c>
      <c r="T961" s="26" t="s">
        <v>57</v>
      </c>
      <c r="U961" s="23">
        <v>860478064969329</v>
      </c>
      <c r="V961" s="45" t="s">
        <v>110</v>
      </c>
      <c r="W961" s="20" t="s">
        <v>302</v>
      </c>
      <c r="X961" s="20" t="s">
        <v>303</v>
      </c>
      <c r="Y961" s="20" t="s">
        <v>303</v>
      </c>
      <c r="Z961" s="20" t="s">
        <v>80</v>
      </c>
      <c r="AA961" s="20" t="s">
        <v>81</v>
      </c>
      <c r="AB961" s="20" t="s">
        <v>82</v>
      </c>
      <c r="AC961" s="28">
        <v>559.48</v>
      </c>
      <c r="AD961" s="28">
        <f>SUM(BASE[[#This Row],[MONTO DE RENTA ]]*1.16)</f>
        <v>648.99680000000001</v>
      </c>
      <c r="AE961" s="28" t="s">
        <v>83</v>
      </c>
      <c r="AF961" s="28">
        <v>559.48275862068965</v>
      </c>
      <c r="AG961" s="28">
        <v>649</v>
      </c>
      <c r="AH961" s="22" t="s">
        <v>64</v>
      </c>
      <c r="AI961" s="63">
        <v>45703</v>
      </c>
      <c r="AJ961" s="63">
        <v>46433</v>
      </c>
      <c r="AK9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61" s="30"/>
      <c r="AN961" s="20" t="s">
        <v>65</v>
      </c>
      <c r="AP961" s="20" t="s">
        <v>84</v>
      </c>
    </row>
    <row r="962" spans="1:43" ht="16">
      <c r="A962" s="20">
        <v>2225050758</v>
      </c>
      <c r="B962" s="48">
        <v>355088</v>
      </c>
      <c r="C962" s="20" t="s">
        <v>4417</v>
      </c>
      <c r="D962" s="20" t="s">
        <v>2673</v>
      </c>
      <c r="E962" s="20" t="s">
        <v>411</v>
      </c>
      <c r="F962" s="20" t="s">
        <v>122</v>
      </c>
      <c r="G962" s="20" t="s">
        <v>122</v>
      </c>
      <c r="H962" s="20" t="s">
        <v>48</v>
      </c>
      <c r="I962" s="20" t="s">
        <v>122</v>
      </c>
      <c r="J962" s="54" t="s">
        <v>4418</v>
      </c>
      <c r="K962" s="54" t="s">
        <v>4419</v>
      </c>
      <c r="L962" s="23" t="s">
        <v>4397</v>
      </c>
      <c r="M962" s="24" t="s">
        <v>7753</v>
      </c>
      <c r="N962" s="23">
        <v>18768000</v>
      </c>
      <c r="O962" s="25" t="s">
        <v>828</v>
      </c>
      <c r="P962" s="25" t="s">
        <v>53</v>
      </c>
      <c r="Q962" s="20" t="s">
        <v>4420</v>
      </c>
      <c r="R962" s="20">
        <v>73926582</v>
      </c>
      <c r="S962" s="25" t="s">
        <v>4421</v>
      </c>
      <c r="T962" s="65" t="s">
        <v>57</v>
      </c>
      <c r="U962" s="23">
        <v>860900062321799</v>
      </c>
      <c r="V962" s="27" t="s">
        <v>57</v>
      </c>
      <c r="W962" s="20" t="s">
        <v>58</v>
      </c>
      <c r="X962" s="20" t="s">
        <v>59</v>
      </c>
      <c r="Y962" s="20" t="s">
        <v>59</v>
      </c>
      <c r="Z962" s="20" t="s">
        <v>60</v>
      </c>
      <c r="AA962" s="20" t="s">
        <v>61</v>
      </c>
      <c r="AB962" s="20" t="s">
        <v>96</v>
      </c>
      <c r="AC962" s="28">
        <v>369.83</v>
      </c>
      <c r="AD962" s="28">
        <f>SUM(BASE[[#This Row],[MONTO DE RENTA ]]*1.16)</f>
        <v>429.00279999999998</v>
      </c>
      <c r="AE962" s="28" t="s">
        <v>63</v>
      </c>
      <c r="AF962" s="28">
        <v>369.82758620689657</v>
      </c>
      <c r="AG962" s="28">
        <v>429</v>
      </c>
      <c r="AH962" s="22" t="s">
        <v>140</v>
      </c>
      <c r="AI962" s="63">
        <v>45384</v>
      </c>
      <c r="AJ962" s="63">
        <v>46402</v>
      </c>
      <c r="AK96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962" s="30"/>
      <c r="AN962" s="20" t="s">
        <v>99</v>
      </c>
      <c r="AP962" s="20" t="s">
        <v>84</v>
      </c>
      <c r="AQ962" s="20" t="s">
        <v>100</v>
      </c>
    </row>
    <row r="963" spans="1:43" ht="16">
      <c r="A963" s="20">
        <v>2223198034</v>
      </c>
      <c r="B963" s="21">
        <v>1022110</v>
      </c>
      <c r="C963" s="20" t="s">
        <v>4422</v>
      </c>
      <c r="D963" s="20" t="s">
        <v>405</v>
      </c>
      <c r="E963" s="20" t="s">
        <v>1245</v>
      </c>
      <c r="F963" s="20" t="s">
        <v>122</v>
      </c>
      <c r="G963" s="20" t="s">
        <v>122</v>
      </c>
      <c r="H963" s="20" t="s">
        <v>48</v>
      </c>
      <c r="I963" s="20" t="s">
        <v>122</v>
      </c>
      <c r="J963" s="22" t="s">
        <v>4419</v>
      </c>
      <c r="K963" s="22" t="s">
        <v>4419</v>
      </c>
      <c r="L963" s="23" t="s">
        <v>4397</v>
      </c>
      <c r="M963" s="24" t="s">
        <v>7753</v>
      </c>
      <c r="N963" s="23">
        <v>18768000</v>
      </c>
      <c r="O963" s="25" t="s">
        <v>828</v>
      </c>
      <c r="P963" s="25" t="s">
        <v>53</v>
      </c>
      <c r="Q963" s="20" t="s">
        <v>4423</v>
      </c>
      <c r="R963" s="20">
        <v>73076050</v>
      </c>
      <c r="S963" s="25" t="s">
        <v>4424</v>
      </c>
      <c r="T963" s="26" t="s">
        <v>57</v>
      </c>
      <c r="U963" s="23">
        <v>860900062321799</v>
      </c>
      <c r="V963" s="27" t="s">
        <v>57</v>
      </c>
      <c r="W963" s="20" t="s">
        <v>58</v>
      </c>
      <c r="X963" s="20" t="s">
        <v>59</v>
      </c>
      <c r="Y963" s="20" t="s">
        <v>59</v>
      </c>
      <c r="Z963" s="20" t="s">
        <v>60</v>
      </c>
      <c r="AA963" s="20" t="s">
        <v>61</v>
      </c>
      <c r="AB963" s="20" t="s">
        <v>96</v>
      </c>
      <c r="AC963" s="28">
        <v>369.83</v>
      </c>
      <c r="AD963" s="28">
        <f>SUM(BASE[[#This Row],[MONTO DE RENTA ]]*1.16)</f>
        <v>429.00279999999998</v>
      </c>
      <c r="AE963" s="28" t="s">
        <v>63</v>
      </c>
      <c r="AF963" s="28">
        <v>369.82758620689657</v>
      </c>
      <c r="AG963" s="28">
        <v>429</v>
      </c>
      <c r="AH963" s="22" t="s">
        <v>64</v>
      </c>
      <c r="AI963" s="63">
        <v>45703</v>
      </c>
      <c r="AJ963" s="63">
        <v>46433</v>
      </c>
      <c r="AK9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63" s="30"/>
      <c r="AN963" s="20" t="s">
        <v>65</v>
      </c>
      <c r="AP963" s="20" t="s">
        <v>84</v>
      </c>
    </row>
    <row r="964" spans="1:43" ht="16">
      <c r="A964" s="20">
        <v>2226106640</v>
      </c>
      <c r="B964" s="86">
        <v>465000</v>
      </c>
      <c r="C964" s="20" t="s">
        <v>4425</v>
      </c>
      <c r="D964" s="20" t="s">
        <v>172</v>
      </c>
      <c r="E964" s="20" t="s">
        <v>135</v>
      </c>
      <c r="F964" s="20" t="s">
        <v>70</v>
      </c>
      <c r="G964" s="20" t="s">
        <v>70</v>
      </c>
      <c r="H964" s="20" t="s">
        <v>48</v>
      </c>
      <c r="I964" s="20" t="s">
        <v>70</v>
      </c>
      <c r="J964" s="22" t="s">
        <v>4426</v>
      </c>
      <c r="K964" s="22" t="s">
        <v>4426</v>
      </c>
      <c r="L964" s="23" t="s">
        <v>4397</v>
      </c>
      <c r="M964" s="24" t="s">
        <v>7753</v>
      </c>
      <c r="N964" s="23">
        <v>18768000</v>
      </c>
      <c r="O964" s="25" t="s">
        <v>828</v>
      </c>
      <c r="P964" s="25" t="s">
        <v>53</v>
      </c>
      <c r="Q964" s="20" t="s">
        <v>4427</v>
      </c>
      <c r="R964" s="20">
        <v>72922688</v>
      </c>
      <c r="S964" s="25" t="s">
        <v>55</v>
      </c>
      <c r="T964" s="26" t="s">
        <v>56</v>
      </c>
      <c r="U964" s="23">
        <v>357894929640790</v>
      </c>
      <c r="V964" s="27" t="s">
        <v>78</v>
      </c>
      <c r="W964" s="20" t="s">
        <v>95</v>
      </c>
      <c r="X964" s="20" t="s">
        <v>95</v>
      </c>
      <c r="Y964" s="20" t="s">
        <v>95</v>
      </c>
      <c r="Z964" s="20" t="s">
        <v>60</v>
      </c>
      <c r="AA964" s="20" t="s">
        <v>61</v>
      </c>
      <c r="AB964" s="20" t="s">
        <v>82</v>
      </c>
      <c r="AC964" s="28">
        <v>559.48</v>
      </c>
      <c r="AD964" s="28">
        <f>SUM(BASE[[#This Row],[MONTO DE RENTA ]]*1.16)</f>
        <v>648.99680000000001</v>
      </c>
      <c r="AE964" s="28" t="s">
        <v>83</v>
      </c>
      <c r="AF964" s="28">
        <v>559.48275862068965</v>
      </c>
      <c r="AG964" s="28">
        <v>649</v>
      </c>
      <c r="AI964" s="63">
        <v>44937</v>
      </c>
      <c r="AJ964" s="63">
        <v>46043</v>
      </c>
      <c r="AK96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64" s="30"/>
      <c r="AN964" s="20" t="s">
        <v>99</v>
      </c>
      <c r="AP964" s="20" t="s">
        <v>84</v>
      </c>
      <c r="AQ964" s="20" t="s">
        <v>100</v>
      </c>
    </row>
    <row r="965" spans="1:43" ht="16">
      <c r="A965" s="20">
        <v>4491272864</v>
      </c>
      <c r="B965" s="21">
        <v>690186</v>
      </c>
      <c r="C965" s="20" t="s">
        <v>1597</v>
      </c>
      <c r="D965" s="20" t="s">
        <v>536</v>
      </c>
      <c r="E965" s="20" t="s">
        <v>1104</v>
      </c>
      <c r="F965" s="20" t="s">
        <v>418</v>
      </c>
      <c r="G965" s="20" t="s">
        <v>47</v>
      </c>
      <c r="H965" s="20" t="s">
        <v>48</v>
      </c>
      <c r="I965" s="20" t="s">
        <v>418</v>
      </c>
      <c r="J965" s="22" t="s">
        <v>4428</v>
      </c>
      <c r="K965" s="22" t="s">
        <v>4428</v>
      </c>
      <c r="L965" s="23" t="s">
        <v>4429</v>
      </c>
      <c r="M965" s="24" t="s">
        <v>7743</v>
      </c>
      <c r="N965" s="23">
        <v>18769000</v>
      </c>
      <c r="O965" s="25" t="s">
        <v>93</v>
      </c>
      <c r="P965" s="25" t="s">
        <v>53</v>
      </c>
      <c r="Q965" s="20" t="s">
        <v>4430</v>
      </c>
      <c r="R965" s="20">
        <v>62129224</v>
      </c>
      <c r="S965" s="25" t="s">
        <v>4431</v>
      </c>
      <c r="T965" s="26" t="s">
        <v>57</v>
      </c>
      <c r="U965" s="23">
        <v>860900062337654</v>
      </c>
      <c r="V965" s="27" t="s">
        <v>57</v>
      </c>
      <c r="W965" s="20" t="s">
        <v>58</v>
      </c>
      <c r="X965" s="20" t="s">
        <v>59</v>
      </c>
      <c r="Y965" s="20" t="s">
        <v>59</v>
      </c>
      <c r="Z965" s="20" t="s">
        <v>60</v>
      </c>
      <c r="AA965" s="20" t="s">
        <v>61</v>
      </c>
      <c r="AB965" s="20" t="s">
        <v>96</v>
      </c>
      <c r="AC965" s="28">
        <v>369.83</v>
      </c>
      <c r="AD965" s="28">
        <f>SUM(BASE[[#This Row],[MONTO DE RENTA ]]*1.16)</f>
        <v>429.00279999999998</v>
      </c>
      <c r="AE965" s="28" t="s">
        <v>63</v>
      </c>
      <c r="AF965" s="28">
        <v>369.82758620689657</v>
      </c>
      <c r="AG965" s="28">
        <v>429</v>
      </c>
      <c r="AH965" s="22" t="s">
        <v>64</v>
      </c>
      <c r="AI965" s="63">
        <v>45703</v>
      </c>
      <c r="AJ965" s="63">
        <v>46433</v>
      </c>
      <c r="AK9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65" s="30"/>
      <c r="AN965" s="20" t="s">
        <v>65</v>
      </c>
      <c r="AP965" s="20" t="s">
        <v>84</v>
      </c>
    </row>
    <row r="966" spans="1:43" ht="16">
      <c r="A966" s="20">
        <v>4492193784</v>
      </c>
      <c r="B966" s="21">
        <v>998970</v>
      </c>
      <c r="C966" s="20" t="s">
        <v>4432</v>
      </c>
      <c r="D966" s="20" t="s">
        <v>1156</v>
      </c>
      <c r="E966" s="20" t="s">
        <v>863</v>
      </c>
      <c r="F966" s="20" t="s">
        <v>248</v>
      </c>
      <c r="G966" s="20" t="s">
        <v>248</v>
      </c>
      <c r="H966" s="20" t="s">
        <v>48</v>
      </c>
      <c r="I966" s="20" t="s">
        <v>248</v>
      </c>
      <c r="J966" s="22" t="s">
        <v>4433</v>
      </c>
      <c r="K966" s="22" t="s">
        <v>4433</v>
      </c>
      <c r="L966" s="23" t="s">
        <v>4429</v>
      </c>
      <c r="M966" s="24" t="s">
        <v>7743</v>
      </c>
      <c r="N966" s="23">
        <v>18769000</v>
      </c>
      <c r="O966" s="25" t="s">
        <v>93</v>
      </c>
      <c r="P966" s="25" t="s">
        <v>53</v>
      </c>
      <c r="Q966" s="20" t="s">
        <v>4434</v>
      </c>
      <c r="R966" s="20">
        <v>62116039</v>
      </c>
      <c r="S966" s="25" t="s">
        <v>4435</v>
      </c>
      <c r="T966" s="26" t="s">
        <v>57</v>
      </c>
      <c r="U966" s="23">
        <v>860900062335674</v>
      </c>
      <c r="V966" s="27" t="s">
        <v>57</v>
      </c>
      <c r="W966" s="20" t="s">
        <v>58</v>
      </c>
      <c r="X966" s="20" t="s">
        <v>59</v>
      </c>
      <c r="Y966" s="20" t="s">
        <v>59</v>
      </c>
      <c r="Z966" s="20" t="s">
        <v>60</v>
      </c>
      <c r="AA966" s="20" t="s">
        <v>61</v>
      </c>
      <c r="AB966" s="20" t="s">
        <v>96</v>
      </c>
      <c r="AC966" s="28">
        <v>369.83</v>
      </c>
      <c r="AD966" s="28">
        <f>SUM(BASE[[#This Row],[MONTO DE RENTA ]]*1.16)</f>
        <v>429.00279999999998</v>
      </c>
      <c r="AE966" s="28" t="s">
        <v>63</v>
      </c>
      <c r="AF966" s="28">
        <v>369.82758620689657</v>
      </c>
      <c r="AG966" s="28">
        <v>429</v>
      </c>
      <c r="AH966" s="22" t="s">
        <v>64</v>
      </c>
      <c r="AI966" s="63">
        <v>45703</v>
      </c>
      <c r="AJ966" s="63">
        <v>46433</v>
      </c>
      <c r="AK9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66" s="30"/>
      <c r="AN966" s="20" t="s">
        <v>65</v>
      </c>
      <c r="AP966" s="20" t="s">
        <v>84</v>
      </c>
    </row>
    <row r="967" spans="1:43" ht="16">
      <c r="A967" s="20">
        <v>4493520888</v>
      </c>
      <c r="B967" s="21">
        <v>690014</v>
      </c>
      <c r="C967" s="20" t="s">
        <v>4099</v>
      </c>
      <c r="D967" s="20" t="s">
        <v>3702</v>
      </c>
      <c r="E967" s="20" t="s">
        <v>657</v>
      </c>
      <c r="F967" s="20" t="s">
        <v>104</v>
      </c>
      <c r="G967" s="20" t="s">
        <v>104</v>
      </c>
      <c r="H967" s="20" t="s">
        <v>48</v>
      </c>
      <c r="I967" s="20" t="s">
        <v>104</v>
      </c>
      <c r="J967" s="22" t="s">
        <v>4436</v>
      </c>
      <c r="K967" s="22" t="s">
        <v>4437</v>
      </c>
      <c r="L967" s="23" t="s">
        <v>4429</v>
      </c>
      <c r="M967" s="24" t="s">
        <v>7743</v>
      </c>
      <c r="N967" s="23">
        <v>18769000</v>
      </c>
      <c r="O967" s="25" t="s">
        <v>93</v>
      </c>
      <c r="P967" s="25" t="s">
        <v>53</v>
      </c>
      <c r="Q967" s="20" t="s">
        <v>4438</v>
      </c>
      <c r="R967" s="20">
        <v>62234383</v>
      </c>
      <c r="S967" s="25" t="s">
        <v>4439</v>
      </c>
      <c r="T967" s="44" t="s">
        <v>57</v>
      </c>
      <c r="U967" s="23">
        <v>866223056234546</v>
      </c>
      <c r="V967" s="27" t="s">
        <v>183</v>
      </c>
      <c r="W967" s="20" t="s">
        <v>649</v>
      </c>
      <c r="X967" s="20" t="s">
        <v>650</v>
      </c>
      <c r="Y967" s="20" t="s">
        <v>650</v>
      </c>
      <c r="Z967" s="20" t="s">
        <v>60</v>
      </c>
      <c r="AA967" s="20" t="s">
        <v>61</v>
      </c>
      <c r="AB967" s="20" t="s">
        <v>96</v>
      </c>
      <c r="AC967" s="28">
        <v>369.83</v>
      </c>
      <c r="AD967" s="28">
        <f>SUM(BASE[[#This Row],[MONTO DE RENTA ]]*1.16)</f>
        <v>429.00279999999998</v>
      </c>
      <c r="AE967" s="28" t="s">
        <v>63</v>
      </c>
      <c r="AF967" s="28">
        <v>369.82758620689657</v>
      </c>
      <c r="AG967" s="28">
        <v>429</v>
      </c>
      <c r="AI967" s="63">
        <v>45213</v>
      </c>
      <c r="AJ967" s="63">
        <v>45944</v>
      </c>
      <c r="AK967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967" s="30"/>
      <c r="AN967" s="20" t="s">
        <v>99</v>
      </c>
      <c r="AP967" s="20" t="s">
        <v>84</v>
      </c>
      <c r="AQ967" s="20" t="s">
        <v>100</v>
      </c>
    </row>
    <row r="968" spans="1:43" ht="16">
      <c r="A968" s="20">
        <v>4492455548</v>
      </c>
      <c r="B968" s="59">
        <v>690310</v>
      </c>
      <c r="C968" s="20" t="s">
        <v>170</v>
      </c>
      <c r="D968" s="20" t="s">
        <v>4440</v>
      </c>
      <c r="E968" s="20" t="s">
        <v>1694</v>
      </c>
      <c r="F968" s="20" t="s">
        <v>88</v>
      </c>
      <c r="G968" s="20" t="s">
        <v>257</v>
      </c>
      <c r="H968" s="20" t="s">
        <v>89</v>
      </c>
      <c r="I968" s="20" t="s">
        <v>88</v>
      </c>
      <c r="J968" s="22" t="s">
        <v>4441</v>
      </c>
      <c r="K968" s="22" t="s">
        <v>4441</v>
      </c>
      <c r="L968" s="23" t="s">
        <v>4429</v>
      </c>
      <c r="M968" s="24" t="s">
        <v>7743</v>
      </c>
      <c r="N968" s="23">
        <v>18848041</v>
      </c>
      <c r="O968" s="25" t="s">
        <v>93</v>
      </c>
      <c r="P968" s="25" t="s">
        <v>53</v>
      </c>
      <c r="Q968" s="20" t="s">
        <v>4442</v>
      </c>
      <c r="R968" s="20">
        <v>62099422</v>
      </c>
      <c r="S968" s="25" t="s">
        <v>4443</v>
      </c>
      <c r="T968" s="26" t="s">
        <v>57</v>
      </c>
      <c r="U968" s="23">
        <v>860478064162644</v>
      </c>
      <c r="V968" s="45" t="s">
        <v>110</v>
      </c>
      <c r="W968" s="20" t="s">
        <v>302</v>
      </c>
      <c r="X968" s="20" t="s">
        <v>303</v>
      </c>
      <c r="Y968" s="20" t="s">
        <v>303</v>
      </c>
      <c r="Z968" s="20" t="s">
        <v>80</v>
      </c>
      <c r="AA968" s="20" t="s">
        <v>81</v>
      </c>
      <c r="AB968" s="20" t="s">
        <v>82</v>
      </c>
      <c r="AC968" s="28">
        <v>559.48</v>
      </c>
      <c r="AD968" s="28">
        <f>SUM(BASE[[#This Row],[MONTO DE RENTA ]]*1.16)</f>
        <v>648.99680000000001</v>
      </c>
      <c r="AE968" s="28" t="s">
        <v>83</v>
      </c>
      <c r="AF968" s="28">
        <v>559.48275862068965</v>
      </c>
      <c r="AG968" s="28">
        <v>649</v>
      </c>
      <c r="AH968" s="22" t="s">
        <v>64</v>
      </c>
      <c r="AI968" s="63">
        <v>45713</v>
      </c>
      <c r="AJ968" s="63">
        <v>46433</v>
      </c>
      <c r="AK9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968"/>
      <c r="AM968" s="30"/>
      <c r="AN968" s="20" t="s">
        <v>65</v>
      </c>
      <c r="AP968" s="20" t="s">
        <v>84</v>
      </c>
    </row>
    <row r="969" spans="1:43" ht="16">
      <c r="A969" s="20">
        <v>4492455549</v>
      </c>
      <c r="B969" s="21">
        <v>690014</v>
      </c>
      <c r="C969" s="20" t="s">
        <v>4099</v>
      </c>
      <c r="D969" s="20" t="s">
        <v>3702</v>
      </c>
      <c r="E969" s="20" t="s">
        <v>657</v>
      </c>
      <c r="F969" s="20" t="s">
        <v>104</v>
      </c>
      <c r="G969" s="20" t="s">
        <v>104</v>
      </c>
      <c r="H969" s="20" t="s">
        <v>48</v>
      </c>
      <c r="I969" s="20" t="s">
        <v>104</v>
      </c>
      <c r="J969" s="22" t="s">
        <v>4444</v>
      </c>
      <c r="K969" s="22" t="s">
        <v>4444</v>
      </c>
      <c r="L969" s="23" t="s">
        <v>4429</v>
      </c>
      <c r="M969" s="24" t="s">
        <v>7743</v>
      </c>
      <c r="N969" s="23">
        <v>18769000</v>
      </c>
      <c r="O969" s="25" t="s">
        <v>93</v>
      </c>
      <c r="P969" s="25" t="s">
        <v>53</v>
      </c>
      <c r="Q969" s="20" t="s">
        <v>4445</v>
      </c>
      <c r="R969" s="20">
        <v>62123209</v>
      </c>
      <c r="S969" s="25" t="s">
        <v>4446</v>
      </c>
      <c r="T969" s="26" t="s">
        <v>57</v>
      </c>
      <c r="U969" s="23">
        <v>860478064951400</v>
      </c>
      <c r="V969" s="45" t="s">
        <v>110</v>
      </c>
      <c r="W969" s="20" t="s">
        <v>302</v>
      </c>
      <c r="X969" s="20" t="s">
        <v>303</v>
      </c>
      <c r="Y969" s="20" t="s">
        <v>303</v>
      </c>
      <c r="Z969" s="20" t="s">
        <v>80</v>
      </c>
      <c r="AA969" s="20" t="s">
        <v>81</v>
      </c>
      <c r="AB969" s="20" t="s">
        <v>82</v>
      </c>
      <c r="AC969" s="28">
        <v>559.48</v>
      </c>
      <c r="AD969" s="28">
        <f>SUM(BASE[[#This Row],[MONTO DE RENTA ]]*1.16)</f>
        <v>648.99680000000001</v>
      </c>
      <c r="AE969" s="28" t="s">
        <v>83</v>
      </c>
      <c r="AF969" s="28">
        <v>559.48275862068965</v>
      </c>
      <c r="AG969" s="28">
        <v>649</v>
      </c>
      <c r="AH969" s="22" t="s">
        <v>64</v>
      </c>
      <c r="AI969" s="63">
        <v>45713</v>
      </c>
      <c r="AJ969" s="63">
        <v>46433</v>
      </c>
      <c r="AK9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69" s="30"/>
      <c r="AN969" s="20" t="s">
        <v>65</v>
      </c>
      <c r="AP969" s="20" t="s">
        <v>84</v>
      </c>
    </row>
    <row r="970" spans="1:43" ht="16">
      <c r="A970" s="20">
        <v>4492455550</v>
      </c>
      <c r="B970" s="21">
        <v>690066</v>
      </c>
      <c r="C970" s="20" t="s">
        <v>639</v>
      </c>
      <c r="D970" s="20" t="s">
        <v>1633</v>
      </c>
      <c r="E970" s="20" t="s">
        <v>1633</v>
      </c>
      <c r="F970" s="20" t="s">
        <v>257</v>
      </c>
      <c r="G970" s="20" t="s">
        <v>104</v>
      </c>
      <c r="H970" s="20" t="s">
        <v>48</v>
      </c>
      <c r="I970" s="20" t="s">
        <v>257</v>
      </c>
      <c r="J970" s="22" t="s">
        <v>4447</v>
      </c>
      <c r="K970" s="22" t="s">
        <v>4447</v>
      </c>
      <c r="L970" s="23" t="s">
        <v>4429</v>
      </c>
      <c r="M970" s="24" t="s">
        <v>7743</v>
      </c>
      <c r="N970" s="23">
        <v>18769000</v>
      </c>
      <c r="O970" s="25" t="s">
        <v>93</v>
      </c>
      <c r="P970" s="25" t="s">
        <v>53</v>
      </c>
      <c r="Q970" s="20" t="s">
        <v>4448</v>
      </c>
      <c r="R970" s="20">
        <v>62123208</v>
      </c>
      <c r="S970" s="25" t="s">
        <v>4449</v>
      </c>
      <c r="T970" s="26" t="s">
        <v>57</v>
      </c>
      <c r="U970" s="23">
        <v>860478064951541</v>
      </c>
      <c r="V970" s="45" t="s">
        <v>110</v>
      </c>
      <c r="W970" s="20" t="s">
        <v>302</v>
      </c>
      <c r="X970" s="20" t="s">
        <v>303</v>
      </c>
      <c r="Y970" s="20" t="s">
        <v>303</v>
      </c>
      <c r="Z970" s="20" t="s">
        <v>80</v>
      </c>
      <c r="AA970" s="20" t="s">
        <v>81</v>
      </c>
      <c r="AB970" s="20" t="s">
        <v>82</v>
      </c>
      <c r="AC970" s="28">
        <v>559.48</v>
      </c>
      <c r="AD970" s="28">
        <f>SUM(BASE[[#This Row],[MONTO DE RENTA ]]*1.16)</f>
        <v>648.99680000000001</v>
      </c>
      <c r="AE970" s="28" t="s">
        <v>83</v>
      </c>
      <c r="AF970" s="28">
        <v>559.48275862068965</v>
      </c>
      <c r="AG970" s="28">
        <v>649</v>
      </c>
      <c r="AH970" s="22" t="s">
        <v>64</v>
      </c>
      <c r="AI970" s="63">
        <v>45703</v>
      </c>
      <c r="AJ970" s="63">
        <v>46433</v>
      </c>
      <c r="AK9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0" s="30"/>
      <c r="AN970" s="20" t="s">
        <v>65</v>
      </c>
      <c r="AP970" s="20" t="s">
        <v>84</v>
      </c>
    </row>
    <row r="971" spans="1:43" ht="16">
      <c r="A971" s="20">
        <v>4492455551</v>
      </c>
      <c r="B971" s="147">
        <v>690393</v>
      </c>
      <c r="C971" s="20" t="s">
        <v>4450</v>
      </c>
      <c r="D971" s="20" t="s">
        <v>4451</v>
      </c>
      <c r="E971" s="20" t="s">
        <v>1546</v>
      </c>
      <c r="F971" s="20" t="s">
        <v>104</v>
      </c>
      <c r="G971" s="20" t="s">
        <v>104</v>
      </c>
      <c r="H971" s="20" t="s">
        <v>48</v>
      </c>
      <c r="I971" s="20" t="s">
        <v>104</v>
      </c>
      <c r="J971" s="22" t="s">
        <v>4452</v>
      </c>
      <c r="K971" s="22" t="s">
        <v>4452</v>
      </c>
      <c r="L971" s="23" t="s">
        <v>4429</v>
      </c>
      <c r="M971" s="24" t="s">
        <v>7743</v>
      </c>
      <c r="N971" s="23">
        <v>18769000</v>
      </c>
      <c r="O971" s="25" t="s">
        <v>93</v>
      </c>
      <c r="P971" s="25" t="s">
        <v>53</v>
      </c>
      <c r="Q971" s="20" t="s">
        <v>4453</v>
      </c>
      <c r="R971" s="20">
        <v>62123228</v>
      </c>
      <c r="S971" s="25" t="s">
        <v>4454</v>
      </c>
      <c r="T971" s="26" t="s">
        <v>57</v>
      </c>
      <c r="U971" s="23">
        <v>860478064873828</v>
      </c>
      <c r="V971" s="45" t="s">
        <v>110</v>
      </c>
      <c r="W971" s="20" t="s">
        <v>302</v>
      </c>
      <c r="X971" s="20" t="s">
        <v>303</v>
      </c>
      <c r="Y971" s="20" t="s">
        <v>303</v>
      </c>
      <c r="Z971" s="20" t="s">
        <v>80</v>
      </c>
      <c r="AA971" s="20" t="s">
        <v>81</v>
      </c>
      <c r="AB971" s="20" t="s">
        <v>82</v>
      </c>
      <c r="AC971" s="28">
        <v>559.48</v>
      </c>
      <c r="AD971" s="28">
        <f>SUM(BASE[[#This Row],[MONTO DE RENTA ]]*1.16)</f>
        <v>648.99680000000001</v>
      </c>
      <c r="AE971" s="28" t="s">
        <v>83</v>
      </c>
      <c r="AF971" s="28">
        <v>559.48275862068965</v>
      </c>
      <c r="AG971" s="28">
        <v>649</v>
      </c>
      <c r="AH971" s="22" t="s">
        <v>64</v>
      </c>
      <c r="AI971" s="63">
        <v>45703</v>
      </c>
      <c r="AJ971" s="63">
        <v>46433</v>
      </c>
      <c r="AK9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1" s="30"/>
      <c r="AN971" s="20" t="s">
        <v>65</v>
      </c>
      <c r="AP971" s="20" t="s">
        <v>84</v>
      </c>
    </row>
    <row r="972" spans="1:43" ht="16">
      <c r="A972" s="20">
        <v>4492202381</v>
      </c>
      <c r="B972" s="49">
        <v>160124</v>
      </c>
      <c r="C972" s="20" t="s">
        <v>663</v>
      </c>
      <c r="D972" s="20" t="s">
        <v>442</v>
      </c>
      <c r="E972" s="20" t="s">
        <v>546</v>
      </c>
      <c r="F972" s="20" t="s">
        <v>70</v>
      </c>
      <c r="G972" s="20" t="s">
        <v>70</v>
      </c>
      <c r="H972" s="20" t="s">
        <v>48</v>
      </c>
      <c r="I972" s="20" t="s">
        <v>70</v>
      </c>
      <c r="J972" s="22" t="s">
        <v>4455</v>
      </c>
      <c r="K972" s="22" t="s">
        <v>4455</v>
      </c>
      <c r="L972" s="23" t="s">
        <v>4429</v>
      </c>
      <c r="M972" s="24" t="s">
        <v>7743</v>
      </c>
      <c r="N972" s="23">
        <v>18769000</v>
      </c>
      <c r="O972" s="25" t="s">
        <v>93</v>
      </c>
      <c r="P972" s="25" t="s">
        <v>53</v>
      </c>
      <c r="Q972" s="20" t="s">
        <v>4456</v>
      </c>
      <c r="R972" s="20">
        <v>62025796</v>
      </c>
      <c r="S972" s="25" t="s">
        <v>55</v>
      </c>
      <c r="T972" s="26" t="s">
        <v>56</v>
      </c>
      <c r="U972" s="23">
        <v>357654178173830</v>
      </c>
      <c r="V972" s="27" t="s">
        <v>78</v>
      </c>
      <c r="W972" s="20" t="s">
        <v>95</v>
      </c>
      <c r="X972" s="20" t="s">
        <v>95</v>
      </c>
      <c r="Y972" s="20" t="s">
        <v>95</v>
      </c>
      <c r="Z972" s="20" t="s">
        <v>60</v>
      </c>
      <c r="AA972" s="20" t="s">
        <v>61</v>
      </c>
      <c r="AB972" s="20" t="s">
        <v>82</v>
      </c>
      <c r="AC972" s="28">
        <v>559.48</v>
      </c>
      <c r="AD972" s="28">
        <f>SUM(BASE[[#This Row],[MONTO DE RENTA ]]*1.16)</f>
        <v>648.99680000000001</v>
      </c>
      <c r="AE972" s="28" t="s">
        <v>83</v>
      </c>
      <c r="AF972" s="28">
        <v>559.48275862068965</v>
      </c>
      <c r="AG972" s="28">
        <v>649</v>
      </c>
      <c r="AI972" s="63">
        <v>44937</v>
      </c>
      <c r="AJ972" s="73">
        <v>46043</v>
      </c>
      <c r="AK97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72" s="30"/>
      <c r="AN972" s="20" t="s">
        <v>99</v>
      </c>
      <c r="AP972" s="20" t="s">
        <v>84</v>
      </c>
      <c r="AQ972" s="20" t="s">
        <v>100</v>
      </c>
    </row>
    <row r="973" spans="1:43" ht="16">
      <c r="A973" s="20">
        <v>6681100821</v>
      </c>
      <c r="B973" s="21">
        <v>1010603</v>
      </c>
      <c r="C973" s="20" t="s">
        <v>4457</v>
      </c>
      <c r="D973" s="20" t="s">
        <v>619</v>
      </c>
      <c r="E973" s="20" t="s">
        <v>2203</v>
      </c>
      <c r="F973" s="20" t="s">
        <v>47</v>
      </c>
      <c r="G973" s="20" t="s">
        <v>47</v>
      </c>
      <c r="H973" s="20" t="s">
        <v>48</v>
      </c>
      <c r="I973" s="20" t="s">
        <v>47</v>
      </c>
      <c r="J973" s="145" t="s">
        <v>4458</v>
      </c>
      <c r="K973" s="145" t="s">
        <v>4458</v>
      </c>
      <c r="L973" s="23" t="s">
        <v>4459</v>
      </c>
      <c r="M973" s="24" t="s">
        <v>7740</v>
      </c>
      <c r="N973" s="23">
        <v>18771000</v>
      </c>
      <c r="O973" s="25" t="s">
        <v>866</v>
      </c>
      <c r="P973" s="25" t="s">
        <v>53</v>
      </c>
      <c r="Q973" s="20" t="s">
        <v>4460</v>
      </c>
      <c r="R973" s="20">
        <v>22031390</v>
      </c>
      <c r="S973" s="25" t="s">
        <v>4461</v>
      </c>
      <c r="T973" s="65" t="s">
        <v>57</v>
      </c>
      <c r="U973" s="23">
        <v>860900062732078</v>
      </c>
      <c r="V973" s="27" t="s">
        <v>183</v>
      </c>
      <c r="W973" s="20" t="s">
        <v>58</v>
      </c>
      <c r="X973" s="20" t="s">
        <v>59</v>
      </c>
      <c r="Y973" s="20" t="s">
        <v>59</v>
      </c>
      <c r="Z973" s="20" t="s">
        <v>131</v>
      </c>
      <c r="AA973" s="20" t="s">
        <v>132</v>
      </c>
      <c r="AB973" s="20" t="s">
        <v>96</v>
      </c>
      <c r="AC973" s="28">
        <v>369.83</v>
      </c>
      <c r="AD973" s="28">
        <f>SUM(BASE[[#This Row],[MONTO DE RENTA ]]*1.16)</f>
        <v>429.00279999999998</v>
      </c>
      <c r="AE973" s="28" t="s">
        <v>63</v>
      </c>
      <c r="AF973" s="28">
        <v>369.82758620689657</v>
      </c>
      <c r="AG973" s="28">
        <v>429</v>
      </c>
      <c r="AH973" s="22" t="s">
        <v>140</v>
      </c>
      <c r="AI973" s="63">
        <v>45441</v>
      </c>
      <c r="AJ973" s="63">
        <v>46171</v>
      </c>
      <c r="AK973" s="30">
        <f ca="1">IFERROR(IF(BASE[[#This Row],[FECHA DE RENOVACION ]]&gt;TODAY(), DATEDIF(TODAY(),BASE[[#This Row],[FECHA DE RENOVACION ]],"M"), -DATEDIF(BASE[[#This Row],[FECHA DE RENOVACION ]],TODAY(),"M")), "Sin fecha")</f>
        <v>2</v>
      </c>
      <c r="AM973" s="30" t="s">
        <v>4462</v>
      </c>
      <c r="AN973" s="20" t="s">
        <v>99</v>
      </c>
      <c r="AP973" s="20" t="s">
        <v>84</v>
      </c>
      <c r="AQ973" s="20" t="s">
        <v>100</v>
      </c>
    </row>
    <row r="974" spans="1:43" ht="16">
      <c r="A974" s="20">
        <v>6681102193</v>
      </c>
      <c r="B974" s="21">
        <v>710089</v>
      </c>
      <c r="C974" s="20" t="s">
        <v>1181</v>
      </c>
      <c r="D974" s="20" t="s">
        <v>4463</v>
      </c>
      <c r="E974" s="20" t="s">
        <v>4081</v>
      </c>
      <c r="F974" s="20" t="s">
        <v>451</v>
      </c>
      <c r="G974" s="20" t="s">
        <v>248</v>
      </c>
      <c r="H974" s="20" t="s">
        <v>48</v>
      </c>
      <c r="I974" s="20" t="s">
        <v>451</v>
      </c>
      <c r="J974" s="22" t="s">
        <v>4464</v>
      </c>
      <c r="K974" s="22" t="s">
        <v>4464</v>
      </c>
      <c r="L974" s="23" t="s">
        <v>4459</v>
      </c>
      <c r="M974" s="24" t="s">
        <v>7740</v>
      </c>
      <c r="N974" s="23">
        <v>18771000</v>
      </c>
      <c r="O974" s="25" t="s">
        <v>866</v>
      </c>
      <c r="P974" s="25" t="s">
        <v>53</v>
      </c>
      <c r="Q974" s="20" t="s">
        <v>4465</v>
      </c>
      <c r="R974" s="20">
        <v>22020396</v>
      </c>
      <c r="S974" s="25" t="s">
        <v>4466</v>
      </c>
      <c r="T974" s="26" t="s">
        <v>57</v>
      </c>
      <c r="U974" s="23">
        <v>860900062735766</v>
      </c>
      <c r="V974" s="27" t="s">
        <v>57</v>
      </c>
      <c r="W974" s="20" t="s">
        <v>58</v>
      </c>
      <c r="X974" s="20" t="s">
        <v>59</v>
      </c>
      <c r="Y974" s="20" t="s">
        <v>59</v>
      </c>
      <c r="Z974" s="20" t="s">
        <v>131</v>
      </c>
      <c r="AA974" s="20" t="s">
        <v>132</v>
      </c>
      <c r="AB974" s="20" t="s">
        <v>96</v>
      </c>
      <c r="AC974" s="28">
        <v>369.83</v>
      </c>
      <c r="AD974" s="28">
        <f>SUM(BASE[[#This Row],[MONTO DE RENTA ]]*1.16)</f>
        <v>429.00279999999998</v>
      </c>
      <c r="AE974" s="28" t="s">
        <v>63</v>
      </c>
      <c r="AF974" s="28">
        <v>369.82758620689657</v>
      </c>
      <c r="AG974" s="28">
        <v>429</v>
      </c>
      <c r="AH974" s="22" t="s">
        <v>64</v>
      </c>
      <c r="AI974" s="63">
        <v>45703</v>
      </c>
      <c r="AJ974" s="63">
        <v>46433</v>
      </c>
      <c r="AK9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4" s="30"/>
      <c r="AN974" s="20" t="s">
        <v>65</v>
      </c>
      <c r="AP974" s="20" t="s">
        <v>84</v>
      </c>
    </row>
    <row r="975" spans="1:43" ht="16">
      <c r="A975" s="20">
        <v>6681108153</v>
      </c>
      <c r="B975" s="21">
        <v>1012340</v>
      </c>
      <c r="C975" s="20" t="s">
        <v>4467</v>
      </c>
      <c r="D975" s="20" t="s">
        <v>45</v>
      </c>
      <c r="E975" s="20" t="s">
        <v>406</v>
      </c>
      <c r="F975" s="20" t="s">
        <v>104</v>
      </c>
      <c r="G975" s="20" t="s">
        <v>257</v>
      </c>
      <c r="H975" s="20" t="s">
        <v>48</v>
      </c>
      <c r="I975" s="20" t="s">
        <v>104</v>
      </c>
      <c r="J975" s="22" t="s">
        <v>4468</v>
      </c>
      <c r="K975" s="22" t="s">
        <v>4468</v>
      </c>
      <c r="L975" s="23" t="s">
        <v>4459</v>
      </c>
      <c r="M975" s="24" t="s">
        <v>7740</v>
      </c>
      <c r="N975" s="23">
        <v>18771000</v>
      </c>
      <c r="O975" s="25" t="s">
        <v>866</v>
      </c>
      <c r="P975" s="25" t="s">
        <v>53</v>
      </c>
      <c r="Q975" s="20" t="s">
        <v>4469</v>
      </c>
      <c r="R975" s="20">
        <v>22026193</v>
      </c>
      <c r="S975" s="25" t="s">
        <v>4470</v>
      </c>
      <c r="T975" s="26" t="s">
        <v>57</v>
      </c>
      <c r="U975" s="23">
        <v>860478062334724</v>
      </c>
      <c r="V975" s="45" t="s">
        <v>110</v>
      </c>
      <c r="W975" s="20" t="s">
        <v>302</v>
      </c>
      <c r="X975" s="20" t="s">
        <v>303</v>
      </c>
      <c r="Y975" s="20" t="s">
        <v>303</v>
      </c>
      <c r="Z975" s="20" t="s">
        <v>131</v>
      </c>
      <c r="AA975" s="20" t="s">
        <v>132</v>
      </c>
      <c r="AB975" s="20" t="s">
        <v>82</v>
      </c>
      <c r="AC975" s="28">
        <v>559.48</v>
      </c>
      <c r="AD975" s="28">
        <f>SUM(BASE[[#This Row],[MONTO DE RENTA ]]*1.16)</f>
        <v>648.99680000000001</v>
      </c>
      <c r="AE975" s="28" t="s">
        <v>83</v>
      </c>
      <c r="AF975" s="28">
        <v>559.48275862068965</v>
      </c>
      <c r="AG975" s="28">
        <v>649</v>
      </c>
      <c r="AH975" s="22" t="s">
        <v>64</v>
      </c>
      <c r="AI975" s="63">
        <v>45703</v>
      </c>
      <c r="AJ975" s="63">
        <v>46433</v>
      </c>
      <c r="AK9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5" s="30"/>
      <c r="AN975" s="20" t="s">
        <v>65</v>
      </c>
      <c r="AP975" s="20" t="s">
        <v>84</v>
      </c>
    </row>
    <row r="976" spans="1:43" ht="16">
      <c r="A976" s="20">
        <v>6681107867</v>
      </c>
      <c r="B976" s="21">
        <v>1006106</v>
      </c>
      <c r="C976" s="20" t="s">
        <v>4471</v>
      </c>
      <c r="D976" s="20" t="s">
        <v>3091</v>
      </c>
      <c r="E976" s="20" t="s">
        <v>4472</v>
      </c>
      <c r="F976" s="20" t="s">
        <v>104</v>
      </c>
      <c r="G976" s="20" t="s">
        <v>104</v>
      </c>
      <c r="H976" s="20" t="s">
        <v>48</v>
      </c>
      <c r="I976" s="20" t="s">
        <v>104</v>
      </c>
      <c r="J976" s="22" t="s">
        <v>4473</v>
      </c>
      <c r="K976" s="22" t="s">
        <v>4473</v>
      </c>
      <c r="L976" s="23" t="s">
        <v>4459</v>
      </c>
      <c r="M976" s="24" t="s">
        <v>7740</v>
      </c>
      <c r="N976" s="23">
        <v>18771000</v>
      </c>
      <c r="O976" s="25" t="s">
        <v>866</v>
      </c>
      <c r="P976" s="25" t="s">
        <v>53</v>
      </c>
      <c r="Q976" s="20" t="s">
        <v>4474</v>
      </c>
      <c r="R976" s="20">
        <v>21986500</v>
      </c>
      <c r="S976" s="25" t="s">
        <v>4475</v>
      </c>
      <c r="T976" s="26" t="s">
        <v>57</v>
      </c>
      <c r="U976" s="23">
        <v>860478064967976</v>
      </c>
      <c r="V976" s="45" t="s">
        <v>110</v>
      </c>
      <c r="W976" s="20" t="s">
        <v>302</v>
      </c>
      <c r="X976" s="20" t="s">
        <v>303</v>
      </c>
      <c r="Y976" s="20" t="s">
        <v>303</v>
      </c>
      <c r="Z976" s="20" t="s">
        <v>131</v>
      </c>
      <c r="AA976" s="20" t="s">
        <v>132</v>
      </c>
      <c r="AB976" s="20" t="s">
        <v>82</v>
      </c>
      <c r="AC976" s="28">
        <v>559.48</v>
      </c>
      <c r="AD976" s="28">
        <f>SUM(BASE[[#This Row],[MONTO DE RENTA ]]*1.16)</f>
        <v>648.99680000000001</v>
      </c>
      <c r="AE976" s="28" t="s">
        <v>83</v>
      </c>
      <c r="AF976" s="28">
        <v>559.48275862068965</v>
      </c>
      <c r="AG976" s="28">
        <v>649</v>
      </c>
      <c r="AH976" s="22" t="s">
        <v>64</v>
      </c>
      <c r="AI976" s="63">
        <v>45703</v>
      </c>
      <c r="AJ976" s="63">
        <v>46433</v>
      </c>
      <c r="AK9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6" s="30"/>
      <c r="AN976" s="20" t="s">
        <v>65</v>
      </c>
      <c r="AP976" s="20" t="s">
        <v>84</v>
      </c>
    </row>
    <row r="977" spans="1:43" ht="16">
      <c r="A977" s="20">
        <v>6681108181</v>
      </c>
      <c r="B977" s="21">
        <v>710097</v>
      </c>
      <c r="C977" s="20" t="s">
        <v>4476</v>
      </c>
      <c r="D977" s="20" t="s">
        <v>1433</v>
      </c>
      <c r="E977" s="20" t="s">
        <v>1432</v>
      </c>
      <c r="F977" s="20" t="s">
        <v>104</v>
      </c>
      <c r="G977" s="20" t="s">
        <v>104</v>
      </c>
      <c r="H977" s="20" t="s">
        <v>48</v>
      </c>
      <c r="I977" s="20" t="s">
        <v>104</v>
      </c>
      <c r="J977" s="22" t="s">
        <v>4477</v>
      </c>
      <c r="K977" s="22" t="s">
        <v>4477</v>
      </c>
      <c r="L977" s="23" t="s">
        <v>4459</v>
      </c>
      <c r="M977" s="24" t="s">
        <v>7740</v>
      </c>
      <c r="N977" s="23">
        <v>18771000</v>
      </c>
      <c r="O977" s="25" t="s">
        <v>866</v>
      </c>
      <c r="P977" s="25" t="s">
        <v>53</v>
      </c>
      <c r="Q977" s="20" t="s">
        <v>4478</v>
      </c>
      <c r="R977" s="20">
        <v>22026195</v>
      </c>
      <c r="S977" s="25" t="s">
        <v>4479</v>
      </c>
      <c r="T977" s="26" t="s">
        <v>57</v>
      </c>
      <c r="U977" s="23">
        <v>860478062353989</v>
      </c>
      <c r="V977" s="45" t="s">
        <v>110</v>
      </c>
      <c r="W977" s="20" t="s">
        <v>302</v>
      </c>
      <c r="X977" s="20" t="s">
        <v>303</v>
      </c>
      <c r="Y977" s="20" t="s">
        <v>303</v>
      </c>
      <c r="Z977" s="20" t="s">
        <v>131</v>
      </c>
      <c r="AA977" s="20" t="s">
        <v>132</v>
      </c>
      <c r="AB977" s="20" t="s">
        <v>82</v>
      </c>
      <c r="AC977" s="28">
        <v>559.48</v>
      </c>
      <c r="AD977" s="28">
        <f>SUM(BASE[[#This Row],[MONTO DE RENTA ]]*1.16)</f>
        <v>648.99680000000001</v>
      </c>
      <c r="AE977" s="28" t="s">
        <v>83</v>
      </c>
      <c r="AF977" s="28">
        <v>559.48275862068965</v>
      </c>
      <c r="AG977" s="28">
        <v>649</v>
      </c>
      <c r="AH977" s="22" t="s">
        <v>64</v>
      </c>
      <c r="AI977" s="63">
        <v>45703</v>
      </c>
      <c r="AJ977" s="63">
        <v>46433</v>
      </c>
      <c r="AK9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7" s="30"/>
      <c r="AN977" s="20" t="s">
        <v>65</v>
      </c>
      <c r="AP977" s="20" t="s">
        <v>84</v>
      </c>
    </row>
    <row r="978" spans="1:43" ht="16">
      <c r="A978" s="20">
        <v>6681107951</v>
      </c>
      <c r="B978" s="21">
        <v>1053023</v>
      </c>
      <c r="C978" s="20" t="s">
        <v>4480</v>
      </c>
      <c r="D978" s="20" t="s">
        <v>1423</v>
      </c>
      <c r="E978" s="20" t="s">
        <v>4463</v>
      </c>
      <c r="F978" s="20" t="s">
        <v>384</v>
      </c>
      <c r="G978" s="20" t="s">
        <v>104</v>
      </c>
      <c r="H978" s="20" t="s">
        <v>48</v>
      </c>
      <c r="I978" s="20" t="s">
        <v>384</v>
      </c>
      <c r="J978" s="22" t="s">
        <v>4481</v>
      </c>
      <c r="K978" s="22" t="s">
        <v>4481</v>
      </c>
      <c r="L978" s="23" t="s">
        <v>4459</v>
      </c>
      <c r="M978" s="24" t="s">
        <v>7740</v>
      </c>
      <c r="N978" s="23">
        <v>18771000</v>
      </c>
      <c r="O978" s="25" t="s">
        <v>866</v>
      </c>
      <c r="P978" s="25" t="s">
        <v>53</v>
      </c>
      <c r="Q978" s="20" t="s">
        <v>4482</v>
      </c>
      <c r="R978" s="20">
        <v>22026192</v>
      </c>
      <c r="S978" s="25" t="s">
        <v>4483</v>
      </c>
      <c r="T978" s="26" t="s">
        <v>57</v>
      </c>
      <c r="U978" s="23">
        <v>860478062333593</v>
      </c>
      <c r="V978" s="45" t="s">
        <v>110</v>
      </c>
      <c r="W978" s="20" t="s">
        <v>302</v>
      </c>
      <c r="X978" s="20" t="s">
        <v>303</v>
      </c>
      <c r="Y978" s="20" t="s">
        <v>303</v>
      </c>
      <c r="Z978" s="20" t="s">
        <v>131</v>
      </c>
      <c r="AA978" s="20" t="s">
        <v>132</v>
      </c>
      <c r="AB978" s="20" t="s">
        <v>82</v>
      </c>
      <c r="AC978" s="28">
        <v>559.48</v>
      </c>
      <c r="AD978" s="28">
        <f>SUM(BASE[[#This Row],[MONTO DE RENTA ]]*1.16)</f>
        <v>648.99680000000001</v>
      </c>
      <c r="AE978" s="28" t="s">
        <v>83</v>
      </c>
      <c r="AF978" s="28">
        <v>559.48275862068965</v>
      </c>
      <c r="AG978" s="28">
        <v>649</v>
      </c>
      <c r="AH978" s="22" t="s">
        <v>64</v>
      </c>
      <c r="AI978" s="63">
        <v>45703</v>
      </c>
      <c r="AJ978" s="63">
        <v>46433</v>
      </c>
      <c r="AK9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78" s="30"/>
      <c r="AN978" s="20" t="s">
        <v>65</v>
      </c>
      <c r="AP978" s="20" t="s">
        <v>84</v>
      </c>
    </row>
    <row r="979" spans="1:43" ht="16">
      <c r="A979" s="20">
        <v>6682222371</v>
      </c>
      <c r="B979" s="49">
        <v>710355</v>
      </c>
      <c r="C979" s="20" t="s">
        <v>4484</v>
      </c>
      <c r="D979" s="20" t="s">
        <v>1562</v>
      </c>
      <c r="E979" s="20" t="s">
        <v>686</v>
      </c>
      <c r="F979" s="20" t="s">
        <v>122</v>
      </c>
      <c r="G979" s="20" t="s">
        <v>122</v>
      </c>
      <c r="H979" s="20" t="s">
        <v>48</v>
      </c>
      <c r="I979" s="20" t="s">
        <v>122</v>
      </c>
      <c r="J979" s="22" t="s">
        <v>4485</v>
      </c>
      <c r="K979" s="22" t="s">
        <v>4485</v>
      </c>
      <c r="L979" s="23" t="s">
        <v>4459</v>
      </c>
      <c r="M979" s="24" t="s">
        <v>7740</v>
      </c>
      <c r="N979" s="23">
        <v>18771000</v>
      </c>
      <c r="O979" s="25" t="s">
        <v>866</v>
      </c>
      <c r="P979" s="25" t="s">
        <v>53</v>
      </c>
      <c r="Q979" s="20" t="s">
        <v>4486</v>
      </c>
      <c r="R979" s="20">
        <v>22275209</v>
      </c>
      <c r="S979" s="25" t="s">
        <v>55</v>
      </c>
      <c r="T979" s="26" t="s">
        <v>56</v>
      </c>
      <c r="U979" s="23">
        <v>865356065670408</v>
      </c>
      <c r="V979" s="27" t="s">
        <v>183</v>
      </c>
      <c r="W979" s="20" t="s">
        <v>129</v>
      </c>
      <c r="X979" s="20" t="s">
        <v>130</v>
      </c>
      <c r="Y979" s="20" t="s">
        <v>130</v>
      </c>
      <c r="Z979" s="20" t="s">
        <v>60</v>
      </c>
      <c r="AA979" s="20" t="s">
        <v>61</v>
      </c>
      <c r="AB979" s="20" t="s">
        <v>96</v>
      </c>
      <c r="AC979" s="28">
        <v>369.83</v>
      </c>
      <c r="AD979" s="28">
        <f>SUM(BASE[[#This Row],[MONTO DE RENTA ]]*1.16)</f>
        <v>429.00279999999998</v>
      </c>
      <c r="AE979" s="28" t="s">
        <v>63</v>
      </c>
      <c r="AF979" s="28">
        <v>369.82758620689657</v>
      </c>
      <c r="AG979" s="28">
        <v>429</v>
      </c>
      <c r="AI979" s="63">
        <v>44937</v>
      </c>
      <c r="AJ979" s="73">
        <v>46043</v>
      </c>
      <c r="AK97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79" s="30"/>
      <c r="AN979" s="20" t="s">
        <v>99</v>
      </c>
      <c r="AP979" s="20" t="s">
        <v>84</v>
      </c>
      <c r="AQ979" s="20" t="s">
        <v>100</v>
      </c>
    </row>
    <row r="980" spans="1:43" ht="16">
      <c r="A980" s="20">
        <v>6681068258</v>
      </c>
      <c r="B980" s="49">
        <v>410341</v>
      </c>
      <c r="C980" s="20" t="s">
        <v>4487</v>
      </c>
      <c r="D980" s="20" t="s">
        <v>172</v>
      </c>
      <c r="E980" s="20" t="s">
        <v>4488</v>
      </c>
      <c r="F980" s="20" t="s">
        <v>70</v>
      </c>
      <c r="G980" s="20" t="s">
        <v>70</v>
      </c>
      <c r="H980" s="20" t="s">
        <v>48</v>
      </c>
      <c r="I980" s="20" t="s">
        <v>70</v>
      </c>
      <c r="J980" s="22" t="s">
        <v>4489</v>
      </c>
      <c r="K980" s="22" t="s">
        <v>4489</v>
      </c>
      <c r="L980" s="23" t="s">
        <v>4459</v>
      </c>
      <c r="M980" s="24" t="s">
        <v>7740</v>
      </c>
      <c r="N980" s="23">
        <v>18771000</v>
      </c>
      <c r="O980" s="25" t="s">
        <v>866</v>
      </c>
      <c r="P980" s="25" t="s">
        <v>53</v>
      </c>
      <c r="Q980" s="20" t="s">
        <v>4490</v>
      </c>
      <c r="R980" s="20">
        <v>21913991</v>
      </c>
      <c r="S980" s="25" t="s">
        <v>55</v>
      </c>
      <c r="T980" s="26" t="s">
        <v>56</v>
      </c>
      <c r="U980" s="23">
        <v>357654177793240</v>
      </c>
      <c r="V980" s="27" t="s">
        <v>78</v>
      </c>
      <c r="W980" s="20" t="s">
        <v>95</v>
      </c>
      <c r="X980" s="20" t="s">
        <v>95</v>
      </c>
      <c r="Y980" s="20" t="s">
        <v>95</v>
      </c>
      <c r="Z980" s="20" t="s">
        <v>60</v>
      </c>
      <c r="AA980" s="20" t="s">
        <v>61</v>
      </c>
      <c r="AB980" s="20" t="s">
        <v>82</v>
      </c>
      <c r="AC980" s="28">
        <v>559.48</v>
      </c>
      <c r="AD980" s="28">
        <f>SUM(BASE[[#This Row],[MONTO DE RENTA ]]*1.16)</f>
        <v>648.99680000000001</v>
      </c>
      <c r="AE980" s="28" t="s">
        <v>83</v>
      </c>
      <c r="AF980" s="28">
        <v>559.48275862068965</v>
      </c>
      <c r="AG980" s="28">
        <v>649</v>
      </c>
      <c r="AI980" s="63">
        <v>44937</v>
      </c>
      <c r="AJ980" s="73">
        <v>46043</v>
      </c>
      <c r="AK98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80" s="30"/>
      <c r="AN980" s="20" t="s">
        <v>99</v>
      </c>
      <c r="AP980" s="20" t="s">
        <v>84</v>
      </c>
      <c r="AQ980" s="20" t="s">
        <v>100</v>
      </c>
    </row>
    <row r="981" spans="1:43" ht="16">
      <c r="A981" s="20">
        <v>3321845449</v>
      </c>
      <c r="B981" s="21">
        <v>720211</v>
      </c>
      <c r="C981" s="20" t="s">
        <v>4491</v>
      </c>
      <c r="D981" s="20" t="s">
        <v>1067</v>
      </c>
      <c r="E981" s="20" t="s">
        <v>102</v>
      </c>
      <c r="F981" s="20" t="s">
        <v>418</v>
      </c>
      <c r="G981" s="20" t="s">
        <v>47</v>
      </c>
      <c r="H981" s="20" t="s">
        <v>48</v>
      </c>
      <c r="I981" s="20" t="s">
        <v>418</v>
      </c>
      <c r="J981" s="22" t="s">
        <v>4492</v>
      </c>
      <c r="K981" s="22" t="s">
        <v>4493</v>
      </c>
      <c r="L981" s="23" t="s">
        <v>3828</v>
      </c>
      <c r="M981" s="24" t="s">
        <v>7746</v>
      </c>
      <c r="N981" s="23">
        <v>18772000</v>
      </c>
      <c r="O981" s="25" t="s">
        <v>677</v>
      </c>
      <c r="P981" s="25" t="s">
        <v>53</v>
      </c>
      <c r="Q981" s="20" t="s">
        <v>4494</v>
      </c>
      <c r="R981" s="20">
        <v>54078137</v>
      </c>
      <c r="S981" s="25" t="s">
        <v>4495</v>
      </c>
      <c r="T981" s="26" t="s">
        <v>57</v>
      </c>
      <c r="U981" s="23">
        <v>860900062254909</v>
      </c>
      <c r="V981" s="27" t="s">
        <v>57</v>
      </c>
      <c r="W981" s="20" t="s">
        <v>58</v>
      </c>
      <c r="X981" s="20" t="s">
        <v>59</v>
      </c>
      <c r="Y981" s="20" t="s">
        <v>59</v>
      </c>
      <c r="Z981" s="20" t="s">
        <v>80</v>
      </c>
      <c r="AA981" s="20" t="s">
        <v>81</v>
      </c>
      <c r="AB981" s="20" t="s">
        <v>96</v>
      </c>
      <c r="AC981" s="28">
        <v>369.83</v>
      </c>
      <c r="AD981" s="28">
        <f>SUM(BASE[[#This Row],[MONTO DE RENTA ]]*1.16)</f>
        <v>429.00279999999998</v>
      </c>
      <c r="AE981" s="28" t="s">
        <v>63</v>
      </c>
      <c r="AF981" s="28">
        <v>369.82758620689657</v>
      </c>
      <c r="AG981" s="28">
        <v>429</v>
      </c>
      <c r="AH981" s="22" t="s">
        <v>64</v>
      </c>
      <c r="AI981" s="63">
        <v>45703</v>
      </c>
      <c r="AJ981" s="63">
        <v>46433</v>
      </c>
      <c r="AK9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1" s="30"/>
      <c r="AN981" s="20" t="s">
        <v>65</v>
      </c>
      <c r="AP981" s="20" t="s">
        <v>84</v>
      </c>
    </row>
    <row r="982" spans="1:43" ht="16">
      <c r="A982" s="20">
        <v>3311530392</v>
      </c>
      <c r="B982" s="21">
        <v>270690</v>
      </c>
      <c r="C982" s="20" t="s">
        <v>2919</v>
      </c>
      <c r="D982" s="20" t="s">
        <v>477</v>
      </c>
      <c r="E982" s="20" t="s">
        <v>519</v>
      </c>
      <c r="F982" s="20" t="s">
        <v>451</v>
      </c>
      <c r="G982" s="20" t="s">
        <v>248</v>
      </c>
      <c r="H982" s="20" t="s">
        <v>48</v>
      </c>
      <c r="I982" s="20" t="s">
        <v>451</v>
      </c>
      <c r="J982" s="22" t="s">
        <v>4496</v>
      </c>
      <c r="K982" s="22" t="s">
        <v>4496</v>
      </c>
      <c r="L982" s="23" t="s">
        <v>3828</v>
      </c>
      <c r="M982" s="24" t="s">
        <v>7746</v>
      </c>
      <c r="N982" s="23">
        <v>18772000</v>
      </c>
      <c r="O982" s="25" t="s">
        <v>677</v>
      </c>
      <c r="P982" s="25" t="s">
        <v>53</v>
      </c>
      <c r="Q982" s="20" t="s">
        <v>4497</v>
      </c>
      <c r="R982" s="20">
        <v>53335816</v>
      </c>
      <c r="S982" s="25" t="s">
        <v>4498</v>
      </c>
      <c r="T982" s="26" t="s">
        <v>57</v>
      </c>
      <c r="U982" s="23">
        <v>860900062256011</v>
      </c>
      <c r="V982" s="27" t="s">
        <v>57</v>
      </c>
      <c r="W982" s="20" t="s">
        <v>58</v>
      </c>
      <c r="X982" s="20" t="s">
        <v>59</v>
      </c>
      <c r="Y982" s="20" t="s">
        <v>59</v>
      </c>
      <c r="Z982" s="20" t="s">
        <v>80</v>
      </c>
      <c r="AA982" s="20" t="s">
        <v>81</v>
      </c>
      <c r="AB982" s="20" t="s">
        <v>96</v>
      </c>
      <c r="AC982" s="28">
        <v>369.83</v>
      </c>
      <c r="AD982" s="28">
        <f>SUM(BASE[[#This Row],[MONTO DE RENTA ]]*1.16)</f>
        <v>429.00279999999998</v>
      </c>
      <c r="AE982" s="28" t="s">
        <v>63</v>
      </c>
      <c r="AF982" s="28">
        <v>369.82758620689657</v>
      </c>
      <c r="AG982" s="28">
        <v>429</v>
      </c>
      <c r="AH982" s="22" t="s">
        <v>64</v>
      </c>
      <c r="AI982" s="29">
        <v>45703</v>
      </c>
      <c r="AJ982" s="29">
        <v>46433</v>
      </c>
      <c r="AK9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2" s="30"/>
      <c r="AN982" s="20" t="s">
        <v>65</v>
      </c>
      <c r="AP982" s="20" t="s">
        <v>84</v>
      </c>
    </row>
    <row r="983" spans="1:43" ht="16">
      <c r="A983" s="20">
        <v>3315010973</v>
      </c>
      <c r="B983" s="21">
        <v>365001</v>
      </c>
      <c r="C983" s="20" t="s">
        <v>861</v>
      </c>
      <c r="D983" s="20" t="s">
        <v>4499</v>
      </c>
      <c r="E983" s="20" t="s">
        <v>640</v>
      </c>
      <c r="F983" s="20" t="s">
        <v>257</v>
      </c>
      <c r="G983" s="20" t="s">
        <v>257</v>
      </c>
      <c r="H983" s="20" t="s">
        <v>48</v>
      </c>
      <c r="I983" s="20" t="s">
        <v>257</v>
      </c>
      <c r="J983" s="22" t="s">
        <v>4500</v>
      </c>
      <c r="K983" s="22" t="s">
        <v>4500</v>
      </c>
      <c r="L983" s="23" t="s">
        <v>3828</v>
      </c>
      <c r="M983" s="24" t="s">
        <v>7746</v>
      </c>
      <c r="N983" s="23">
        <v>18772000</v>
      </c>
      <c r="O983" s="25" t="s">
        <v>677</v>
      </c>
      <c r="P983" s="25" t="s">
        <v>53</v>
      </c>
      <c r="Q983" s="20" t="s">
        <v>4501</v>
      </c>
      <c r="R983" s="20">
        <v>53375179</v>
      </c>
      <c r="S983" s="25" t="s">
        <v>4502</v>
      </c>
      <c r="T983" s="26" t="s">
        <v>57</v>
      </c>
      <c r="U983" s="23">
        <v>860478063794264</v>
      </c>
      <c r="V983" s="45" t="s">
        <v>110</v>
      </c>
      <c r="W983" s="20" t="s">
        <v>302</v>
      </c>
      <c r="X983" s="20" t="s">
        <v>303</v>
      </c>
      <c r="Y983" s="20" t="s">
        <v>303</v>
      </c>
      <c r="Z983" s="20" t="s">
        <v>80</v>
      </c>
      <c r="AA983" s="20" t="s">
        <v>81</v>
      </c>
      <c r="AB983" s="20" t="s">
        <v>82</v>
      </c>
      <c r="AC983" s="28">
        <v>559.48</v>
      </c>
      <c r="AD983" s="28">
        <f>SUM(BASE[[#This Row],[MONTO DE RENTA ]]*1.16)</f>
        <v>648.99680000000001</v>
      </c>
      <c r="AE983" s="28" t="s">
        <v>83</v>
      </c>
      <c r="AF983" s="28">
        <v>559.48275862068965</v>
      </c>
      <c r="AG983" s="28">
        <v>649</v>
      </c>
      <c r="AH983" s="22" t="s">
        <v>64</v>
      </c>
      <c r="AI983" s="63">
        <v>45703</v>
      </c>
      <c r="AJ983" s="63">
        <v>46433</v>
      </c>
      <c r="AK9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3" s="30"/>
      <c r="AN983" s="20" t="s">
        <v>65</v>
      </c>
      <c r="AP983" s="20" t="s">
        <v>84</v>
      </c>
    </row>
    <row r="984" spans="1:43" ht="16">
      <c r="A984" s="20">
        <v>3328354794</v>
      </c>
      <c r="B984" s="49">
        <v>997535</v>
      </c>
      <c r="C984" s="20" t="s">
        <v>4503</v>
      </c>
      <c r="D984" s="20" t="s">
        <v>4504</v>
      </c>
      <c r="E984" s="20" t="s">
        <v>756</v>
      </c>
      <c r="F984" s="20" t="s">
        <v>257</v>
      </c>
      <c r="G984" s="20" t="s">
        <v>104</v>
      </c>
      <c r="H984" s="20" t="s">
        <v>48</v>
      </c>
      <c r="I984" s="20" t="s">
        <v>257</v>
      </c>
      <c r="J984" s="22" t="s">
        <v>4505</v>
      </c>
      <c r="K984" s="22" t="s">
        <v>4505</v>
      </c>
      <c r="L984" s="23" t="s">
        <v>3828</v>
      </c>
      <c r="M984" s="24" t="s">
        <v>7746</v>
      </c>
      <c r="N984" s="23">
        <v>18786000</v>
      </c>
      <c r="O984" s="25" t="s">
        <v>677</v>
      </c>
      <c r="P984" s="25" t="s">
        <v>53</v>
      </c>
      <c r="Q984" s="20" t="s">
        <v>4506</v>
      </c>
      <c r="R984" s="20">
        <v>54392625</v>
      </c>
      <c r="S984" s="25" t="s">
        <v>55</v>
      </c>
      <c r="T984" s="44" t="s">
        <v>56</v>
      </c>
      <c r="U984" s="23">
        <v>861383071457210</v>
      </c>
      <c r="V984" s="45" t="s">
        <v>110</v>
      </c>
      <c r="W984" s="20" t="s">
        <v>111</v>
      </c>
      <c r="X984" s="20" t="s">
        <v>112</v>
      </c>
      <c r="Y984" s="20" t="s">
        <v>112</v>
      </c>
      <c r="Z984" s="20" t="s">
        <v>60</v>
      </c>
      <c r="AA984" s="20" t="s">
        <v>61</v>
      </c>
      <c r="AB984" s="20" t="s">
        <v>96</v>
      </c>
      <c r="AC984" s="28">
        <v>369.83</v>
      </c>
      <c r="AD984" s="28">
        <f>SUM(BASE[[#This Row],[MONTO DE RENTA ]]*1.16)</f>
        <v>429.00279999999998</v>
      </c>
      <c r="AE984" s="28" t="s">
        <v>97</v>
      </c>
      <c r="AF984" s="28">
        <v>473.27586206896552</v>
      </c>
      <c r="AG984" s="28">
        <v>549</v>
      </c>
      <c r="AH984" s="22" t="s">
        <v>253</v>
      </c>
      <c r="AI984" s="63">
        <v>45798</v>
      </c>
      <c r="AJ984" s="63">
        <v>46528</v>
      </c>
      <c r="AK984" s="30">
        <f ca="1">IFERROR(IF(BASE[[#This Row],[FECHA DE RENOVACION ]]&gt;TODAY(), DATEDIF(TODAY(),BASE[[#This Row],[FECHA DE RENOVACION ]],"M"), -DATEDIF(BASE[[#This Row],[FECHA DE RENOVACION ]],TODAY(),"M")), "Sin fecha")</f>
        <v>14</v>
      </c>
      <c r="AM984" s="30" t="s">
        <v>4507</v>
      </c>
      <c r="AN984" s="20" t="s">
        <v>65</v>
      </c>
      <c r="AP984" s="20" t="s">
        <v>66</v>
      </c>
    </row>
    <row r="985" spans="1:43" ht="16">
      <c r="A985" s="20">
        <v>3314984840</v>
      </c>
      <c r="B985" s="21">
        <v>1065151</v>
      </c>
      <c r="C985" s="20" t="s">
        <v>1855</v>
      </c>
      <c r="D985" s="20" t="s">
        <v>1524</v>
      </c>
      <c r="E985" s="20" t="s">
        <v>476</v>
      </c>
      <c r="F985" s="20" t="s">
        <v>104</v>
      </c>
      <c r="G985" s="20" t="s">
        <v>104</v>
      </c>
      <c r="H985" s="20" t="s">
        <v>48</v>
      </c>
      <c r="I985" s="20" t="s">
        <v>104</v>
      </c>
      <c r="J985" s="22" t="s">
        <v>4508</v>
      </c>
      <c r="K985" s="22" t="s">
        <v>4508</v>
      </c>
      <c r="L985" s="23" t="s">
        <v>3828</v>
      </c>
      <c r="M985" s="24" t="s">
        <v>7746</v>
      </c>
      <c r="N985" s="23">
        <v>18772000</v>
      </c>
      <c r="O985" s="25" t="s">
        <v>677</v>
      </c>
      <c r="P985" s="25" t="s">
        <v>53</v>
      </c>
      <c r="Q985" s="20" t="s">
        <v>4509</v>
      </c>
      <c r="R985" s="20">
        <v>53375169</v>
      </c>
      <c r="S985" s="25" t="s">
        <v>4510</v>
      </c>
      <c r="T985" s="26" t="s">
        <v>57</v>
      </c>
      <c r="U985" s="23">
        <v>860478063793233</v>
      </c>
      <c r="V985" s="45" t="s">
        <v>110</v>
      </c>
      <c r="W985" s="20" t="s">
        <v>302</v>
      </c>
      <c r="X985" s="20" t="s">
        <v>303</v>
      </c>
      <c r="Y985" s="20" t="s">
        <v>303</v>
      </c>
      <c r="Z985" s="20" t="s">
        <v>80</v>
      </c>
      <c r="AA985" s="20" t="s">
        <v>81</v>
      </c>
      <c r="AB985" s="20" t="s">
        <v>82</v>
      </c>
      <c r="AC985" s="28">
        <v>559.48</v>
      </c>
      <c r="AD985" s="28">
        <f>SUM(BASE[[#This Row],[MONTO DE RENTA ]]*1.16)</f>
        <v>648.99680000000001</v>
      </c>
      <c r="AE985" s="28" t="s">
        <v>83</v>
      </c>
      <c r="AF985" s="28">
        <v>559.48275862068965</v>
      </c>
      <c r="AG985" s="28">
        <v>649</v>
      </c>
      <c r="AH985" s="22" t="s">
        <v>64</v>
      </c>
      <c r="AI985" s="63">
        <v>45703</v>
      </c>
      <c r="AJ985" s="63">
        <v>46433</v>
      </c>
      <c r="AK9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5" s="30"/>
      <c r="AN985" s="20" t="s">
        <v>65</v>
      </c>
      <c r="AP985" s="20" t="s">
        <v>84</v>
      </c>
    </row>
    <row r="986" spans="1:43" ht="16">
      <c r="A986" s="20">
        <v>3314751277</v>
      </c>
      <c r="B986" s="59">
        <v>1081380</v>
      </c>
      <c r="C986" s="20" t="s">
        <v>4511</v>
      </c>
      <c r="D986" s="20" t="s">
        <v>546</v>
      </c>
      <c r="E986" s="20" t="s">
        <v>1694</v>
      </c>
      <c r="F986" s="20" t="s">
        <v>104</v>
      </c>
      <c r="G986" s="20" t="s">
        <v>104</v>
      </c>
      <c r="H986" s="20" t="s">
        <v>48</v>
      </c>
      <c r="I986" s="20" t="s">
        <v>104</v>
      </c>
      <c r="J986" s="54" t="s">
        <v>4512</v>
      </c>
      <c r="K986" s="54" t="s">
        <v>4512</v>
      </c>
      <c r="L986" s="23" t="s">
        <v>3828</v>
      </c>
      <c r="M986" s="24" t="s">
        <v>7746</v>
      </c>
      <c r="N986" s="23">
        <v>18772000</v>
      </c>
      <c r="O986" s="25" t="s">
        <v>677</v>
      </c>
      <c r="P986" s="25" t="s">
        <v>53</v>
      </c>
      <c r="Q986" s="20" t="s">
        <v>4513</v>
      </c>
      <c r="R986" s="20">
        <v>53375164</v>
      </c>
      <c r="S986" s="25" t="s">
        <v>4514</v>
      </c>
      <c r="T986" s="81" t="s">
        <v>57</v>
      </c>
      <c r="U986" s="23" t="s">
        <v>193</v>
      </c>
      <c r="V986" s="45" t="s">
        <v>110</v>
      </c>
      <c r="W986" s="20" t="s">
        <v>194</v>
      </c>
      <c r="X986" s="20" t="s">
        <v>194</v>
      </c>
      <c r="Y986" s="20" t="s">
        <v>194</v>
      </c>
      <c r="Z986" s="20" t="s">
        <v>80</v>
      </c>
      <c r="AA986" s="20" t="s">
        <v>81</v>
      </c>
      <c r="AB986" s="20" t="s">
        <v>82</v>
      </c>
      <c r="AC986" s="28">
        <v>559.48</v>
      </c>
      <c r="AD986" s="28">
        <f>SUM(BASE[[#This Row],[MONTO DE RENTA ]]*1.16)</f>
        <v>648.99680000000001</v>
      </c>
      <c r="AE986" s="28" t="s">
        <v>83</v>
      </c>
      <c r="AF986" s="28">
        <v>559.48275862068965</v>
      </c>
      <c r="AG986" s="28">
        <v>649</v>
      </c>
      <c r="AI986" s="63">
        <v>45518</v>
      </c>
      <c r="AJ986" s="63">
        <v>46248</v>
      </c>
      <c r="AK986" s="30">
        <f ca="1">IFERROR(IF(BASE[[#This Row],[FECHA DE RENOVACION ]]&gt;TODAY(), DATEDIF(TODAY(),BASE[[#This Row],[FECHA DE RENOVACION ]],"M"), -DATEDIF(BASE[[#This Row],[FECHA DE RENOVACION ]],TODAY(),"M")), "Sin fecha")</f>
        <v>5</v>
      </c>
      <c r="AL986" s="63">
        <v>46248</v>
      </c>
      <c r="AM986" s="30"/>
      <c r="AN986" s="20" t="s">
        <v>65</v>
      </c>
      <c r="AP986" s="20" t="s">
        <v>84</v>
      </c>
    </row>
    <row r="987" spans="1:43" ht="16">
      <c r="A987" s="20">
        <v>3311388272</v>
      </c>
      <c r="B987" s="49">
        <v>1041375</v>
      </c>
      <c r="C987" s="20" t="s">
        <v>4515</v>
      </c>
      <c r="D987" s="20" t="s">
        <v>4516</v>
      </c>
      <c r="E987" s="20" t="s">
        <v>4517</v>
      </c>
      <c r="F987" s="20" t="s">
        <v>122</v>
      </c>
      <c r="G987" s="20" t="s">
        <v>122</v>
      </c>
      <c r="H987" s="20" t="s">
        <v>48</v>
      </c>
      <c r="I987" s="20" t="s">
        <v>122</v>
      </c>
      <c r="J987" s="22" t="s">
        <v>4518</v>
      </c>
      <c r="K987" s="22" t="s">
        <v>4519</v>
      </c>
      <c r="L987" s="23" t="s">
        <v>3828</v>
      </c>
      <c r="M987" s="24" t="s">
        <v>7746</v>
      </c>
      <c r="N987" s="23">
        <v>18772000</v>
      </c>
      <c r="O987" s="25" t="s">
        <v>677</v>
      </c>
      <c r="P987" s="25" t="s">
        <v>53</v>
      </c>
      <c r="Q987" s="20" t="s">
        <v>4520</v>
      </c>
      <c r="R987" s="20">
        <v>53826911</v>
      </c>
      <c r="S987" s="25" t="s">
        <v>55</v>
      </c>
      <c r="T987" s="26" t="s">
        <v>56</v>
      </c>
      <c r="U987" s="23">
        <v>865356065729139</v>
      </c>
      <c r="V987" s="27" t="s">
        <v>183</v>
      </c>
      <c r="W987" s="20" t="s">
        <v>129</v>
      </c>
      <c r="X987" s="20" t="s">
        <v>130</v>
      </c>
      <c r="Y987" s="20" t="s">
        <v>130</v>
      </c>
      <c r="Z987" s="20" t="s">
        <v>60</v>
      </c>
      <c r="AA987" s="20" t="s">
        <v>61</v>
      </c>
      <c r="AB987" s="20" t="s">
        <v>96</v>
      </c>
      <c r="AC987" s="28">
        <v>369.83</v>
      </c>
      <c r="AD987" s="28">
        <f>SUM(BASE[[#This Row],[MONTO DE RENTA ]]*1.16)</f>
        <v>429.00279999999998</v>
      </c>
      <c r="AE987" s="28" t="s">
        <v>63</v>
      </c>
      <c r="AF987" s="28">
        <v>369.82758620689657</v>
      </c>
      <c r="AG987" s="28">
        <v>429</v>
      </c>
      <c r="AI987" s="63">
        <v>44937</v>
      </c>
      <c r="AJ987" s="73">
        <v>46043</v>
      </c>
      <c r="AK98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87" s="30"/>
      <c r="AN987" s="20" t="s">
        <v>99</v>
      </c>
      <c r="AP987" s="20" t="s">
        <v>84</v>
      </c>
      <c r="AQ987" s="20" t="s">
        <v>100</v>
      </c>
    </row>
    <row r="988" spans="1:43" ht="16">
      <c r="A988" s="20">
        <v>3312743120</v>
      </c>
      <c r="B988" s="49">
        <v>420001</v>
      </c>
      <c r="C988" s="20" t="s">
        <v>902</v>
      </c>
      <c r="D988" s="20" t="s">
        <v>566</v>
      </c>
      <c r="E988" s="20" t="s">
        <v>507</v>
      </c>
      <c r="F988" s="20" t="s">
        <v>70</v>
      </c>
      <c r="G988" s="20" t="s">
        <v>70</v>
      </c>
      <c r="H988" s="20" t="s">
        <v>48</v>
      </c>
      <c r="I988" s="20" t="s">
        <v>70</v>
      </c>
      <c r="J988" s="22" t="s">
        <v>4521</v>
      </c>
      <c r="K988" s="22" t="s">
        <v>4521</v>
      </c>
      <c r="L988" s="23" t="s">
        <v>3828</v>
      </c>
      <c r="M988" s="24" t="s">
        <v>7746</v>
      </c>
      <c r="N988" s="23">
        <v>18785000</v>
      </c>
      <c r="O988" s="25" t="s">
        <v>677</v>
      </c>
      <c r="P988" s="25" t="s">
        <v>53</v>
      </c>
      <c r="Q988" s="20" t="s">
        <v>4522</v>
      </c>
      <c r="R988" s="20">
        <v>53162353</v>
      </c>
      <c r="S988" s="25" t="s">
        <v>55</v>
      </c>
      <c r="T988" s="26" t="s">
        <v>56</v>
      </c>
      <c r="U988" s="23">
        <v>357654178627371</v>
      </c>
      <c r="V988" s="27" t="s">
        <v>78</v>
      </c>
      <c r="W988" s="20" t="s">
        <v>95</v>
      </c>
      <c r="X988" s="20" t="s">
        <v>95</v>
      </c>
      <c r="Y988" s="20" t="s">
        <v>95</v>
      </c>
      <c r="Z988" s="20" t="s">
        <v>60</v>
      </c>
      <c r="AA988" s="20" t="s">
        <v>61</v>
      </c>
      <c r="AB988" s="20" t="s">
        <v>82</v>
      </c>
      <c r="AC988" s="28">
        <v>559.48</v>
      </c>
      <c r="AD988" s="28">
        <f>SUM(BASE[[#This Row],[MONTO DE RENTA ]]*1.16)</f>
        <v>648.99680000000001</v>
      </c>
      <c r="AE988" s="28" t="s">
        <v>83</v>
      </c>
      <c r="AF988" s="28">
        <v>559.48275862068965</v>
      </c>
      <c r="AG988" s="28">
        <v>649</v>
      </c>
      <c r="AI988" s="63">
        <v>44937</v>
      </c>
      <c r="AJ988" s="73">
        <v>46043</v>
      </c>
      <c r="AK9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88" s="30"/>
      <c r="AN988" s="20" t="s">
        <v>99</v>
      </c>
      <c r="AP988" s="20" t="s">
        <v>84</v>
      </c>
      <c r="AQ988" s="20" t="s">
        <v>100</v>
      </c>
    </row>
    <row r="989" spans="1:43" ht="16">
      <c r="A989" s="20">
        <v>7712316791</v>
      </c>
      <c r="B989" s="21">
        <v>740433</v>
      </c>
      <c r="C989" s="20" t="s">
        <v>43</v>
      </c>
      <c r="D989" s="20" t="s">
        <v>756</v>
      </c>
      <c r="E989" s="20" t="s">
        <v>519</v>
      </c>
      <c r="F989" s="20" t="s">
        <v>418</v>
      </c>
      <c r="G989" s="20" t="s">
        <v>47</v>
      </c>
      <c r="H989" s="20" t="s">
        <v>48</v>
      </c>
      <c r="I989" s="20" t="s">
        <v>418</v>
      </c>
      <c r="J989" s="22" t="s">
        <v>4523</v>
      </c>
      <c r="K989" s="22" t="s">
        <v>4523</v>
      </c>
      <c r="L989" s="23" t="s">
        <v>4524</v>
      </c>
      <c r="M989" s="24" t="s">
        <v>7753</v>
      </c>
      <c r="N989" s="23">
        <v>18774000</v>
      </c>
      <c r="O989" s="25" t="s">
        <v>52</v>
      </c>
      <c r="P989" s="25" t="s">
        <v>53</v>
      </c>
      <c r="Q989" s="20" t="s">
        <v>4525</v>
      </c>
      <c r="R989" s="20">
        <v>90182570</v>
      </c>
      <c r="S989" s="25" t="s">
        <v>4526</v>
      </c>
      <c r="T989" s="26" t="s">
        <v>57</v>
      </c>
      <c r="U989" s="23">
        <v>860900062269642</v>
      </c>
      <c r="V989" s="27" t="s">
        <v>57</v>
      </c>
      <c r="W989" s="20" t="s">
        <v>58</v>
      </c>
      <c r="X989" s="20" t="s">
        <v>59</v>
      </c>
      <c r="Y989" s="20" t="s">
        <v>59</v>
      </c>
      <c r="Z989" s="20" t="s">
        <v>131</v>
      </c>
      <c r="AA989" s="20" t="s">
        <v>132</v>
      </c>
      <c r="AB989" s="20" t="s">
        <v>96</v>
      </c>
      <c r="AC989" s="28">
        <v>369.83</v>
      </c>
      <c r="AD989" s="28">
        <f>SUM(BASE[[#This Row],[MONTO DE RENTA ]]*1.16)</f>
        <v>429.00279999999998</v>
      </c>
      <c r="AE989" s="28" t="s">
        <v>63</v>
      </c>
      <c r="AF989" s="28">
        <v>369.82758620689657</v>
      </c>
      <c r="AG989" s="28">
        <v>429</v>
      </c>
      <c r="AH989" s="22" t="s">
        <v>64</v>
      </c>
      <c r="AI989" s="63">
        <v>45703</v>
      </c>
      <c r="AJ989" s="63">
        <v>46433</v>
      </c>
      <c r="AK9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89" s="30"/>
      <c r="AN989" s="20" t="s">
        <v>65</v>
      </c>
      <c r="AP989" s="20" t="s">
        <v>84</v>
      </c>
    </row>
    <row r="990" spans="1:43" ht="16">
      <c r="A990" s="20">
        <v>7712325048</v>
      </c>
      <c r="B990" s="21">
        <v>740023</v>
      </c>
      <c r="C990" s="20" t="s">
        <v>4527</v>
      </c>
      <c r="D990" s="20" t="s">
        <v>4528</v>
      </c>
      <c r="E990" s="20" t="s">
        <v>4529</v>
      </c>
      <c r="F990" s="20" t="s">
        <v>451</v>
      </c>
      <c r="G990" s="20" t="s">
        <v>248</v>
      </c>
      <c r="H990" s="20" t="s">
        <v>48</v>
      </c>
      <c r="I990" s="20" t="s">
        <v>451</v>
      </c>
      <c r="J990" s="22" t="s">
        <v>4530</v>
      </c>
      <c r="K990" s="22" t="s">
        <v>4530</v>
      </c>
      <c r="L990" s="23" t="s">
        <v>4524</v>
      </c>
      <c r="M990" s="24" t="s">
        <v>7753</v>
      </c>
      <c r="N990" s="23">
        <v>18774000</v>
      </c>
      <c r="O990" s="25" t="s">
        <v>52</v>
      </c>
      <c r="P990" s="25" t="s">
        <v>53</v>
      </c>
      <c r="Q990" s="20" t="s">
        <v>4531</v>
      </c>
      <c r="R990" s="20">
        <v>90136595</v>
      </c>
      <c r="S990" s="25" t="s">
        <v>4532</v>
      </c>
      <c r="T990" s="26" t="s">
        <v>57</v>
      </c>
      <c r="U990" s="23">
        <v>860900062270830</v>
      </c>
      <c r="V990" s="27" t="s">
        <v>57</v>
      </c>
      <c r="W990" s="20" t="s">
        <v>58</v>
      </c>
      <c r="X990" s="20" t="s">
        <v>59</v>
      </c>
      <c r="Y990" s="20" t="s">
        <v>59</v>
      </c>
      <c r="Z990" s="20" t="s">
        <v>131</v>
      </c>
      <c r="AA990" s="20" t="s">
        <v>132</v>
      </c>
      <c r="AB990" s="20" t="s">
        <v>96</v>
      </c>
      <c r="AC990" s="28">
        <v>369.83</v>
      </c>
      <c r="AD990" s="28">
        <f>SUM(BASE[[#This Row],[MONTO DE RENTA ]]*1.16)</f>
        <v>429.00279999999998</v>
      </c>
      <c r="AE990" s="28" t="s">
        <v>63</v>
      </c>
      <c r="AF990" s="28">
        <v>369.82758620689657</v>
      </c>
      <c r="AG990" s="28">
        <v>429</v>
      </c>
      <c r="AH990" s="22" t="s">
        <v>64</v>
      </c>
      <c r="AI990" s="63">
        <v>45703</v>
      </c>
      <c r="AJ990" s="63">
        <v>46433</v>
      </c>
      <c r="AK9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0" s="30"/>
      <c r="AN990" s="20" t="s">
        <v>65</v>
      </c>
      <c r="AP990" s="20" t="s">
        <v>84</v>
      </c>
    </row>
    <row r="991" spans="1:43" ht="16">
      <c r="A991" s="20">
        <v>5516000683</v>
      </c>
      <c r="B991" s="21">
        <v>740441</v>
      </c>
      <c r="C991" s="20" t="s">
        <v>3478</v>
      </c>
      <c r="D991" s="20" t="s">
        <v>442</v>
      </c>
      <c r="E991" s="20" t="s">
        <v>546</v>
      </c>
      <c r="F991" s="20" t="s">
        <v>257</v>
      </c>
      <c r="G991" s="20" t="s">
        <v>257</v>
      </c>
      <c r="H991" s="20" t="s">
        <v>48</v>
      </c>
      <c r="I991" s="20" t="s">
        <v>257</v>
      </c>
      <c r="J991" s="22" t="s">
        <v>4533</v>
      </c>
      <c r="K991" s="22" t="s">
        <v>4533</v>
      </c>
      <c r="L991" s="23" t="s">
        <v>4524</v>
      </c>
      <c r="M991" s="24" t="s">
        <v>7753</v>
      </c>
      <c r="N991" s="23">
        <v>18774000</v>
      </c>
      <c r="O991" s="25" t="s">
        <v>52</v>
      </c>
      <c r="P991" s="25" t="s">
        <v>53</v>
      </c>
      <c r="Q991" s="20" t="s">
        <v>4534</v>
      </c>
      <c r="R991" s="20">
        <v>90244766</v>
      </c>
      <c r="S991" s="25" t="s">
        <v>4535</v>
      </c>
      <c r="T991" s="26" t="s">
        <v>57</v>
      </c>
      <c r="U991" s="23">
        <v>860478064969345</v>
      </c>
      <c r="V991" s="45" t="s">
        <v>110</v>
      </c>
      <c r="W991" s="20" t="s">
        <v>302</v>
      </c>
      <c r="X991" s="20" t="s">
        <v>303</v>
      </c>
      <c r="Y991" s="20" t="s">
        <v>303</v>
      </c>
      <c r="Z991" s="20" t="s">
        <v>80</v>
      </c>
      <c r="AA991" s="20" t="s">
        <v>81</v>
      </c>
      <c r="AB991" s="20" t="s">
        <v>82</v>
      </c>
      <c r="AC991" s="28">
        <v>559.48</v>
      </c>
      <c r="AD991" s="28">
        <f>SUM(BASE[[#This Row],[MONTO DE RENTA ]]*1.16)</f>
        <v>648.99680000000001</v>
      </c>
      <c r="AE991" s="28" t="s">
        <v>83</v>
      </c>
      <c r="AF991" s="28">
        <v>559.48275862068965</v>
      </c>
      <c r="AG991" s="28">
        <v>649</v>
      </c>
      <c r="AH991" s="22" t="s">
        <v>64</v>
      </c>
      <c r="AI991" s="63">
        <v>45703</v>
      </c>
      <c r="AJ991" s="63">
        <v>46433</v>
      </c>
      <c r="AK9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1" s="30"/>
      <c r="AN991" s="20" t="s">
        <v>65</v>
      </c>
      <c r="AP991" s="20" t="s">
        <v>84</v>
      </c>
    </row>
    <row r="992" spans="1:43" ht="16">
      <c r="A992" s="20">
        <v>5533680526</v>
      </c>
      <c r="B992" s="21">
        <v>1006081</v>
      </c>
      <c r="C992" s="20" t="s">
        <v>1862</v>
      </c>
      <c r="D992" s="20" t="s">
        <v>376</v>
      </c>
      <c r="E992" s="20" t="s">
        <v>172</v>
      </c>
      <c r="F992" s="20" t="s">
        <v>104</v>
      </c>
      <c r="G992" s="20" t="s">
        <v>104</v>
      </c>
      <c r="H992" s="20" t="s">
        <v>48</v>
      </c>
      <c r="I992" s="20" t="s">
        <v>104</v>
      </c>
      <c r="J992" s="22" t="s">
        <v>4536</v>
      </c>
      <c r="K992" s="22" t="s">
        <v>4536</v>
      </c>
      <c r="L992" s="23" t="s">
        <v>4524</v>
      </c>
      <c r="M992" s="24" t="s">
        <v>7753</v>
      </c>
      <c r="N992" s="23">
        <v>18774000</v>
      </c>
      <c r="O992" s="25" t="s">
        <v>52</v>
      </c>
      <c r="P992" s="25" t="s">
        <v>53</v>
      </c>
      <c r="Q992" s="20" t="s">
        <v>4537</v>
      </c>
      <c r="R992" s="20">
        <v>90244825</v>
      </c>
      <c r="S992" s="25" t="s">
        <v>4538</v>
      </c>
      <c r="T992" s="26" t="s">
        <v>57</v>
      </c>
      <c r="U992" s="23">
        <v>860478064969170</v>
      </c>
      <c r="V992" s="45" t="s">
        <v>110</v>
      </c>
      <c r="W992" s="20" t="s">
        <v>302</v>
      </c>
      <c r="X992" s="20" t="s">
        <v>303</v>
      </c>
      <c r="Y992" s="20" t="s">
        <v>303</v>
      </c>
      <c r="Z992" s="20" t="s">
        <v>131</v>
      </c>
      <c r="AA992" s="20" t="s">
        <v>132</v>
      </c>
      <c r="AB992" s="20" t="s">
        <v>96</v>
      </c>
      <c r="AC992" s="28">
        <v>369.83</v>
      </c>
      <c r="AD992" s="28">
        <f>SUM(BASE[[#This Row],[MONTO DE RENTA ]]*1.16)</f>
        <v>429.00279999999998</v>
      </c>
      <c r="AE992" s="28" t="s">
        <v>97</v>
      </c>
      <c r="AF992" s="28">
        <v>473.27586206896552</v>
      </c>
      <c r="AG992" s="28">
        <v>549</v>
      </c>
      <c r="AH992" s="22" t="s">
        <v>64</v>
      </c>
      <c r="AI992" s="63">
        <v>45703</v>
      </c>
      <c r="AJ992" s="63">
        <v>46433</v>
      </c>
      <c r="AK9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2" s="30"/>
      <c r="AN992" s="20" t="s">
        <v>65</v>
      </c>
      <c r="AP992" s="20" t="s">
        <v>66</v>
      </c>
    </row>
    <row r="993" spans="1:43" ht="16">
      <c r="A993" s="20">
        <v>5533034868</v>
      </c>
      <c r="B993" s="21">
        <v>1003895</v>
      </c>
      <c r="C993" s="20" t="s">
        <v>4539</v>
      </c>
      <c r="D993" s="20" t="s">
        <v>519</v>
      </c>
      <c r="E993" s="20" t="s">
        <v>376</v>
      </c>
      <c r="F993" s="20" t="s">
        <v>104</v>
      </c>
      <c r="G993" s="20" t="s">
        <v>104</v>
      </c>
      <c r="H993" s="20" t="s">
        <v>48</v>
      </c>
      <c r="I993" s="20" t="s">
        <v>104</v>
      </c>
      <c r="J993" s="22" t="s">
        <v>4540</v>
      </c>
      <c r="K993" s="22" t="s">
        <v>4540</v>
      </c>
      <c r="L993" s="23" t="s">
        <v>4524</v>
      </c>
      <c r="M993" s="24" t="s">
        <v>7753</v>
      </c>
      <c r="N993" s="23">
        <v>18774000</v>
      </c>
      <c r="O993" s="25" t="s">
        <v>52</v>
      </c>
      <c r="P993" s="25" t="s">
        <v>53</v>
      </c>
      <c r="Q993" s="20" t="s">
        <v>4541</v>
      </c>
      <c r="R993" s="20">
        <v>90244786</v>
      </c>
      <c r="S993" s="25" t="s">
        <v>4542</v>
      </c>
      <c r="T993" s="26" t="s">
        <v>57</v>
      </c>
      <c r="U993" s="23">
        <v>860478064969287</v>
      </c>
      <c r="V993" s="45" t="s">
        <v>110</v>
      </c>
      <c r="W993" s="20" t="s">
        <v>302</v>
      </c>
      <c r="X993" s="20" t="s">
        <v>303</v>
      </c>
      <c r="Y993" s="20" t="s">
        <v>303</v>
      </c>
      <c r="Z993" s="20" t="s">
        <v>80</v>
      </c>
      <c r="AA993" s="20" t="s">
        <v>81</v>
      </c>
      <c r="AB993" s="20" t="s">
        <v>82</v>
      </c>
      <c r="AC993" s="28">
        <v>559.48</v>
      </c>
      <c r="AD993" s="28">
        <f>SUM(BASE[[#This Row],[MONTO DE RENTA ]]*1.16)</f>
        <v>648.99680000000001</v>
      </c>
      <c r="AE993" s="28" t="s">
        <v>83</v>
      </c>
      <c r="AF993" s="28">
        <v>559.48275862068965</v>
      </c>
      <c r="AG993" s="28">
        <v>649</v>
      </c>
      <c r="AH993" s="22" t="s">
        <v>64</v>
      </c>
      <c r="AI993" s="63">
        <v>45703</v>
      </c>
      <c r="AJ993" s="63">
        <v>46433</v>
      </c>
      <c r="AK9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3" s="30"/>
      <c r="AN993" s="20" t="s">
        <v>65</v>
      </c>
      <c r="AP993" s="20" t="s">
        <v>84</v>
      </c>
    </row>
    <row r="994" spans="1:43" ht="16">
      <c r="A994" s="20">
        <v>7714039301</v>
      </c>
      <c r="B994" s="21">
        <v>470342</v>
      </c>
      <c r="C994" s="20" t="s">
        <v>4543</v>
      </c>
      <c r="D994" s="20" t="s">
        <v>172</v>
      </c>
      <c r="E994" s="20" t="s">
        <v>1295</v>
      </c>
      <c r="F994" s="20" t="s">
        <v>122</v>
      </c>
      <c r="G994" s="20" t="s">
        <v>122</v>
      </c>
      <c r="H994" s="20" t="s">
        <v>48</v>
      </c>
      <c r="I994" s="20" t="s">
        <v>122</v>
      </c>
      <c r="J994" s="54" t="s">
        <v>4544</v>
      </c>
      <c r="K994" s="54" t="s">
        <v>4545</v>
      </c>
      <c r="L994" s="23" t="s">
        <v>4524</v>
      </c>
      <c r="M994" s="24" t="s">
        <v>7753</v>
      </c>
      <c r="N994" s="23">
        <v>18774000</v>
      </c>
      <c r="O994" s="25" t="s">
        <v>52</v>
      </c>
      <c r="P994" s="25" t="s">
        <v>53</v>
      </c>
      <c r="Q994" s="20" t="s">
        <v>4546</v>
      </c>
      <c r="R994" s="20">
        <v>90057464</v>
      </c>
      <c r="S994" s="25" t="s">
        <v>4547</v>
      </c>
      <c r="T994" s="191" t="s">
        <v>57</v>
      </c>
      <c r="U994" s="23">
        <v>865356065668121</v>
      </c>
      <c r="V994" s="27" t="s">
        <v>183</v>
      </c>
      <c r="W994" s="20" t="s">
        <v>129</v>
      </c>
      <c r="X994" s="20" t="s">
        <v>130</v>
      </c>
      <c r="Y994" s="20" t="s">
        <v>130</v>
      </c>
      <c r="Z994" s="20" t="s">
        <v>131</v>
      </c>
      <c r="AA994" s="20" t="s">
        <v>132</v>
      </c>
      <c r="AB994" s="20" t="s">
        <v>96</v>
      </c>
      <c r="AC994" s="28">
        <v>369.83</v>
      </c>
      <c r="AD994" s="28">
        <f>SUM(BASE[[#This Row],[MONTO DE RENTA ]]*1.16)</f>
        <v>429.00279999999998</v>
      </c>
      <c r="AE994" s="28" t="s">
        <v>63</v>
      </c>
      <c r="AF994" s="28">
        <v>369.82758620689657</v>
      </c>
      <c r="AG994" s="28">
        <v>429</v>
      </c>
      <c r="AH994" s="22" t="s">
        <v>98</v>
      </c>
      <c r="AI994" s="63">
        <v>45294</v>
      </c>
      <c r="AJ994" s="63">
        <v>46025</v>
      </c>
      <c r="AK994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994" s="30"/>
      <c r="AN994" s="20" t="s">
        <v>99</v>
      </c>
      <c r="AP994" s="20" t="s">
        <v>84</v>
      </c>
      <c r="AQ994" s="20" t="s">
        <v>100</v>
      </c>
    </row>
    <row r="995" spans="1:43" ht="16">
      <c r="A995" s="20">
        <v>7714036311</v>
      </c>
      <c r="B995" s="49">
        <v>740357</v>
      </c>
      <c r="C995" s="20" t="s">
        <v>1160</v>
      </c>
      <c r="D995" s="20" t="s">
        <v>1161</v>
      </c>
      <c r="E995" s="20" t="s">
        <v>4548</v>
      </c>
      <c r="F995" s="20" t="s">
        <v>122</v>
      </c>
      <c r="G995" s="20" t="s">
        <v>122</v>
      </c>
      <c r="H995" s="20" t="s">
        <v>48</v>
      </c>
      <c r="I995" s="20" t="s">
        <v>122</v>
      </c>
      <c r="J995" s="32" t="s">
        <v>4545</v>
      </c>
      <c r="K995" s="22" t="s">
        <v>4549</v>
      </c>
      <c r="L995" s="23" t="s">
        <v>4524</v>
      </c>
      <c r="M995" s="24" t="s">
        <v>7753</v>
      </c>
      <c r="N995" s="23">
        <v>18774000</v>
      </c>
      <c r="O995" s="25" t="s">
        <v>52</v>
      </c>
      <c r="P995" s="25" t="s">
        <v>53</v>
      </c>
      <c r="Q995" s="20" t="s">
        <v>4550</v>
      </c>
      <c r="R995" s="20">
        <v>93108825</v>
      </c>
      <c r="S995" s="25" t="s">
        <v>55</v>
      </c>
      <c r="T995" s="26" t="s">
        <v>56</v>
      </c>
      <c r="U995" s="23">
        <v>865356065671489</v>
      </c>
      <c r="V995" s="27" t="s">
        <v>183</v>
      </c>
      <c r="W995" s="20" t="s">
        <v>129</v>
      </c>
      <c r="X995" s="20" t="s">
        <v>130</v>
      </c>
      <c r="Y995" s="20" t="s">
        <v>130</v>
      </c>
      <c r="Z995" s="20" t="s">
        <v>60</v>
      </c>
      <c r="AA995" s="20" t="s">
        <v>61</v>
      </c>
      <c r="AB995" s="20" t="s">
        <v>96</v>
      </c>
      <c r="AC995" s="28">
        <v>369.83</v>
      </c>
      <c r="AD995" s="28">
        <f>SUM(BASE[[#This Row],[MONTO DE RENTA ]]*1.16)</f>
        <v>429.00279999999998</v>
      </c>
      <c r="AE995" s="28" t="s">
        <v>63</v>
      </c>
      <c r="AF995" s="28">
        <v>369.82758620689657</v>
      </c>
      <c r="AG995" s="28">
        <v>429</v>
      </c>
      <c r="AI995" s="63">
        <v>44937</v>
      </c>
      <c r="AJ995" s="73">
        <v>46043</v>
      </c>
      <c r="AK99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95" s="30"/>
      <c r="AN995" s="20" t="s">
        <v>99</v>
      </c>
      <c r="AP995" s="20" t="s">
        <v>84</v>
      </c>
      <c r="AQ995" s="20" t="s">
        <v>100</v>
      </c>
    </row>
    <row r="996" spans="1:43" ht="16">
      <c r="A996" s="20">
        <v>7711576121</v>
      </c>
      <c r="B996" s="49">
        <v>740042</v>
      </c>
      <c r="C996" s="20" t="s">
        <v>4551</v>
      </c>
      <c r="D996" s="20" t="s">
        <v>4552</v>
      </c>
      <c r="E996" s="20" t="s">
        <v>2538</v>
      </c>
      <c r="F996" s="20" t="s">
        <v>70</v>
      </c>
      <c r="G996" s="20" t="s">
        <v>70</v>
      </c>
      <c r="H996" s="20" t="s">
        <v>48</v>
      </c>
      <c r="I996" s="20" t="s">
        <v>70</v>
      </c>
      <c r="J996" s="22" t="s">
        <v>4553</v>
      </c>
      <c r="K996" s="22" t="s">
        <v>4554</v>
      </c>
      <c r="L996" s="23" t="s">
        <v>4524</v>
      </c>
      <c r="M996" s="24" t="s">
        <v>7753</v>
      </c>
      <c r="N996" s="23">
        <v>18774000</v>
      </c>
      <c r="O996" s="25" t="s">
        <v>52</v>
      </c>
      <c r="P996" s="25" t="s">
        <v>53</v>
      </c>
      <c r="Q996" s="20" t="s">
        <v>4555</v>
      </c>
      <c r="R996" s="20">
        <v>9808599</v>
      </c>
      <c r="S996" s="25" t="s">
        <v>55</v>
      </c>
      <c r="T996" s="26" t="s">
        <v>56</v>
      </c>
      <c r="U996" s="23">
        <v>357654177511006</v>
      </c>
      <c r="V996" s="27" t="s">
        <v>78</v>
      </c>
      <c r="W996" s="20" t="s">
        <v>95</v>
      </c>
      <c r="X996" s="20" t="s">
        <v>95</v>
      </c>
      <c r="Y996" s="20" t="s">
        <v>95</v>
      </c>
      <c r="Z996" s="20" t="s">
        <v>60</v>
      </c>
      <c r="AA996" s="20" t="s">
        <v>61</v>
      </c>
      <c r="AB996" s="20" t="s">
        <v>82</v>
      </c>
      <c r="AC996" s="28">
        <v>559.48</v>
      </c>
      <c r="AD996" s="28">
        <f>SUM(BASE[[#This Row],[MONTO DE RENTA ]]*1.16)</f>
        <v>648.99680000000001</v>
      </c>
      <c r="AE996" s="28" t="s">
        <v>83</v>
      </c>
      <c r="AF996" s="28">
        <v>559.48275862068965</v>
      </c>
      <c r="AG996" s="28">
        <v>649</v>
      </c>
      <c r="AI996" s="63">
        <v>44937</v>
      </c>
      <c r="AJ996" s="73">
        <v>46043</v>
      </c>
      <c r="AK99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996" s="30"/>
      <c r="AN996" s="20" t="s">
        <v>99</v>
      </c>
      <c r="AP996" s="20" t="s">
        <v>84</v>
      </c>
      <c r="AQ996" s="20" t="s">
        <v>100</v>
      </c>
    </row>
    <row r="997" spans="1:43" ht="16">
      <c r="A997" s="20">
        <v>6461397158</v>
      </c>
      <c r="B997" s="21">
        <v>1021847</v>
      </c>
      <c r="C997" s="20" t="s">
        <v>4556</v>
      </c>
      <c r="D997" s="20" t="s">
        <v>4557</v>
      </c>
      <c r="E997" s="20" t="s">
        <v>468</v>
      </c>
      <c r="F997" s="20" t="s">
        <v>587</v>
      </c>
      <c r="G997" s="20" t="s">
        <v>47</v>
      </c>
      <c r="H997" s="20" t="s">
        <v>48</v>
      </c>
      <c r="I997" s="20" t="s">
        <v>587</v>
      </c>
      <c r="J997" s="22" t="s">
        <v>4558</v>
      </c>
      <c r="K997" s="22" t="s">
        <v>4558</v>
      </c>
      <c r="L997" s="23" t="s">
        <v>4559</v>
      </c>
      <c r="M997" s="24" t="s">
        <v>7745</v>
      </c>
      <c r="N997" s="23">
        <v>18775000</v>
      </c>
      <c r="O997" s="25" t="s">
        <v>126</v>
      </c>
      <c r="P997" s="25" t="s">
        <v>53</v>
      </c>
      <c r="Q997" s="20" t="s">
        <v>4560</v>
      </c>
      <c r="R997" s="20">
        <v>11595661</v>
      </c>
      <c r="S997" s="25" t="s">
        <v>4561</v>
      </c>
      <c r="T997" s="26" t="s">
        <v>57</v>
      </c>
      <c r="U997" s="23">
        <v>860900062337985</v>
      </c>
      <c r="V997" s="27" t="s">
        <v>57</v>
      </c>
      <c r="W997" s="20" t="s">
        <v>58</v>
      </c>
      <c r="X997" s="20" t="s">
        <v>59</v>
      </c>
      <c r="Y997" s="20" t="s">
        <v>59</v>
      </c>
      <c r="Z997" s="20" t="s">
        <v>60</v>
      </c>
      <c r="AA997" s="20" t="s">
        <v>61</v>
      </c>
      <c r="AB997" s="20" t="s">
        <v>96</v>
      </c>
      <c r="AC997" s="28">
        <v>369.83</v>
      </c>
      <c r="AD997" s="28">
        <f>SUM(BASE[[#This Row],[MONTO DE RENTA ]]*1.16)</f>
        <v>429.00279999999998</v>
      </c>
      <c r="AE997" s="28" t="s">
        <v>63</v>
      </c>
      <c r="AF997" s="28">
        <v>369.82758620689657</v>
      </c>
      <c r="AG997" s="28">
        <v>429</v>
      </c>
      <c r="AH997" s="22" t="s">
        <v>64</v>
      </c>
      <c r="AI997" s="63">
        <v>45703</v>
      </c>
      <c r="AJ997" s="63">
        <v>46433</v>
      </c>
      <c r="AK9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7" s="30"/>
      <c r="AN997" s="20" t="s">
        <v>65</v>
      </c>
      <c r="AP997" s="20" t="s">
        <v>84</v>
      </c>
    </row>
    <row r="998" spans="1:43" ht="16">
      <c r="A998" s="20">
        <v>6461446004</v>
      </c>
      <c r="B998" s="21">
        <v>750388</v>
      </c>
      <c r="C998" s="20" t="s">
        <v>4562</v>
      </c>
      <c r="D998" s="20" t="s">
        <v>4563</v>
      </c>
      <c r="E998" s="20" t="s">
        <v>1598</v>
      </c>
      <c r="F998" s="20" t="s">
        <v>359</v>
      </c>
      <c r="G998" s="20" t="s">
        <v>248</v>
      </c>
      <c r="H998" s="20" t="s">
        <v>48</v>
      </c>
      <c r="I998" s="20" t="s">
        <v>359</v>
      </c>
      <c r="J998" s="22" t="s">
        <v>4564</v>
      </c>
      <c r="K998" s="22" t="s">
        <v>4564</v>
      </c>
      <c r="L998" s="23" t="s">
        <v>4559</v>
      </c>
      <c r="M998" s="24" t="s">
        <v>7745</v>
      </c>
      <c r="N998" s="23">
        <v>18775000</v>
      </c>
      <c r="O998" s="25" t="s">
        <v>126</v>
      </c>
      <c r="P998" s="25" t="s">
        <v>53</v>
      </c>
      <c r="Q998" s="20" t="s">
        <v>4565</v>
      </c>
      <c r="R998" s="20">
        <v>11587063</v>
      </c>
      <c r="S998" s="25" t="s">
        <v>4566</v>
      </c>
      <c r="T998" s="26" t="s">
        <v>57</v>
      </c>
      <c r="U998" s="23">
        <v>860900062336193</v>
      </c>
      <c r="V998" s="27" t="s">
        <v>57</v>
      </c>
      <c r="W998" s="20" t="s">
        <v>58</v>
      </c>
      <c r="X998" s="20" t="s">
        <v>59</v>
      </c>
      <c r="Y998" s="20" t="s">
        <v>59</v>
      </c>
      <c r="Z998" s="20" t="s">
        <v>60</v>
      </c>
      <c r="AA998" s="20" t="s">
        <v>61</v>
      </c>
      <c r="AB998" s="20" t="s">
        <v>96</v>
      </c>
      <c r="AC998" s="28">
        <v>369.83</v>
      </c>
      <c r="AD998" s="28">
        <f>SUM(BASE[[#This Row],[MONTO DE RENTA ]]*1.16)</f>
        <v>429.00279999999998</v>
      </c>
      <c r="AE998" s="28" t="s">
        <v>63</v>
      </c>
      <c r="AF998" s="28">
        <v>369.82758620689657</v>
      </c>
      <c r="AG998" s="28">
        <v>429</v>
      </c>
      <c r="AH998" s="22" t="s">
        <v>64</v>
      </c>
      <c r="AI998" s="63">
        <v>45703</v>
      </c>
      <c r="AJ998" s="63">
        <v>46433</v>
      </c>
      <c r="AK9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8" s="30"/>
      <c r="AN998" s="20" t="s">
        <v>65</v>
      </c>
      <c r="AP998" s="20" t="s">
        <v>84</v>
      </c>
    </row>
    <row r="999" spans="1:43" ht="16">
      <c r="A999" s="20">
        <v>6461446729</v>
      </c>
      <c r="B999" s="21">
        <v>750342</v>
      </c>
      <c r="C999" s="20" t="s">
        <v>733</v>
      </c>
      <c r="D999" s="20" t="s">
        <v>4567</v>
      </c>
      <c r="E999" s="20" t="s">
        <v>143</v>
      </c>
      <c r="F999" s="20" t="s">
        <v>257</v>
      </c>
      <c r="G999" s="20" t="s">
        <v>257</v>
      </c>
      <c r="H999" s="20" t="s">
        <v>48</v>
      </c>
      <c r="I999" s="20" t="s">
        <v>257</v>
      </c>
      <c r="J999" s="22" t="s">
        <v>4568</v>
      </c>
      <c r="K999" s="22" t="s">
        <v>4568</v>
      </c>
      <c r="L999" s="23" t="s">
        <v>4559</v>
      </c>
      <c r="M999" s="24" t="s">
        <v>7745</v>
      </c>
      <c r="N999" s="23">
        <v>18775000</v>
      </c>
      <c r="O999" s="25" t="s">
        <v>126</v>
      </c>
      <c r="P999" s="25" t="s">
        <v>53</v>
      </c>
      <c r="Q999" s="20" t="s">
        <v>4569</v>
      </c>
      <c r="R999" s="20">
        <v>11591829</v>
      </c>
      <c r="S999" s="25" t="s">
        <v>4570</v>
      </c>
      <c r="T999" s="26" t="s">
        <v>57</v>
      </c>
      <c r="U999" s="23">
        <v>860478064863282</v>
      </c>
      <c r="V999" s="45" t="s">
        <v>110</v>
      </c>
      <c r="W999" s="20" t="s">
        <v>302</v>
      </c>
      <c r="X999" s="20" t="s">
        <v>303</v>
      </c>
      <c r="Y999" s="20" t="s">
        <v>303</v>
      </c>
      <c r="Z999" s="20" t="s">
        <v>80</v>
      </c>
      <c r="AA999" s="20" t="s">
        <v>81</v>
      </c>
      <c r="AB999" s="20" t="s">
        <v>82</v>
      </c>
      <c r="AC999" s="28">
        <v>559.48</v>
      </c>
      <c r="AD999" s="28">
        <f>SUM(BASE[[#This Row],[MONTO DE RENTA ]]*1.16)</f>
        <v>648.99680000000001</v>
      </c>
      <c r="AE999" s="28" t="s">
        <v>83</v>
      </c>
      <c r="AF999" s="28">
        <v>559.48275862068965</v>
      </c>
      <c r="AG999" s="28">
        <v>649</v>
      </c>
      <c r="AH999" s="22" t="s">
        <v>64</v>
      </c>
      <c r="AI999" s="63">
        <v>45703</v>
      </c>
      <c r="AJ999" s="63">
        <v>46433</v>
      </c>
      <c r="AK9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999" s="30"/>
      <c r="AN999" s="20" t="s">
        <v>65</v>
      </c>
      <c r="AP999" s="20" t="s">
        <v>84</v>
      </c>
    </row>
    <row r="1000" spans="1:43" ht="16">
      <c r="A1000" s="20">
        <v>6461170463</v>
      </c>
      <c r="B1000" s="21">
        <v>750256</v>
      </c>
      <c r="C1000" s="20" t="s">
        <v>740</v>
      </c>
      <c r="D1000" s="20" t="s">
        <v>507</v>
      </c>
      <c r="E1000" s="20" t="s">
        <v>770</v>
      </c>
      <c r="F1000" s="20" t="s">
        <v>104</v>
      </c>
      <c r="G1000" s="20" t="s">
        <v>104</v>
      </c>
      <c r="H1000" s="20" t="s">
        <v>48</v>
      </c>
      <c r="I1000" s="20" t="s">
        <v>104</v>
      </c>
      <c r="J1000" s="22" t="s">
        <v>4571</v>
      </c>
      <c r="K1000" s="54" t="s">
        <v>4571</v>
      </c>
      <c r="L1000" s="23" t="s">
        <v>4559</v>
      </c>
      <c r="M1000" s="24" t="s">
        <v>7745</v>
      </c>
      <c r="N1000" s="23">
        <v>18775000</v>
      </c>
      <c r="O1000" s="25" t="s">
        <v>126</v>
      </c>
      <c r="P1000" s="25" t="s">
        <v>53</v>
      </c>
      <c r="Q1000" s="20" t="s">
        <v>4572</v>
      </c>
      <c r="R1000" s="20">
        <v>12227529</v>
      </c>
      <c r="S1000" s="25" t="s">
        <v>4573</v>
      </c>
      <c r="T1000" s="44" t="s">
        <v>57</v>
      </c>
      <c r="U1000" s="23">
        <v>860478062378531</v>
      </c>
      <c r="V1000" s="45" t="s">
        <v>110</v>
      </c>
      <c r="W1000" s="20" t="s">
        <v>302</v>
      </c>
      <c r="X1000" s="20" t="s">
        <v>303</v>
      </c>
      <c r="Y1000" s="20" t="s">
        <v>303</v>
      </c>
      <c r="Z1000" s="20" t="s">
        <v>60</v>
      </c>
      <c r="AA1000" s="20" t="s">
        <v>61</v>
      </c>
      <c r="AB1000" s="20" t="s">
        <v>96</v>
      </c>
      <c r="AC1000" s="28">
        <v>369.83</v>
      </c>
      <c r="AD1000" s="28">
        <f>SUM(BASE[[#This Row],[MONTO DE RENTA ]]*1.16)</f>
        <v>429.00279999999998</v>
      </c>
      <c r="AE1000" s="28" t="s">
        <v>97</v>
      </c>
      <c r="AF1000" s="28">
        <v>473.27586206896552</v>
      </c>
      <c r="AG1000" s="28">
        <v>549</v>
      </c>
      <c r="AH1000" s="22" t="s">
        <v>448</v>
      </c>
      <c r="AI1000" s="63">
        <v>46068</v>
      </c>
      <c r="AJ1000" s="63">
        <v>46798</v>
      </c>
      <c r="AK1000" s="30">
        <f ca="1">IFERROR(IF(BASE[[#This Row],[FECHA DE RENOVACION ]]&gt;TODAY(), DATEDIF(TODAY(),BASE[[#This Row],[FECHA DE RENOVACION ]],"M"), -DATEDIF(BASE[[#This Row],[FECHA DE RENOVACION ]],TODAY(),"M")), "Sin fecha")</f>
        <v>23</v>
      </c>
      <c r="AM1000" s="30"/>
      <c r="AN1000" s="20" t="s">
        <v>4574</v>
      </c>
      <c r="AP1000" s="20" t="s">
        <v>66</v>
      </c>
    </row>
    <row r="1001" spans="1:43" ht="16">
      <c r="A1001" s="20">
        <v>6461442817</v>
      </c>
      <c r="B1001" s="21">
        <v>750353</v>
      </c>
      <c r="C1001" s="20" t="s">
        <v>4575</v>
      </c>
      <c r="D1001" s="20" t="s">
        <v>4576</v>
      </c>
      <c r="E1001" s="20" t="s">
        <v>477</v>
      </c>
      <c r="F1001" s="20" t="s">
        <v>104</v>
      </c>
      <c r="G1001" s="20" t="s">
        <v>104</v>
      </c>
      <c r="H1001" s="20" t="s">
        <v>48</v>
      </c>
      <c r="I1001" s="20" t="s">
        <v>104</v>
      </c>
      <c r="J1001" s="22" t="s">
        <v>4577</v>
      </c>
      <c r="K1001" s="32" t="s">
        <v>4577</v>
      </c>
      <c r="L1001" s="23" t="s">
        <v>4559</v>
      </c>
      <c r="M1001" s="24" t="s">
        <v>7745</v>
      </c>
      <c r="N1001" s="23">
        <v>18775000</v>
      </c>
      <c r="O1001" s="25" t="s">
        <v>126</v>
      </c>
      <c r="P1001" s="25" t="s">
        <v>53</v>
      </c>
      <c r="Q1001" s="20" t="s">
        <v>4578</v>
      </c>
      <c r="R1001" s="20">
        <v>11591834</v>
      </c>
      <c r="S1001" s="25" t="s">
        <v>4579</v>
      </c>
      <c r="T1001" s="26" t="s">
        <v>57</v>
      </c>
      <c r="U1001" s="23">
        <v>860478064863365</v>
      </c>
      <c r="V1001" s="45" t="s">
        <v>110</v>
      </c>
      <c r="W1001" s="20" t="s">
        <v>302</v>
      </c>
      <c r="X1001" s="20" t="s">
        <v>303</v>
      </c>
      <c r="Y1001" s="20" t="s">
        <v>303</v>
      </c>
      <c r="Z1001" s="20" t="s">
        <v>80</v>
      </c>
      <c r="AA1001" s="20" t="s">
        <v>81</v>
      </c>
      <c r="AB1001" s="20" t="s">
        <v>82</v>
      </c>
      <c r="AC1001" s="28">
        <v>559.48</v>
      </c>
      <c r="AD1001" s="28">
        <f>SUM(BASE[[#This Row],[MONTO DE RENTA ]]*1.16)</f>
        <v>648.99680000000001</v>
      </c>
      <c r="AE1001" s="28" t="s">
        <v>83</v>
      </c>
      <c r="AF1001" s="28">
        <v>559.48275862068965</v>
      </c>
      <c r="AG1001" s="28">
        <v>649</v>
      </c>
      <c r="AH1001" s="22" t="s">
        <v>64</v>
      </c>
      <c r="AI1001" s="63">
        <v>45703</v>
      </c>
      <c r="AJ1001" s="63">
        <v>46433</v>
      </c>
      <c r="AK10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1" s="30"/>
      <c r="AN1001" s="20" t="s">
        <v>65</v>
      </c>
      <c r="AP1001" s="20" t="s">
        <v>84</v>
      </c>
    </row>
    <row r="1002" spans="1:43" ht="16">
      <c r="A1002" s="20">
        <v>6461445231</v>
      </c>
      <c r="B1002" s="21">
        <v>750461</v>
      </c>
      <c r="C1002" s="20" t="s">
        <v>4580</v>
      </c>
      <c r="D1002" s="20" t="s">
        <v>45</v>
      </c>
      <c r="E1002" s="20" t="s">
        <v>358</v>
      </c>
      <c r="F1002" s="20" t="s">
        <v>104</v>
      </c>
      <c r="G1002" s="20" t="s">
        <v>104</v>
      </c>
      <c r="H1002" s="20" t="s">
        <v>48</v>
      </c>
      <c r="I1002" s="20" t="s">
        <v>104</v>
      </c>
      <c r="J1002" s="22" t="s">
        <v>4581</v>
      </c>
      <c r="K1002" s="22" t="s">
        <v>4581</v>
      </c>
      <c r="L1002" s="23" t="s">
        <v>4559</v>
      </c>
      <c r="M1002" s="24" t="s">
        <v>7745</v>
      </c>
      <c r="N1002" s="23">
        <v>18775000</v>
      </c>
      <c r="O1002" s="25" t="s">
        <v>126</v>
      </c>
      <c r="P1002" s="25" t="s">
        <v>53</v>
      </c>
      <c r="Q1002" s="20" t="s">
        <v>4582</v>
      </c>
      <c r="R1002" s="20">
        <v>11560881</v>
      </c>
      <c r="S1002" s="25" t="s">
        <v>4583</v>
      </c>
      <c r="T1002" s="26" t="s">
        <v>57</v>
      </c>
      <c r="U1002" s="23">
        <v>860478064845347</v>
      </c>
      <c r="V1002" s="45" t="s">
        <v>110</v>
      </c>
      <c r="W1002" s="20" t="s">
        <v>302</v>
      </c>
      <c r="X1002" s="20" t="s">
        <v>303</v>
      </c>
      <c r="Y1002" s="20" t="s">
        <v>303</v>
      </c>
      <c r="Z1002" s="20" t="s">
        <v>80</v>
      </c>
      <c r="AA1002" s="20" t="s">
        <v>81</v>
      </c>
      <c r="AB1002" s="20" t="s">
        <v>82</v>
      </c>
      <c r="AC1002" s="28">
        <v>559.48</v>
      </c>
      <c r="AD1002" s="28">
        <f>SUM(BASE[[#This Row],[MONTO DE RENTA ]]*1.16)</f>
        <v>648.99680000000001</v>
      </c>
      <c r="AE1002" s="28" t="s">
        <v>83</v>
      </c>
      <c r="AF1002" s="28">
        <v>559.48275862068965</v>
      </c>
      <c r="AG1002" s="28">
        <v>649</v>
      </c>
      <c r="AH1002" s="22" t="s">
        <v>64</v>
      </c>
      <c r="AI1002" s="29">
        <v>45703</v>
      </c>
      <c r="AJ1002" s="29">
        <v>46433</v>
      </c>
      <c r="AK10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2" s="30"/>
      <c r="AN1002" s="20" t="s">
        <v>65</v>
      </c>
      <c r="AP1002" s="20" t="s">
        <v>84</v>
      </c>
    </row>
    <row r="1003" spans="1:43" ht="16">
      <c r="A1003" s="20">
        <v>6461602457</v>
      </c>
      <c r="B1003" s="49">
        <v>750335</v>
      </c>
      <c r="C1003" s="20" t="s">
        <v>4584</v>
      </c>
      <c r="D1003" s="20" t="s">
        <v>4585</v>
      </c>
      <c r="E1003" s="20" t="s">
        <v>946</v>
      </c>
      <c r="F1003" s="20" t="s">
        <v>122</v>
      </c>
      <c r="G1003" s="20" t="s">
        <v>122</v>
      </c>
      <c r="H1003" s="20" t="s">
        <v>48</v>
      </c>
      <c r="I1003" s="20" t="s">
        <v>122</v>
      </c>
      <c r="J1003" s="22" t="s">
        <v>4586</v>
      </c>
      <c r="K1003" s="22" t="s">
        <v>4586</v>
      </c>
      <c r="L1003" s="23" t="s">
        <v>4559</v>
      </c>
      <c r="M1003" s="24" t="s">
        <v>7745</v>
      </c>
      <c r="N1003" s="23">
        <v>18775000</v>
      </c>
      <c r="O1003" s="25" t="s">
        <v>126</v>
      </c>
      <c r="P1003" s="25" t="s">
        <v>53</v>
      </c>
      <c r="Q1003" s="20" t="s">
        <v>4587</v>
      </c>
      <c r="R1003" s="20">
        <v>11759912</v>
      </c>
      <c r="S1003" s="25" t="s">
        <v>55</v>
      </c>
      <c r="T1003" s="26" t="s">
        <v>56</v>
      </c>
      <c r="U1003" s="23">
        <v>865356065668212</v>
      </c>
      <c r="V1003" s="27" t="s">
        <v>183</v>
      </c>
      <c r="W1003" s="20" t="s">
        <v>129</v>
      </c>
      <c r="X1003" s="20" t="s">
        <v>130</v>
      </c>
      <c r="Y1003" s="20" t="s">
        <v>130</v>
      </c>
      <c r="Z1003" s="20" t="s">
        <v>60</v>
      </c>
      <c r="AA1003" s="20" t="s">
        <v>61</v>
      </c>
      <c r="AB1003" s="20" t="s">
        <v>96</v>
      </c>
      <c r="AC1003" s="28">
        <v>369.83</v>
      </c>
      <c r="AD1003" s="28">
        <f>SUM(BASE[[#This Row],[MONTO DE RENTA ]]*1.16)</f>
        <v>429.00279999999998</v>
      </c>
      <c r="AE1003" s="28" t="s">
        <v>63</v>
      </c>
      <c r="AF1003" s="28">
        <v>369.82758620689657</v>
      </c>
      <c r="AG1003" s="28">
        <v>429</v>
      </c>
      <c r="AI1003" s="63">
        <v>44937</v>
      </c>
      <c r="AJ1003" s="73">
        <v>46043</v>
      </c>
      <c r="AK10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03" s="30"/>
      <c r="AN1003" s="20" t="s">
        <v>99</v>
      </c>
      <c r="AP1003" s="20" t="s">
        <v>84</v>
      </c>
      <c r="AQ1003" s="20" t="s">
        <v>100</v>
      </c>
    </row>
    <row r="1004" spans="1:43" ht="16">
      <c r="A1004" s="20">
        <v>6461445834</v>
      </c>
      <c r="B1004" s="49">
        <v>420015</v>
      </c>
      <c r="C1004" s="20" t="s">
        <v>1614</v>
      </c>
      <c r="D1004" s="20" t="s">
        <v>770</v>
      </c>
      <c r="E1004" s="20" t="s">
        <v>614</v>
      </c>
      <c r="F1004" s="20" t="s">
        <v>70</v>
      </c>
      <c r="G1004" s="20" t="s">
        <v>70</v>
      </c>
      <c r="H1004" s="20" t="s">
        <v>48</v>
      </c>
      <c r="I1004" s="20" t="s">
        <v>70</v>
      </c>
      <c r="J1004" s="22" t="s">
        <v>4588</v>
      </c>
      <c r="K1004" s="22" t="s">
        <v>4588</v>
      </c>
      <c r="L1004" s="23" t="s">
        <v>4559</v>
      </c>
      <c r="M1004" s="24" t="s">
        <v>7745</v>
      </c>
      <c r="N1004" s="23">
        <v>18775000</v>
      </c>
      <c r="O1004" s="25" t="s">
        <v>126</v>
      </c>
      <c r="P1004" s="25" t="s">
        <v>53</v>
      </c>
      <c r="Q1004" s="20" t="s">
        <v>4589</v>
      </c>
      <c r="R1004" s="20">
        <v>11511438</v>
      </c>
      <c r="S1004" s="25" t="s">
        <v>55</v>
      </c>
      <c r="T1004" s="26" t="s">
        <v>56</v>
      </c>
      <c r="U1004" s="23">
        <v>357654177682591</v>
      </c>
      <c r="V1004" s="27" t="s">
        <v>78</v>
      </c>
      <c r="W1004" s="20" t="s">
        <v>95</v>
      </c>
      <c r="X1004" s="20" t="s">
        <v>95</v>
      </c>
      <c r="Y1004" s="20" t="s">
        <v>95</v>
      </c>
      <c r="Z1004" s="20" t="s">
        <v>60</v>
      </c>
      <c r="AA1004" s="20" t="s">
        <v>61</v>
      </c>
      <c r="AB1004" s="20" t="s">
        <v>82</v>
      </c>
      <c r="AC1004" s="28">
        <v>559.48</v>
      </c>
      <c r="AD1004" s="28">
        <f>SUM(BASE[[#This Row],[MONTO DE RENTA ]]*1.16)</f>
        <v>648.99680000000001</v>
      </c>
      <c r="AE1004" s="28" t="s">
        <v>83</v>
      </c>
      <c r="AF1004" s="28">
        <v>559.48275862068965</v>
      </c>
      <c r="AG1004" s="28">
        <v>649</v>
      </c>
      <c r="AI1004" s="29">
        <v>44937</v>
      </c>
      <c r="AJ1004" s="50">
        <v>46043</v>
      </c>
      <c r="AK100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04" s="30"/>
      <c r="AN1004" s="20" t="s">
        <v>99</v>
      </c>
      <c r="AP1004" s="20" t="s">
        <v>84</v>
      </c>
      <c r="AQ1004" s="20" t="s">
        <v>100</v>
      </c>
    </row>
    <row r="1005" spans="1:43" ht="16">
      <c r="A1005" s="20">
        <v>2291633280</v>
      </c>
      <c r="B1005" s="21">
        <v>1040550</v>
      </c>
      <c r="C1005" s="20" t="s">
        <v>4590</v>
      </c>
      <c r="D1005" s="20" t="s">
        <v>4591</v>
      </c>
      <c r="E1005" s="20" t="s">
        <v>4592</v>
      </c>
      <c r="F1005" s="20" t="s">
        <v>4593</v>
      </c>
      <c r="G1005" s="20" t="s">
        <v>47</v>
      </c>
      <c r="H1005" s="20" t="s">
        <v>48</v>
      </c>
      <c r="I1005" s="20" t="s">
        <v>4593</v>
      </c>
      <c r="J1005" s="22" t="s">
        <v>4594</v>
      </c>
      <c r="K1005" s="22" t="s">
        <v>4594</v>
      </c>
      <c r="L1005" s="23" t="s">
        <v>4595</v>
      </c>
      <c r="M1005" s="24" t="s">
        <v>7753</v>
      </c>
      <c r="N1005" s="23">
        <v>18776000</v>
      </c>
      <c r="O1005" s="25" t="s">
        <v>828</v>
      </c>
      <c r="P1005" s="25" t="s">
        <v>53</v>
      </c>
      <c r="Q1005" s="20" t="s">
        <v>4596</v>
      </c>
      <c r="R1005" s="20">
        <v>73085089</v>
      </c>
      <c r="S1005" s="25" t="s">
        <v>4597</v>
      </c>
      <c r="T1005" s="26" t="s">
        <v>57</v>
      </c>
      <c r="U1005" s="23">
        <v>860900062321914</v>
      </c>
      <c r="V1005" s="27" t="s">
        <v>57</v>
      </c>
      <c r="W1005" s="20" t="s">
        <v>58</v>
      </c>
      <c r="X1005" s="20" t="s">
        <v>59</v>
      </c>
      <c r="Y1005" s="20" t="s">
        <v>59</v>
      </c>
      <c r="Z1005" s="20" t="s">
        <v>60</v>
      </c>
      <c r="AA1005" s="20" t="s">
        <v>61</v>
      </c>
      <c r="AB1005" s="20" t="s">
        <v>96</v>
      </c>
      <c r="AC1005" s="28">
        <v>369.83</v>
      </c>
      <c r="AD1005" s="28">
        <f>SUM(BASE[[#This Row],[MONTO DE RENTA ]]*1.16)</f>
        <v>429.00279999999998</v>
      </c>
      <c r="AE1005" s="28" t="s">
        <v>63</v>
      </c>
      <c r="AF1005" s="28">
        <v>369.82758620689657</v>
      </c>
      <c r="AG1005" s="28">
        <v>429</v>
      </c>
      <c r="AH1005" s="22" t="s">
        <v>64</v>
      </c>
      <c r="AI1005" s="63">
        <v>45703</v>
      </c>
      <c r="AJ1005" s="63">
        <v>46433</v>
      </c>
      <c r="AK100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5" s="30"/>
      <c r="AN1005" s="20" t="s">
        <v>65</v>
      </c>
      <c r="AP1005" s="20" t="s">
        <v>84</v>
      </c>
    </row>
    <row r="1006" spans="1:43" ht="16">
      <c r="A1006" s="20">
        <v>2292333904</v>
      </c>
      <c r="B1006" s="21">
        <v>760062</v>
      </c>
      <c r="C1006" s="20" t="s">
        <v>4598</v>
      </c>
      <c r="D1006" s="20" t="s">
        <v>4599</v>
      </c>
      <c r="E1006" s="20" t="s">
        <v>4600</v>
      </c>
      <c r="F1006" s="20" t="s">
        <v>359</v>
      </c>
      <c r="G1006" s="20" t="s">
        <v>248</v>
      </c>
      <c r="H1006" s="20" t="s">
        <v>48</v>
      </c>
      <c r="I1006" s="20" t="s">
        <v>359</v>
      </c>
      <c r="J1006" s="22" t="s">
        <v>4601</v>
      </c>
      <c r="K1006" s="22" t="s">
        <v>4601</v>
      </c>
      <c r="L1006" s="23" t="s">
        <v>4595</v>
      </c>
      <c r="M1006" s="24" t="s">
        <v>7753</v>
      </c>
      <c r="N1006" s="23">
        <v>18776000</v>
      </c>
      <c r="O1006" s="25" t="s">
        <v>828</v>
      </c>
      <c r="P1006" s="25" t="s">
        <v>53</v>
      </c>
      <c r="Q1006" s="20" t="s">
        <v>4602</v>
      </c>
      <c r="R1006" s="20">
        <v>73065652</v>
      </c>
      <c r="S1006" s="25" t="s">
        <v>4603</v>
      </c>
      <c r="T1006" s="26" t="s">
        <v>57</v>
      </c>
      <c r="U1006" s="23">
        <v>860900062338603</v>
      </c>
      <c r="V1006" s="27" t="s">
        <v>57</v>
      </c>
      <c r="W1006" s="20" t="s">
        <v>58</v>
      </c>
      <c r="X1006" s="20" t="s">
        <v>59</v>
      </c>
      <c r="Y1006" s="20" t="s">
        <v>59</v>
      </c>
      <c r="Z1006" s="20" t="s">
        <v>60</v>
      </c>
      <c r="AA1006" s="20" t="s">
        <v>61</v>
      </c>
      <c r="AB1006" s="20" t="s">
        <v>96</v>
      </c>
      <c r="AC1006" s="28">
        <v>369.83</v>
      </c>
      <c r="AD1006" s="28">
        <f>SUM(BASE[[#This Row],[MONTO DE RENTA ]]*1.16)</f>
        <v>429.00279999999998</v>
      </c>
      <c r="AE1006" s="28" t="s">
        <v>63</v>
      </c>
      <c r="AF1006" s="28">
        <v>369.82758620689657</v>
      </c>
      <c r="AG1006" s="28">
        <v>429</v>
      </c>
      <c r="AH1006" s="22" t="s">
        <v>64</v>
      </c>
      <c r="AI1006" s="63">
        <v>45703</v>
      </c>
      <c r="AJ1006" s="63">
        <v>46433</v>
      </c>
      <c r="AK10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6" s="30"/>
      <c r="AN1006" s="20" t="s">
        <v>65</v>
      </c>
      <c r="AP1006" s="20" t="s">
        <v>84</v>
      </c>
    </row>
    <row r="1007" spans="1:43" ht="22.5" customHeight="1">
      <c r="A1007" s="20">
        <v>2291637683</v>
      </c>
      <c r="B1007" s="21">
        <v>740441</v>
      </c>
      <c r="C1007" s="20" t="s">
        <v>3478</v>
      </c>
      <c r="D1007" s="20" t="s">
        <v>442</v>
      </c>
      <c r="E1007" s="20" t="s">
        <v>546</v>
      </c>
      <c r="F1007" s="20" t="s">
        <v>257</v>
      </c>
      <c r="G1007" s="20" t="s">
        <v>257</v>
      </c>
      <c r="H1007" s="20" t="s">
        <v>48</v>
      </c>
      <c r="I1007" s="20" t="s">
        <v>257</v>
      </c>
      <c r="J1007" s="22" t="s">
        <v>4604</v>
      </c>
      <c r="K1007" s="22" t="s">
        <v>4604</v>
      </c>
      <c r="L1007" s="23" t="s">
        <v>4595</v>
      </c>
      <c r="M1007" s="24" t="s">
        <v>7753</v>
      </c>
      <c r="N1007" s="23">
        <v>18774000</v>
      </c>
      <c r="O1007" s="25" t="s">
        <v>828</v>
      </c>
      <c r="P1007" s="25" t="s">
        <v>53</v>
      </c>
      <c r="Q1007" s="20" t="s">
        <v>4605</v>
      </c>
      <c r="R1007" s="20">
        <v>73076082</v>
      </c>
      <c r="S1007" s="25" t="s">
        <v>4606</v>
      </c>
      <c r="T1007" s="26" t="s">
        <v>57</v>
      </c>
      <c r="U1007" s="23">
        <v>860478064978395</v>
      </c>
      <c r="V1007" s="45" t="s">
        <v>110</v>
      </c>
      <c r="W1007" s="20" t="s">
        <v>302</v>
      </c>
      <c r="X1007" s="20" t="s">
        <v>303</v>
      </c>
      <c r="Y1007" s="20" t="s">
        <v>303</v>
      </c>
      <c r="Z1007" s="20" t="s">
        <v>80</v>
      </c>
      <c r="AA1007" s="20" t="s">
        <v>81</v>
      </c>
      <c r="AB1007" s="20" t="s">
        <v>82</v>
      </c>
      <c r="AC1007" s="28">
        <v>559.48</v>
      </c>
      <c r="AD1007" s="28">
        <f>SUM(BASE[[#This Row],[MONTO DE RENTA ]]*1.16)</f>
        <v>648.99680000000001</v>
      </c>
      <c r="AE1007" s="28" t="s">
        <v>83</v>
      </c>
      <c r="AF1007" s="28">
        <v>559.48275862068965</v>
      </c>
      <c r="AG1007" s="28">
        <v>649</v>
      </c>
      <c r="AH1007" s="22" t="s">
        <v>64</v>
      </c>
      <c r="AI1007" s="29">
        <v>45703</v>
      </c>
      <c r="AJ1007" s="29">
        <v>46433</v>
      </c>
      <c r="AK10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7" s="30"/>
      <c r="AN1007" s="20" t="s">
        <v>65</v>
      </c>
      <c r="AP1007" s="20" t="s">
        <v>84</v>
      </c>
    </row>
    <row r="1008" spans="1:43" s="171" customFormat="1" ht="22.5" customHeight="1">
      <c r="A1008" s="20">
        <v>2291638467</v>
      </c>
      <c r="B1008" s="21">
        <v>1028344</v>
      </c>
      <c r="C1008" s="20" t="s">
        <v>733</v>
      </c>
      <c r="D1008" s="20" t="s">
        <v>357</v>
      </c>
      <c r="E1008" s="20" t="s">
        <v>2158</v>
      </c>
      <c r="F1008" s="20" t="s">
        <v>104</v>
      </c>
      <c r="G1008" s="20" t="s">
        <v>104</v>
      </c>
      <c r="H1008" s="20" t="s">
        <v>48</v>
      </c>
      <c r="I1008" s="20" t="s">
        <v>104</v>
      </c>
      <c r="J1008" s="22" t="s">
        <v>4607</v>
      </c>
      <c r="K1008" s="22" t="s">
        <v>4607</v>
      </c>
      <c r="L1008" s="23" t="s">
        <v>4595</v>
      </c>
      <c r="M1008" s="24" t="s">
        <v>7753</v>
      </c>
      <c r="N1008" s="23">
        <v>18776000</v>
      </c>
      <c r="O1008" s="25" t="s">
        <v>828</v>
      </c>
      <c r="P1008" s="25" t="s">
        <v>53</v>
      </c>
      <c r="Q1008" s="20" t="s">
        <v>4608</v>
      </c>
      <c r="R1008" s="20">
        <v>73076092</v>
      </c>
      <c r="S1008" s="25" t="s">
        <v>4609</v>
      </c>
      <c r="T1008" s="26" t="s">
        <v>57</v>
      </c>
      <c r="U1008" s="23">
        <v>860478064978676</v>
      </c>
      <c r="V1008" s="45" t="s">
        <v>110</v>
      </c>
      <c r="W1008" s="20" t="s">
        <v>302</v>
      </c>
      <c r="X1008" s="20" t="s">
        <v>303</v>
      </c>
      <c r="Y1008" s="20" t="s">
        <v>303</v>
      </c>
      <c r="Z1008" s="20" t="s">
        <v>80</v>
      </c>
      <c r="AA1008" s="20" t="s">
        <v>81</v>
      </c>
      <c r="AB1008" s="20" t="s">
        <v>82</v>
      </c>
      <c r="AC1008" s="28">
        <v>559.48</v>
      </c>
      <c r="AD1008" s="28">
        <f>SUM(BASE[[#This Row],[MONTO DE RENTA ]]*1.16)</f>
        <v>648.99680000000001</v>
      </c>
      <c r="AE1008" s="28" t="s">
        <v>83</v>
      </c>
      <c r="AF1008" s="28">
        <v>559.48275862068965</v>
      </c>
      <c r="AG1008" s="28">
        <v>649</v>
      </c>
      <c r="AH1008" s="22" t="s">
        <v>64</v>
      </c>
      <c r="AI1008" s="63">
        <v>45703</v>
      </c>
      <c r="AJ1008" s="63">
        <v>46433</v>
      </c>
      <c r="AK10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08" s="20"/>
      <c r="AM1008" s="30"/>
      <c r="AN1008" s="20" t="s">
        <v>65</v>
      </c>
      <c r="AO1008" s="20"/>
      <c r="AP1008" s="20" t="s">
        <v>84</v>
      </c>
      <c r="AQ1008" s="20"/>
    </row>
    <row r="1009" spans="1:43" ht="22.5" customHeight="1">
      <c r="A1009" s="20">
        <v>2291638483</v>
      </c>
      <c r="B1009" s="21">
        <v>1039572</v>
      </c>
      <c r="C1009" s="20" t="s">
        <v>2220</v>
      </c>
      <c r="D1009" s="20" t="s">
        <v>1182</v>
      </c>
      <c r="E1009" s="20" t="s">
        <v>636</v>
      </c>
      <c r="F1009" s="20" t="s">
        <v>104</v>
      </c>
      <c r="G1009" s="20" t="s">
        <v>104</v>
      </c>
      <c r="H1009" s="20" t="s">
        <v>48</v>
      </c>
      <c r="I1009" s="20" t="s">
        <v>104</v>
      </c>
      <c r="J1009" s="22" t="s">
        <v>4610</v>
      </c>
      <c r="K1009" s="22" t="s">
        <v>4610</v>
      </c>
      <c r="L1009" s="23" t="s">
        <v>4595</v>
      </c>
      <c r="M1009" s="24" t="s">
        <v>7753</v>
      </c>
      <c r="N1009" s="23">
        <v>18776000</v>
      </c>
      <c r="O1009" s="25" t="s">
        <v>828</v>
      </c>
      <c r="P1009" s="25" t="s">
        <v>53</v>
      </c>
      <c r="Q1009" s="20" t="s">
        <v>4611</v>
      </c>
      <c r="R1009" s="20">
        <v>73076096</v>
      </c>
      <c r="S1009" s="25" t="s">
        <v>4612</v>
      </c>
      <c r="T1009" s="26" t="s">
        <v>57</v>
      </c>
      <c r="U1009" s="23">
        <v>860478064978718</v>
      </c>
      <c r="V1009" s="45" t="s">
        <v>110</v>
      </c>
      <c r="W1009" s="20" t="s">
        <v>302</v>
      </c>
      <c r="X1009" s="20" t="s">
        <v>303</v>
      </c>
      <c r="Y1009" s="20" t="s">
        <v>303</v>
      </c>
      <c r="Z1009" s="20" t="s">
        <v>80</v>
      </c>
      <c r="AA1009" s="20" t="s">
        <v>81</v>
      </c>
      <c r="AB1009" s="20" t="s">
        <v>82</v>
      </c>
      <c r="AC1009" s="28">
        <v>559.48</v>
      </c>
      <c r="AD1009" s="28">
        <f>SUM(BASE[[#This Row],[MONTO DE RENTA ]]*1.16)</f>
        <v>648.99680000000001</v>
      </c>
      <c r="AE1009" s="28" t="s">
        <v>83</v>
      </c>
      <c r="AF1009" s="28">
        <v>559.48275862068965</v>
      </c>
      <c r="AG1009" s="28">
        <v>649</v>
      </c>
      <c r="AH1009" s="22" t="s">
        <v>64</v>
      </c>
      <c r="AI1009" s="63">
        <v>45703</v>
      </c>
      <c r="AJ1009" s="63">
        <v>46433</v>
      </c>
      <c r="AK10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09" s="30"/>
      <c r="AN1009" s="20" t="s">
        <v>65</v>
      </c>
      <c r="AP1009" s="20" t="s">
        <v>84</v>
      </c>
    </row>
    <row r="1010" spans="1:43" ht="16">
      <c r="A1010" s="20">
        <v>2291637449</v>
      </c>
      <c r="B1010" s="21">
        <v>760351</v>
      </c>
      <c r="C1010" s="20" t="s">
        <v>4613</v>
      </c>
      <c r="D1010" s="20" t="s">
        <v>1166</v>
      </c>
      <c r="E1010" s="20" t="s">
        <v>4614</v>
      </c>
      <c r="F1010" s="20" t="s">
        <v>104</v>
      </c>
      <c r="G1010" s="20" t="s">
        <v>104</v>
      </c>
      <c r="H1010" s="20" t="s">
        <v>48</v>
      </c>
      <c r="I1010" s="20" t="s">
        <v>104</v>
      </c>
      <c r="J1010" s="22" t="s">
        <v>4615</v>
      </c>
      <c r="K1010" s="22" t="s">
        <v>4615</v>
      </c>
      <c r="L1010" s="23" t="s">
        <v>4595</v>
      </c>
      <c r="M1010" s="24" t="s">
        <v>7753</v>
      </c>
      <c r="N1010" s="23">
        <v>18776000</v>
      </c>
      <c r="O1010" s="25" t="s">
        <v>828</v>
      </c>
      <c r="P1010" s="25" t="s">
        <v>53</v>
      </c>
      <c r="Q1010" s="20" t="s">
        <v>4616</v>
      </c>
      <c r="R1010" s="20">
        <v>73076079</v>
      </c>
      <c r="S1010" s="25" t="s">
        <v>4617</v>
      </c>
      <c r="T1010" s="26" t="s">
        <v>57</v>
      </c>
      <c r="U1010" s="23">
        <v>860478064865097</v>
      </c>
      <c r="V1010" s="45" t="s">
        <v>110</v>
      </c>
      <c r="W1010" s="20" t="s">
        <v>302</v>
      </c>
      <c r="X1010" s="20" t="s">
        <v>303</v>
      </c>
      <c r="Y1010" s="20" t="s">
        <v>303</v>
      </c>
      <c r="Z1010" s="20" t="s">
        <v>80</v>
      </c>
      <c r="AA1010" s="20" t="s">
        <v>81</v>
      </c>
      <c r="AB1010" s="20" t="s">
        <v>82</v>
      </c>
      <c r="AC1010" s="28">
        <v>559.48</v>
      </c>
      <c r="AD1010" s="28">
        <f>SUM(BASE[[#This Row],[MONTO DE RENTA ]]*1.16)</f>
        <v>648.99680000000001</v>
      </c>
      <c r="AE1010" s="28" t="s">
        <v>83</v>
      </c>
      <c r="AF1010" s="28">
        <v>559.48275862068965</v>
      </c>
      <c r="AG1010" s="28">
        <v>649</v>
      </c>
      <c r="AH1010" s="22" t="s">
        <v>64</v>
      </c>
      <c r="AI1010" s="63">
        <v>45703</v>
      </c>
      <c r="AJ1010" s="63">
        <v>46433</v>
      </c>
      <c r="AK10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0" s="30"/>
      <c r="AN1010" s="20" t="s">
        <v>65</v>
      </c>
      <c r="AP1010" s="20" t="s">
        <v>84</v>
      </c>
    </row>
    <row r="1011" spans="1:43" ht="16">
      <c r="A1011" s="20">
        <v>2291744033</v>
      </c>
      <c r="B1011" s="21">
        <v>760416</v>
      </c>
      <c r="C1011" s="20" t="s">
        <v>4618</v>
      </c>
      <c r="D1011" s="20" t="s">
        <v>1638</v>
      </c>
      <c r="E1011" s="20" t="s">
        <v>4619</v>
      </c>
      <c r="F1011" s="20" t="s">
        <v>122</v>
      </c>
      <c r="G1011" s="20" t="s">
        <v>122</v>
      </c>
      <c r="H1011" s="20" t="s">
        <v>48</v>
      </c>
      <c r="I1011" s="20" t="s">
        <v>122</v>
      </c>
      <c r="J1011" s="22" t="s">
        <v>4620</v>
      </c>
      <c r="K1011" s="22" t="s">
        <v>4620</v>
      </c>
      <c r="L1011" s="23" t="s">
        <v>4595</v>
      </c>
      <c r="M1011" s="24" t="s">
        <v>7753</v>
      </c>
      <c r="N1011" s="23">
        <v>18776000</v>
      </c>
      <c r="O1011" s="25" t="s">
        <v>828</v>
      </c>
      <c r="P1011" s="25" t="s">
        <v>53</v>
      </c>
      <c r="Q1011" s="20" t="s">
        <v>4621</v>
      </c>
      <c r="R1011" s="20">
        <v>73719667</v>
      </c>
      <c r="S1011" s="25" t="s">
        <v>4622</v>
      </c>
      <c r="T1011" s="26" t="s">
        <v>57</v>
      </c>
      <c r="U1011" s="23">
        <v>860900062322003</v>
      </c>
      <c r="V1011" s="27" t="s">
        <v>57</v>
      </c>
      <c r="W1011" s="20" t="s">
        <v>58</v>
      </c>
      <c r="X1011" s="20" t="s">
        <v>59</v>
      </c>
      <c r="Y1011" s="20" t="s">
        <v>59</v>
      </c>
      <c r="Z1011" s="20" t="s">
        <v>60</v>
      </c>
      <c r="AA1011" s="20" t="s">
        <v>61</v>
      </c>
      <c r="AB1011" s="20" t="s">
        <v>96</v>
      </c>
      <c r="AC1011" s="28">
        <v>369.83</v>
      </c>
      <c r="AD1011" s="28">
        <f>SUM(BASE[[#This Row],[MONTO DE RENTA ]]*1.16)</f>
        <v>429.00279999999998</v>
      </c>
      <c r="AE1011" s="28" t="s">
        <v>63</v>
      </c>
      <c r="AF1011" s="28">
        <v>369.82758620689657</v>
      </c>
      <c r="AG1011" s="28">
        <v>429</v>
      </c>
      <c r="AH1011" s="22" t="s">
        <v>64</v>
      </c>
      <c r="AI1011" s="63">
        <v>45703</v>
      </c>
      <c r="AJ1011" s="63">
        <v>46433</v>
      </c>
      <c r="AK10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1" s="30"/>
      <c r="AN1011" s="20" t="s">
        <v>65</v>
      </c>
      <c r="AP1011" s="20" t="s">
        <v>84</v>
      </c>
    </row>
    <row r="1012" spans="1:43" ht="16">
      <c r="A1012" s="20">
        <v>2292317986</v>
      </c>
      <c r="B1012" s="49">
        <v>480005</v>
      </c>
      <c r="C1012" s="20" t="s">
        <v>356</v>
      </c>
      <c r="D1012" s="20" t="s">
        <v>4623</v>
      </c>
      <c r="E1012" s="20" t="s">
        <v>756</v>
      </c>
      <c r="F1012" s="20" t="s">
        <v>70</v>
      </c>
      <c r="G1012" s="20" t="s">
        <v>70</v>
      </c>
      <c r="H1012" s="20" t="s">
        <v>48</v>
      </c>
      <c r="I1012" s="20" t="s">
        <v>70</v>
      </c>
      <c r="J1012" s="22" t="s">
        <v>4624</v>
      </c>
      <c r="K1012" s="22" t="s">
        <v>4624</v>
      </c>
      <c r="L1012" s="23" t="s">
        <v>4595</v>
      </c>
      <c r="M1012" s="24" t="s">
        <v>7753</v>
      </c>
      <c r="N1012" s="23">
        <v>18776000</v>
      </c>
      <c r="O1012" s="25" t="s">
        <v>828</v>
      </c>
      <c r="P1012" s="25" t="s">
        <v>53</v>
      </c>
      <c r="Q1012" s="20" t="s">
        <v>4625</v>
      </c>
      <c r="R1012" s="20">
        <v>72922675</v>
      </c>
      <c r="S1012" s="25" t="s">
        <v>55</v>
      </c>
      <c r="T1012" s="26" t="s">
        <v>56</v>
      </c>
      <c r="U1012" s="23">
        <v>357654177954594</v>
      </c>
      <c r="V1012" s="27" t="s">
        <v>78</v>
      </c>
      <c r="W1012" s="20" t="s">
        <v>95</v>
      </c>
      <c r="X1012" s="20" t="s">
        <v>95</v>
      </c>
      <c r="Y1012" s="20" t="s">
        <v>95</v>
      </c>
      <c r="Z1012" s="20" t="s">
        <v>60</v>
      </c>
      <c r="AA1012" s="20" t="s">
        <v>61</v>
      </c>
      <c r="AB1012" s="20" t="s">
        <v>82</v>
      </c>
      <c r="AC1012" s="28">
        <v>559.48</v>
      </c>
      <c r="AD1012" s="28">
        <f>SUM(BASE[[#This Row],[MONTO DE RENTA ]]*1.16)</f>
        <v>648.99680000000001</v>
      </c>
      <c r="AE1012" s="28" t="s">
        <v>83</v>
      </c>
      <c r="AF1012" s="28">
        <v>559.48275862068965</v>
      </c>
      <c r="AG1012" s="28">
        <v>649</v>
      </c>
      <c r="AI1012" s="63">
        <v>44937</v>
      </c>
      <c r="AJ1012" s="73">
        <v>46043</v>
      </c>
      <c r="AK10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12" s="30"/>
      <c r="AN1012" s="20" t="s">
        <v>99</v>
      </c>
      <c r="AP1012" s="20" t="s">
        <v>84</v>
      </c>
      <c r="AQ1012" s="20" t="s">
        <v>100</v>
      </c>
    </row>
    <row r="1013" spans="1:43" s="69" customFormat="1" ht="16">
      <c r="A1013" s="20">
        <v>4621752831</v>
      </c>
      <c r="B1013" s="21">
        <v>770279</v>
      </c>
      <c r="C1013" s="20" t="s">
        <v>1930</v>
      </c>
      <c r="D1013" s="20" t="s">
        <v>4626</v>
      </c>
      <c r="E1013" s="20" t="s">
        <v>45</v>
      </c>
      <c r="F1013" s="20" t="s">
        <v>47</v>
      </c>
      <c r="G1013" s="20" t="s">
        <v>47</v>
      </c>
      <c r="H1013" s="20" t="s">
        <v>48</v>
      </c>
      <c r="I1013" s="20" t="s">
        <v>47</v>
      </c>
      <c r="J1013" s="22" t="s">
        <v>4627</v>
      </c>
      <c r="K1013" s="22" t="s">
        <v>4627</v>
      </c>
      <c r="L1013" s="23" t="s">
        <v>4628</v>
      </c>
      <c r="M1013" s="24" t="s">
        <v>7743</v>
      </c>
      <c r="N1013" s="23">
        <v>18777000</v>
      </c>
      <c r="O1013" s="25" t="s">
        <v>93</v>
      </c>
      <c r="P1013" s="25" t="s">
        <v>53</v>
      </c>
      <c r="Q1013" s="20" t="s">
        <v>4629</v>
      </c>
      <c r="R1013" s="20">
        <v>62129226</v>
      </c>
      <c r="S1013" s="25" t="s">
        <v>4630</v>
      </c>
      <c r="T1013" s="26" t="s">
        <v>57</v>
      </c>
      <c r="U1013" s="23">
        <v>860900062338124</v>
      </c>
      <c r="V1013" s="27" t="s">
        <v>57</v>
      </c>
      <c r="W1013" s="20" t="s">
        <v>58</v>
      </c>
      <c r="X1013" s="20" t="s">
        <v>59</v>
      </c>
      <c r="Y1013" s="20" t="s">
        <v>59</v>
      </c>
      <c r="Z1013" s="20" t="s">
        <v>60</v>
      </c>
      <c r="AA1013" s="20" t="s">
        <v>61</v>
      </c>
      <c r="AB1013" s="20" t="s">
        <v>96</v>
      </c>
      <c r="AC1013" s="28">
        <v>369.83</v>
      </c>
      <c r="AD1013" s="28">
        <f>SUM(BASE[[#This Row],[MONTO DE RENTA ]]*1.16)</f>
        <v>429.00279999999998</v>
      </c>
      <c r="AE1013" s="28" t="s">
        <v>63</v>
      </c>
      <c r="AF1013" s="28">
        <v>369.82758620689657</v>
      </c>
      <c r="AG1013" s="28">
        <v>429</v>
      </c>
      <c r="AH1013" s="22" t="s">
        <v>64</v>
      </c>
      <c r="AI1013" s="63">
        <v>45703</v>
      </c>
      <c r="AJ1013" s="63">
        <v>46433</v>
      </c>
      <c r="AK10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13"/>
      <c r="AM1013" s="30"/>
      <c r="AN1013" s="20" t="s">
        <v>65</v>
      </c>
      <c r="AO1013" s="20"/>
      <c r="AP1013" s="20" t="s">
        <v>84</v>
      </c>
      <c r="AQ1013" s="20"/>
    </row>
    <row r="1014" spans="1:43" ht="16">
      <c r="A1014" s="20">
        <v>4621603447</v>
      </c>
      <c r="B1014" s="21">
        <v>770221</v>
      </c>
      <c r="C1014" s="20" t="s">
        <v>4631</v>
      </c>
      <c r="D1014" s="20" t="s">
        <v>172</v>
      </c>
      <c r="E1014" s="20" t="s">
        <v>1842</v>
      </c>
      <c r="F1014" s="20" t="s">
        <v>451</v>
      </c>
      <c r="G1014" s="20" t="s">
        <v>248</v>
      </c>
      <c r="H1014" s="20" t="s">
        <v>48</v>
      </c>
      <c r="I1014" s="20" t="s">
        <v>451</v>
      </c>
      <c r="J1014" s="22" t="s">
        <v>4632</v>
      </c>
      <c r="K1014" s="22" t="s">
        <v>4632</v>
      </c>
      <c r="L1014" s="23" t="s">
        <v>4628</v>
      </c>
      <c r="M1014" s="24" t="s">
        <v>7743</v>
      </c>
      <c r="N1014" s="23">
        <v>18777000</v>
      </c>
      <c r="O1014" s="25" t="s">
        <v>93</v>
      </c>
      <c r="P1014" s="25" t="s">
        <v>53</v>
      </c>
      <c r="Q1014" s="20" t="s">
        <v>4633</v>
      </c>
      <c r="R1014" s="20">
        <v>62116042</v>
      </c>
      <c r="S1014" s="25" t="s">
        <v>4634</v>
      </c>
      <c r="T1014" s="26" t="s">
        <v>57</v>
      </c>
      <c r="U1014" s="23">
        <v>860900062337522</v>
      </c>
      <c r="V1014" s="27" t="s">
        <v>57</v>
      </c>
      <c r="W1014" s="20" t="s">
        <v>58</v>
      </c>
      <c r="X1014" s="20" t="s">
        <v>59</v>
      </c>
      <c r="Y1014" s="20" t="s">
        <v>59</v>
      </c>
      <c r="Z1014" s="20" t="s">
        <v>60</v>
      </c>
      <c r="AA1014" s="20" t="s">
        <v>61</v>
      </c>
      <c r="AB1014" s="20" t="s">
        <v>96</v>
      </c>
      <c r="AC1014" s="28">
        <v>369.83</v>
      </c>
      <c r="AD1014" s="28">
        <f>SUM(BASE[[#This Row],[MONTO DE RENTA ]]*1.16)</f>
        <v>429.00279999999998</v>
      </c>
      <c r="AE1014" s="28" t="s">
        <v>63</v>
      </c>
      <c r="AF1014" s="28">
        <v>369.82758620689657</v>
      </c>
      <c r="AG1014" s="28">
        <v>429</v>
      </c>
      <c r="AH1014" s="22" t="s">
        <v>64</v>
      </c>
      <c r="AI1014" s="29">
        <v>45703</v>
      </c>
      <c r="AJ1014" s="29">
        <v>46433</v>
      </c>
      <c r="AK10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4" s="30"/>
      <c r="AN1014" s="20" t="s">
        <v>65</v>
      </c>
      <c r="AP1014" s="20" t="s">
        <v>84</v>
      </c>
    </row>
    <row r="1015" spans="1:43" ht="16">
      <c r="A1015" s="20">
        <v>4621751211</v>
      </c>
      <c r="B1015" s="21">
        <v>1037856</v>
      </c>
      <c r="C1015" s="20" t="s">
        <v>4635</v>
      </c>
      <c r="D1015" s="20" t="s">
        <v>172</v>
      </c>
      <c r="E1015" s="20" t="s">
        <v>4636</v>
      </c>
      <c r="F1015" s="20" t="s">
        <v>104</v>
      </c>
      <c r="G1015" s="20" t="s">
        <v>257</v>
      </c>
      <c r="H1015" s="20" t="s">
        <v>48</v>
      </c>
      <c r="I1015" s="20" t="s">
        <v>104</v>
      </c>
      <c r="J1015" s="22" t="s">
        <v>4637</v>
      </c>
      <c r="K1015" s="22" t="s">
        <v>4638</v>
      </c>
      <c r="L1015" s="23" t="s">
        <v>4628</v>
      </c>
      <c r="M1015" s="24" t="s">
        <v>7743</v>
      </c>
      <c r="N1015" s="23">
        <v>18777000</v>
      </c>
      <c r="O1015" s="25" t="s">
        <v>93</v>
      </c>
      <c r="P1015" s="25" t="s">
        <v>53</v>
      </c>
      <c r="Q1015" s="20" t="s">
        <v>4639</v>
      </c>
      <c r="R1015" s="20">
        <v>62123106</v>
      </c>
      <c r="S1015" s="25" t="s">
        <v>4640</v>
      </c>
      <c r="T1015" s="26" t="s">
        <v>57</v>
      </c>
      <c r="U1015" s="23">
        <v>860478064951533</v>
      </c>
      <c r="V1015" s="45" t="s">
        <v>110</v>
      </c>
      <c r="W1015" s="20" t="s">
        <v>302</v>
      </c>
      <c r="X1015" s="20" t="s">
        <v>303</v>
      </c>
      <c r="Y1015" s="20" t="s">
        <v>303</v>
      </c>
      <c r="Z1015" s="20" t="s">
        <v>80</v>
      </c>
      <c r="AA1015" s="20" t="s">
        <v>81</v>
      </c>
      <c r="AB1015" s="20" t="s">
        <v>82</v>
      </c>
      <c r="AC1015" s="28">
        <v>559.48</v>
      </c>
      <c r="AD1015" s="28">
        <f>SUM(BASE[[#This Row],[MONTO DE RENTA ]]*1.16)</f>
        <v>648.99680000000001</v>
      </c>
      <c r="AE1015" s="28" t="s">
        <v>83</v>
      </c>
      <c r="AF1015" s="28">
        <v>559.48275862068965</v>
      </c>
      <c r="AG1015" s="28">
        <v>649</v>
      </c>
      <c r="AH1015" s="22" t="s">
        <v>64</v>
      </c>
      <c r="AI1015" s="63">
        <v>45703</v>
      </c>
      <c r="AJ1015" s="63">
        <v>46433</v>
      </c>
      <c r="AK10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5" s="30"/>
      <c r="AN1015" s="20" t="s">
        <v>65</v>
      </c>
      <c r="AP1015" s="20" t="s">
        <v>84</v>
      </c>
    </row>
    <row r="1016" spans="1:43" ht="16">
      <c r="A1016" s="20">
        <v>4621751405</v>
      </c>
      <c r="B1016" s="21">
        <v>1057785</v>
      </c>
      <c r="C1016" s="20" t="s">
        <v>4641</v>
      </c>
      <c r="D1016" s="20" t="s">
        <v>2022</v>
      </c>
      <c r="E1016" s="20" t="s">
        <v>863</v>
      </c>
      <c r="F1016" s="20" t="s">
        <v>257</v>
      </c>
      <c r="G1016" s="20" t="s">
        <v>104</v>
      </c>
      <c r="H1016" s="20" t="s">
        <v>48</v>
      </c>
      <c r="I1016" s="20" t="s">
        <v>257</v>
      </c>
      <c r="J1016" s="22" t="s">
        <v>4642</v>
      </c>
      <c r="K1016" s="22" t="s">
        <v>4642</v>
      </c>
      <c r="L1016" s="23" t="s">
        <v>4628</v>
      </c>
      <c r="M1016" s="24" t="s">
        <v>7743</v>
      </c>
      <c r="N1016" s="23">
        <v>18777000</v>
      </c>
      <c r="O1016" s="25" t="s">
        <v>93</v>
      </c>
      <c r="P1016" s="25" t="s">
        <v>53</v>
      </c>
      <c r="Q1016" s="20" t="s">
        <v>4643</v>
      </c>
      <c r="R1016" s="20">
        <v>62123066</v>
      </c>
      <c r="S1016" s="25" t="s">
        <v>4644</v>
      </c>
      <c r="T1016" s="26" t="s">
        <v>57</v>
      </c>
      <c r="U1016" s="23">
        <v>860478064951277</v>
      </c>
      <c r="V1016" s="45" t="s">
        <v>110</v>
      </c>
      <c r="W1016" s="20" t="s">
        <v>302</v>
      </c>
      <c r="X1016" s="20" t="s">
        <v>303</v>
      </c>
      <c r="Y1016" s="20" t="s">
        <v>303</v>
      </c>
      <c r="Z1016" s="20" t="s">
        <v>80</v>
      </c>
      <c r="AA1016" s="20" t="s">
        <v>81</v>
      </c>
      <c r="AB1016" s="20" t="s">
        <v>82</v>
      </c>
      <c r="AC1016" s="28">
        <v>559.48</v>
      </c>
      <c r="AD1016" s="28">
        <f>SUM(BASE[[#This Row],[MONTO DE RENTA ]]*1.16)</f>
        <v>648.99680000000001</v>
      </c>
      <c r="AE1016" s="28" t="s">
        <v>83</v>
      </c>
      <c r="AF1016" s="28">
        <v>559.48275862068965</v>
      </c>
      <c r="AG1016" s="28">
        <v>649</v>
      </c>
      <c r="AH1016" s="22" t="s">
        <v>64</v>
      </c>
      <c r="AI1016" s="63">
        <v>45713</v>
      </c>
      <c r="AJ1016" s="63">
        <v>46433</v>
      </c>
      <c r="AK10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6" s="30"/>
      <c r="AN1016" s="20" t="s">
        <v>65</v>
      </c>
      <c r="AP1016" s="20" t="s">
        <v>84</v>
      </c>
    </row>
    <row r="1017" spans="1:43" ht="16">
      <c r="A1017" s="20">
        <v>4621004005</v>
      </c>
      <c r="B1017" s="21">
        <v>1067604</v>
      </c>
      <c r="C1017" s="20" t="s">
        <v>742</v>
      </c>
      <c r="D1017" s="20" t="s">
        <v>298</v>
      </c>
      <c r="E1017" s="20" t="s">
        <v>1221</v>
      </c>
      <c r="F1017" s="20" t="s">
        <v>104</v>
      </c>
      <c r="G1017" s="20" t="s">
        <v>104</v>
      </c>
      <c r="H1017" s="20" t="s">
        <v>48</v>
      </c>
      <c r="I1017" s="20" t="s">
        <v>104</v>
      </c>
      <c r="J1017" s="22" t="s">
        <v>4645</v>
      </c>
      <c r="K1017" s="22" t="s">
        <v>4645</v>
      </c>
      <c r="L1017" s="23" t="s">
        <v>4628</v>
      </c>
      <c r="M1017" s="24" t="s">
        <v>7743</v>
      </c>
      <c r="N1017" s="23">
        <v>18777000</v>
      </c>
      <c r="O1017" s="25" t="s">
        <v>93</v>
      </c>
      <c r="P1017" s="25" t="s">
        <v>53</v>
      </c>
      <c r="Q1017" s="20" t="s">
        <v>4646</v>
      </c>
      <c r="R1017" s="20">
        <v>62255246</v>
      </c>
      <c r="S1017" s="25" t="s">
        <v>4647</v>
      </c>
      <c r="T1017" s="26" t="s">
        <v>57</v>
      </c>
      <c r="U1017" s="23">
        <v>860478064978759</v>
      </c>
      <c r="V1017" s="45" t="s">
        <v>110</v>
      </c>
      <c r="W1017" s="20" t="s">
        <v>302</v>
      </c>
      <c r="X1017" s="20" t="s">
        <v>303</v>
      </c>
      <c r="Y1017" s="20" t="s">
        <v>303</v>
      </c>
      <c r="Z1017" s="20" t="s">
        <v>80</v>
      </c>
      <c r="AA1017" s="20" t="s">
        <v>81</v>
      </c>
      <c r="AB1017" s="20" t="s">
        <v>82</v>
      </c>
      <c r="AC1017" s="28">
        <v>559.48</v>
      </c>
      <c r="AD1017" s="28">
        <f>SUM(BASE[[#This Row],[MONTO DE RENTA ]]*1.16)</f>
        <v>648.99680000000001</v>
      </c>
      <c r="AE1017" s="28" t="s">
        <v>83</v>
      </c>
      <c r="AF1017" s="28">
        <v>559.48275862068965</v>
      </c>
      <c r="AG1017" s="28">
        <v>649</v>
      </c>
      <c r="AH1017" s="22" t="s">
        <v>64</v>
      </c>
      <c r="AI1017" s="63">
        <v>45713</v>
      </c>
      <c r="AJ1017" s="63">
        <v>46433</v>
      </c>
      <c r="AK10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17" s="30"/>
      <c r="AN1017" s="20" t="s">
        <v>65</v>
      </c>
      <c r="AP1017" s="20" t="s">
        <v>84</v>
      </c>
    </row>
    <row r="1018" spans="1:43" ht="16">
      <c r="A1018" s="20">
        <v>4622209016</v>
      </c>
      <c r="B1018" s="49">
        <v>770167</v>
      </c>
      <c r="C1018" s="20" t="s">
        <v>4648</v>
      </c>
      <c r="D1018" s="20" t="s">
        <v>347</v>
      </c>
      <c r="E1018" s="20" t="s">
        <v>4649</v>
      </c>
      <c r="F1018" s="20" t="s">
        <v>122</v>
      </c>
      <c r="G1018" s="20" t="s">
        <v>122</v>
      </c>
      <c r="H1018" s="20" t="s">
        <v>48</v>
      </c>
      <c r="I1018" s="20" t="s">
        <v>122</v>
      </c>
      <c r="J1018" s="22" t="s">
        <v>4650</v>
      </c>
      <c r="K1018" s="22" t="s">
        <v>4650</v>
      </c>
      <c r="L1018" s="23" t="s">
        <v>4628</v>
      </c>
      <c r="M1018" s="24" t="s">
        <v>7743</v>
      </c>
      <c r="N1018" s="23">
        <v>18777000</v>
      </c>
      <c r="O1018" s="25" t="s">
        <v>93</v>
      </c>
      <c r="P1018" s="25" t="s">
        <v>53</v>
      </c>
      <c r="Q1018" s="20" t="s">
        <v>4651</v>
      </c>
      <c r="R1018" s="20">
        <v>62434156</v>
      </c>
      <c r="S1018" s="25" t="s">
        <v>55</v>
      </c>
      <c r="T1018" s="26" t="s">
        <v>56</v>
      </c>
      <c r="U1018" s="23">
        <v>865356065672768</v>
      </c>
      <c r="V1018" s="27" t="s">
        <v>183</v>
      </c>
      <c r="W1018" s="20" t="s">
        <v>129</v>
      </c>
      <c r="X1018" s="20" t="s">
        <v>130</v>
      </c>
      <c r="Y1018" s="20" t="s">
        <v>130</v>
      </c>
      <c r="Z1018" s="20" t="s">
        <v>60</v>
      </c>
      <c r="AA1018" s="20" t="s">
        <v>61</v>
      </c>
      <c r="AB1018" s="20" t="s">
        <v>96</v>
      </c>
      <c r="AC1018" s="28">
        <v>369.83</v>
      </c>
      <c r="AD1018" s="28">
        <f>SUM(BASE[[#This Row],[MONTO DE RENTA ]]*1.16)</f>
        <v>429.00279999999998</v>
      </c>
      <c r="AE1018" s="28" t="s">
        <v>63</v>
      </c>
      <c r="AF1018" s="28">
        <v>369.82758620689657</v>
      </c>
      <c r="AG1018" s="28">
        <v>429</v>
      </c>
      <c r="AI1018" s="63">
        <v>44937</v>
      </c>
      <c r="AJ1018" s="73">
        <v>46043</v>
      </c>
      <c r="AK10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18" s="30"/>
      <c r="AN1018" s="20" t="s">
        <v>99</v>
      </c>
      <c r="AP1018" s="20" t="s">
        <v>84</v>
      </c>
      <c r="AQ1018" s="20" t="s">
        <v>100</v>
      </c>
    </row>
    <row r="1019" spans="1:43" ht="16">
      <c r="A1019" s="20">
        <v>4621207160</v>
      </c>
      <c r="B1019" s="49">
        <v>400008</v>
      </c>
      <c r="C1019" s="20" t="s">
        <v>274</v>
      </c>
      <c r="D1019" s="20" t="s">
        <v>477</v>
      </c>
      <c r="E1019" s="20" t="s">
        <v>2891</v>
      </c>
      <c r="F1019" s="20" t="s">
        <v>70</v>
      </c>
      <c r="G1019" s="20" t="s">
        <v>70</v>
      </c>
      <c r="H1019" s="20" t="s">
        <v>48</v>
      </c>
      <c r="I1019" s="20" t="s">
        <v>70</v>
      </c>
      <c r="J1019" s="22" t="s">
        <v>4652</v>
      </c>
      <c r="K1019" s="22" t="s">
        <v>4652</v>
      </c>
      <c r="L1019" s="23" t="s">
        <v>4628</v>
      </c>
      <c r="M1019" s="24" t="s">
        <v>7743</v>
      </c>
      <c r="N1019" s="23">
        <v>18777000</v>
      </c>
      <c r="O1019" s="25" t="s">
        <v>93</v>
      </c>
      <c r="P1019" s="25" t="s">
        <v>53</v>
      </c>
      <c r="Q1019" s="20" t="s">
        <v>4653</v>
      </c>
      <c r="R1019" s="20">
        <v>62025805</v>
      </c>
      <c r="S1019" s="25" t="s">
        <v>55</v>
      </c>
      <c r="T1019" s="26" t="s">
        <v>56</v>
      </c>
      <c r="U1019" s="23">
        <v>357894929733355</v>
      </c>
      <c r="V1019" s="27" t="s">
        <v>78</v>
      </c>
      <c r="W1019" s="20" t="s">
        <v>95</v>
      </c>
      <c r="X1019" s="20" t="s">
        <v>95</v>
      </c>
      <c r="Y1019" s="20" t="s">
        <v>95</v>
      </c>
      <c r="Z1019" s="20" t="s">
        <v>60</v>
      </c>
      <c r="AA1019" s="20" t="s">
        <v>61</v>
      </c>
      <c r="AB1019" s="20" t="s">
        <v>82</v>
      </c>
      <c r="AC1019" s="28">
        <v>559.48</v>
      </c>
      <c r="AD1019" s="28">
        <f>SUM(BASE[[#This Row],[MONTO DE RENTA ]]*1.16)</f>
        <v>648.99680000000001</v>
      </c>
      <c r="AE1019" s="28" t="s">
        <v>83</v>
      </c>
      <c r="AF1019" s="28">
        <v>559.48275862068965</v>
      </c>
      <c r="AG1019" s="28">
        <v>649</v>
      </c>
      <c r="AI1019" s="63">
        <v>44937</v>
      </c>
      <c r="AJ1019" s="73">
        <v>46043</v>
      </c>
      <c r="AK10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19" s="30"/>
      <c r="AN1019" s="20" t="s">
        <v>99</v>
      </c>
      <c r="AP1019" s="20" t="s">
        <v>84</v>
      </c>
      <c r="AQ1019" s="20" t="s">
        <v>100</v>
      </c>
    </row>
    <row r="1020" spans="1:43" ht="16">
      <c r="A1020" s="20">
        <v>4611995844</v>
      </c>
      <c r="B1020" s="21">
        <v>780009</v>
      </c>
      <c r="C1020" s="20" t="s">
        <v>1235</v>
      </c>
      <c r="D1020" s="20" t="s">
        <v>1443</v>
      </c>
      <c r="E1020" s="20" t="s">
        <v>187</v>
      </c>
      <c r="F1020" s="20" t="s">
        <v>509</v>
      </c>
      <c r="G1020" s="20" t="s">
        <v>47</v>
      </c>
      <c r="H1020" s="20" t="s">
        <v>48</v>
      </c>
      <c r="I1020" s="20" t="s">
        <v>509</v>
      </c>
      <c r="J1020" s="22" t="s">
        <v>4654</v>
      </c>
      <c r="K1020" s="22" t="s">
        <v>4654</v>
      </c>
      <c r="L1020" s="23" t="s">
        <v>4655</v>
      </c>
      <c r="M1020" s="24" t="s">
        <v>7743</v>
      </c>
      <c r="N1020" s="23">
        <v>18861000</v>
      </c>
      <c r="O1020" s="25" t="s">
        <v>93</v>
      </c>
      <c r="P1020" s="25" t="s">
        <v>53</v>
      </c>
      <c r="Q1020" s="20" t="s">
        <v>4656</v>
      </c>
      <c r="R1020" s="20">
        <v>62129234</v>
      </c>
      <c r="S1020" s="25" t="s">
        <v>4657</v>
      </c>
      <c r="T1020" s="26" t="s">
        <v>57</v>
      </c>
      <c r="U1020" s="23">
        <v>860900062336268</v>
      </c>
      <c r="V1020" s="27" t="s">
        <v>57</v>
      </c>
      <c r="W1020" s="20" t="s">
        <v>58</v>
      </c>
      <c r="X1020" s="20" t="s">
        <v>59</v>
      </c>
      <c r="Y1020" s="20" t="s">
        <v>59</v>
      </c>
      <c r="Z1020" s="20" t="s">
        <v>60</v>
      </c>
      <c r="AA1020" s="20" t="s">
        <v>61</v>
      </c>
      <c r="AB1020" s="20" t="s">
        <v>96</v>
      </c>
      <c r="AC1020" s="28">
        <v>369.83</v>
      </c>
      <c r="AD1020" s="28">
        <f>SUM(BASE[[#This Row],[MONTO DE RENTA ]]*1.16)</f>
        <v>429.00279999999998</v>
      </c>
      <c r="AE1020" s="28" t="s">
        <v>63</v>
      </c>
      <c r="AF1020" s="28">
        <v>369.82758620689657</v>
      </c>
      <c r="AG1020" s="28">
        <v>429</v>
      </c>
      <c r="AH1020" s="22" t="s">
        <v>64</v>
      </c>
      <c r="AI1020" s="63">
        <v>45703</v>
      </c>
      <c r="AJ1020" s="63">
        <v>46433</v>
      </c>
      <c r="AK10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0" s="30"/>
      <c r="AN1020" s="20" t="s">
        <v>65</v>
      </c>
      <c r="AP1020" s="20" t="s">
        <v>84</v>
      </c>
    </row>
    <row r="1021" spans="1:43" ht="16">
      <c r="A1021" s="20">
        <v>4611998385</v>
      </c>
      <c r="B1021" s="21">
        <v>780282</v>
      </c>
      <c r="C1021" s="20" t="s">
        <v>4658</v>
      </c>
      <c r="D1021" s="20" t="s">
        <v>4659</v>
      </c>
      <c r="E1021" s="20" t="s">
        <v>3753</v>
      </c>
      <c r="F1021" s="20" t="s">
        <v>248</v>
      </c>
      <c r="G1021" s="20" t="s">
        <v>248</v>
      </c>
      <c r="H1021" s="20" t="s">
        <v>48</v>
      </c>
      <c r="I1021" s="20" t="s">
        <v>248</v>
      </c>
      <c r="J1021" s="22" t="s">
        <v>4660</v>
      </c>
      <c r="K1021" s="22" t="s">
        <v>4660</v>
      </c>
      <c r="L1021" s="23" t="s">
        <v>4655</v>
      </c>
      <c r="M1021" s="24" t="s">
        <v>7743</v>
      </c>
      <c r="N1021" s="23">
        <v>18778000</v>
      </c>
      <c r="O1021" s="25" t="s">
        <v>93</v>
      </c>
      <c r="P1021" s="25" t="s">
        <v>53</v>
      </c>
      <c r="Q1021" s="20" t="s">
        <v>4661</v>
      </c>
      <c r="R1021" s="20">
        <v>62116041</v>
      </c>
      <c r="S1021" s="25" t="s">
        <v>4662</v>
      </c>
      <c r="T1021" s="26" t="s">
        <v>57</v>
      </c>
      <c r="U1021" s="23">
        <v>860900062336433</v>
      </c>
      <c r="V1021" s="27" t="s">
        <v>57</v>
      </c>
      <c r="W1021" s="20" t="s">
        <v>58</v>
      </c>
      <c r="X1021" s="20" t="s">
        <v>59</v>
      </c>
      <c r="Y1021" s="20" t="s">
        <v>59</v>
      </c>
      <c r="Z1021" s="20" t="s">
        <v>60</v>
      </c>
      <c r="AA1021" s="20" t="s">
        <v>61</v>
      </c>
      <c r="AB1021" s="20" t="s">
        <v>96</v>
      </c>
      <c r="AC1021" s="28">
        <v>369.83</v>
      </c>
      <c r="AD1021" s="28">
        <f>SUM(BASE[[#This Row],[MONTO DE RENTA ]]*1.16)</f>
        <v>429.00279999999998</v>
      </c>
      <c r="AE1021" s="28" t="s">
        <v>63</v>
      </c>
      <c r="AF1021" s="28">
        <v>369.82758620689657</v>
      </c>
      <c r="AG1021" s="28">
        <v>429</v>
      </c>
      <c r="AH1021" s="22" t="s">
        <v>64</v>
      </c>
      <c r="AI1021" s="63">
        <v>45703</v>
      </c>
      <c r="AJ1021" s="63">
        <v>46433</v>
      </c>
      <c r="AK10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1" s="30"/>
      <c r="AN1021" s="20" t="s">
        <v>65</v>
      </c>
      <c r="AP1021" s="20" t="s">
        <v>84</v>
      </c>
    </row>
    <row r="1022" spans="1:43" ht="16">
      <c r="A1022" s="20">
        <v>4612108339</v>
      </c>
      <c r="B1022" s="21">
        <v>160122</v>
      </c>
      <c r="C1022" s="20" t="s">
        <v>4663</v>
      </c>
      <c r="D1022" s="20" t="s">
        <v>4664</v>
      </c>
      <c r="E1022" s="20" t="s">
        <v>357</v>
      </c>
      <c r="F1022" s="20" t="s">
        <v>483</v>
      </c>
      <c r="G1022" s="20" t="s">
        <v>257</v>
      </c>
      <c r="H1022" s="20" t="s">
        <v>48</v>
      </c>
      <c r="I1022" s="20" t="s">
        <v>483</v>
      </c>
      <c r="J1022" s="22" t="s">
        <v>4665</v>
      </c>
      <c r="K1022" s="22" t="s">
        <v>4665</v>
      </c>
      <c r="L1022" s="23" t="s">
        <v>4655</v>
      </c>
      <c r="M1022" s="24" t="s">
        <v>7743</v>
      </c>
      <c r="N1022" s="23">
        <v>18778000</v>
      </c>
      <c r="O1022" s="25" t="s">
        <v>93</v>
      </c>
      <c r="P1022" s="25" t="s">
        <v>53</v>
      </c>
      <c r="Q1022" s="20" t="s">
        <v>4666</v>
      </c>
      <c r="R1022" s="20">
        <v>62099416</v>
      </c>
      <c r="S1022" s="25" t="s">
        <v>4667</v>
      </c>
      <c r="T1022" s="26" t="s">
        <v>57</v>
      </c>
      <c r="U1022" s="23">
        <v>860478064811216</v>
      </c>
      <c r="V1022" s="45" t="s">
        <v>110</v>
      </c>
      <c r="W1022" s="20" t="s">
        <v>302</v>
      </c>
      <c r="X1022" s="20" t="s">
        <v>303</v>
      </c>
      <c r="Y1022" s="20" t="s">
        <v>303</v>
      </c>
      <c r="Z1022" s="20" t="s">
        <v>60</v>
      </c>
      <c r="AA1022" s="20" t="s">
        <v>61</v>
      </c>
      <c r="AB1022" s="20" t="s">
        <v>96</v>
      </c>
      <c r="AC1022" s="28">
        <v>369.83</v>
      </c>
      <c r="AD1022" s="28">
        <f>SUM(BASE[[#This Row],[MONTO DE RENTA ]]*1.16)</f>
        <v>429.00279999999998</v>
      </c>
      <c r="AE1022" s="28" t="s">
        <v>97</v>
      </c>
      <c r="AF1022" s="28">
        <v>473.27586206896552</v>
      </c>
      <c r="AG1022" s="28">
        <v>549</v>
      </c>
      <c r="AH1022" s="22" t="s">
        <v>64</v>
      </c>
      <c r="AI1022" s="63">
        <v>45703</v>
      </c>
      <c r="AJ1022" s="63">
        <v>46433</v>
      </c>
      <c r="AK10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2" s="30"/>
      <c r="AN1022" s="20" t="s">
        <v>65</v>
      </c>
      <c r="AP1022" s="20" t="s">
        <v>66</v>
      </c>
    </row>
    <row r="1023" spans="1:43" ht="16">
      <c r="A1023" s="20">
        <v>4612108340</v>
      </c>
      <c r="B1023" s="21">
        <v>1032590</v>
      </c>
      <c r="C1023" s="20" t="s">
        <v>1160</v>
      </c>
      <c r="D1023" s="20" t="s">
        <v>657</v>
      </c>
      <c r="E1023" s="20" t="s">
        <v>357</v>
      </c>
      <c r="F1023" s="20" t="s">
        <v>104</v>
      </c>
      <c r="G1023" s="20" t="s">
        <v>104</v>
      </c>
      <c r="H1023" s="20" t="s">
        <v>48</v>
      </c>
      <c r="I1023" s="20" t="s">
        <v>104</v>
      </c>
      <c r="J1023" s="22" t="s">
        <v>4668</v>
      </c>
      <c r="K1023" s="22" t="s">
        <v>4668</v>
      </c>
      <c r="L1023" s="23" t="s">
        <v>4655</v>
      </c>
      <c r="M1023" s="24" t="s">
        <v>7743</v>
      </c>
      <c r="N1023" s="23">
        <v>18778000</v>
      </c>
      <c r="O1023" s="25" t="s">
        <v>93</v>
      </c>
      <c r="P1023" s="25" t="s">
        <v>53</v>
      </c>
      <c r="Q1023" s="20" t="s">
        <v>4669</v>
      </c>
      <c r="R1023" s="20">
        <v>62123103</v>
      </c>
      <c r="S1023" s="25" t="s">
        <v>4670</v>
      </c>
      <c r="T1023" s="26" t="s">
        <v>57</v>
      </c>
      <c r="U1023" s="23">
        <v>860478064863704</v>
      </c>
      <c r="V1023" s="45" t="s">
        <v>110</v>
      </c>
      <c r="W1023" s="20" t="s">
        <v>302</v>
      </c>
      <c r="X1023" s="20" t="s">
        <v>303</v>
      </c>
      <c r="Y1023" s="20" t="s">
        <v>303</v>
      </c>
      <c r="Z1023" s="20" t="s">
        <v>80</v>
      </c>
      <c r="AA1023" s="20" t="s">
        <v>81</v>
      </c>
      <c r="AB1023" s="20" t="s">
        <v>82</v>
      </c>
      <c r="AC1023" s="28">
        <v>559.48</v>
      </c>
      <c r="AD1023" s="28">
        <f>SUM(BASE[[#This Row],[MONTO DE RENTA ]]*1.16)</f>
        <v>648.99680000000001</v>
      </c>
      <c r="AE1023" s="28" t="s">
        <v>83</v>
      </c>
      <c r="AF1023" s="28">
        <v>559.48275862068965</v>
      </c>
      <c r="AG1023" s="28">
        <v>649</v>
      </c>
      <c r="AH1023" s="22" t="s">
        <v>64</v>
      </c>
      <c r="AI1023" s="63">
        <v>45703</v>
      </c>
      <c r="AJ1023" s="63">
        <v>46433</v>
      </c>
      <c r="AK10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3" s="30"/>
      <c r="AN1023" s="20" t="s">
        <v>65</v>
      </c>
      <c r="AP1023" s="20" t="s">
        <v>84</v>
      </c>
    </row>
    <row r="1024" spans="1:43" ht="16">
      <c r="A1024" s="20">
        <v>9611498377</v>
      </c>
      <c r="B1024" s="21">
        <v>1032590</v>
      </c>
      <c r="C1024" s="20" t="s">
        <v>1160</v>
      </c>
      <c r="D1024" s="20" t="s">
        <v>657</v>
      </c>
      <c r="E1024" s="20" t="s">
        <v>357</v>
      </c>
      <c r="F1024" s="20" t="s">
        <v>104</v>
      </c>
      <c r="G1024" s="20" t="s">
        <v>104</v>
      </c>
      <c r="H1024" s="20" t="s">
        <v>48</v>
      </c>
      <c r="I1024" s="20" t="s">
        <v>104</v>
      </c>
      <c r="J1024" s="32" t="s">
        <v>4671</v>
      </c>
      <c r="K1024" s="32" t="s">
        <v>4671</v>
      </c>
      <c r="L1024" s="23" t="s">
        <v>4672</v>
      </c>
      <c r="M1024" s="24" t="s">
        <v>7742</v>
      </c>
      <c r="N1024" s="23">
        <v>18778000</v>
      </c>
      <c r="O1024" s="25" t="s">
        <v>1035</v>
      </c>
      <c r="P1024" s="25" t="s">
        <v>53</v>
      </c>
      <c r="Q1024" s="20" t="s">
        <v>4673</v>
      </c>
      <c r="R1024" s="20">
        <v>82305568</v>
      </c>
      <c r="S1024" s="25" t="s">
        <v>4674</v>
      </c>
      <c r="T1024" s="26" t="s">
        <v>57</v>
      </c>
      <c r="U1024" s="23">
        <v>861383071457178</v>
      </c>
      <c r="V1024" s="45" t="s">
        <v>110</v>
      </c>
      <c r="W1024" s="20" t="s">
        <v>111</v>
      </c>
      <c r="X1024" s="20" t="s">
        <v>112</v>
      </c>
      <c r="Y1024" s="20" t="s">
        <v>112</v>
      </c>
      <c r="Z1024" s="20" t="s">
        <v>131</v>
      </c>
      <c r="AA1024" s="20" t="s">
        <v>132</v>
      </c>
      <c r="AB1024" s="20" t="s">
        <v>82</v>
      </c>
      <c r="AC1024" s="28">
        <v>559.48</v>
      </c>
      <c r="AD1024" s="28">
        <f>SUM(BASE[[#This Row],[MONTO DE RENTA ]]*1.16)</f>
        <v>648.99680000000001</v>
      </c>
      <c r="AE1024" s="28" t="s">
        <v>83</v>
      </c>
      <c r="AF1024" s="28">
        <v>559.48275862068965</v>
      </c>
      <c r="AG1024" s="28">
        <v>649</v>
      </c>
      <c r="AI1024" s="63">
        <v>44937</v>
      </c>
      <c r="AJ1024" s="84">
        <v>46316</v>
      </c>
      <c r="AK1024" s="30">
        <f ca="1">IFERROR(IF(BASE[[#This Row],[FECHA DE RENOVACION ]]&gt;TODAY(), DATEDIF(TODAY(),BASE[[#This Row],[FECHA DE RENOVACION ]],"M"), -DATEDIF(BASE[[#This Row],[FECHA DE RENOVACION ]],TODAY(),"M")), "Sin fecha")</f>
        <v>7</v>
      </c>
      <c r="AM1024" s="30"/>
      <c r="AN1024" s="20" t="s">
        <v>65</v>
      </c>
      <c r="AP1024" s="20" t="s">
        <v>84</v>
      </c>
    </row>
    <row r="1025" spans="1:43" ht="16">
      <c r="A1025" s="20">
        <v>4611011116</v>
      </c>
      <c r="B1025" s="49">
        <v>780150</v>
      </c>
      <c r="C1025" s="20" t="s">
        <v>4675</v>
      </c>
      <c r="D1025" s="20" t="s">
        <v>4676</v>
      </c>
      <c r="E1025" s="20" t="s">
        <v>347</v>
      </c>
      <c r="F1025" s="20" t="s">
        <v>2153</v>
      </c>
      <c r="G1025" s="20" t="s">
        <v>122</v>
      </c>
      <c r="H1025" s="20" t="s">
        <v>48</v>
      </c>
      <c r="I1025" s="20" t="s">
        <v>2153</v>
      </c>
      <c r="J1025" s="22" t="s">
        <v>4677</v>
      </c>
      <c r="K1025" s="22" t="s">
        <v>4677</v>
      </c>
      <c r="L1025" s="23" t="s">
        <v>4655</v>
      </c>
      <c r="M1025" s="24" t="s">
        <v>7743</v>
      </c>
      <c r="N1025" s="23">
        <v>18778000</v>
      </c>
      <c r="O1025" s="25" t="s">
        <v>93</v>
      </c>
      <c r="P1025" s="25" t="s">
        <v>53</v>
      </c>
      <c r="Q1025" s="20" t="s">
        <v>4678</v>
      </c>
      <c r="R1025" s="20">
        <v>62412338</v>
      </c>
      <c r="S1025" s="25" t="s">
        <v>55</v>
      </c>
      <c r="T1025" s="44" t="s">
        <v>56</v>
      </c>
      <c r="U1025" s="23">
        <v>860478064484428</v>
      </c>
      <c r="V1025" s="27" t="s">
        <v>57</v>
      </c>
      <c r="W1025" s="20" t="s">
        <v>302</v>
      </c>
      <c r="X1025" s="20" t="s">
        <v>303</v>
      </c>
      <c r="Y1025" s="20" t="s">
        <v>303</v>
      </c>
      <c r="Z1025" s="20" t="s">
        <v>60</v>
      </c>
      <c r="AA1025" s="20" t="s">
        <v>61</v>
      </c>
      <c r="AB1025" s="20" t="s">
        <v>96</v>
      </c>
      <c r="AC1025" s="28">
        <v>369.83</v>
      </c>
      <c r="AD1025" s="28">
        <f>SUM(BASE[[#This Row],[MONTO DE RENTA ]]*1.16)</f>
        <v>429.00279999999998</v>
      </c>
      <c r="AE1025" s="28" t="s">
        <v>63</v>
      </c>
      <c r="AF1025" s="28">
        <v>369.82758620689657</v>
      </c>
      <c r="AG1025" s="28">
        <v>429</v>
      </c>
      <c r="AI1025" s="63">
        <v>44937</v>
      </c>
      <c r="AJ1025" s="63">
        <v>46316</v>
      </c>
      <c r="AK1025" s="30">
        <f ca="1">IFERROR(IF(BASE[[#This Row],[FECHA DE RENOVACION ]]&gt;TODAY(), DATEDIF(TODAY(),BASE[[#This Row],[FECHA DE RENOVACION ]],"M"), -DATEDIF(BASE[[#This Row],[FECHA DE RENOVACION ]],TODAY(),"M")), "Sin fecha")</f>
        <v>7</v>
      </c>
      <c r="AM1025" s="30"/>
      <c r="AN1025" s="20" t="s">
        <v>65</v>
      </c>
      <c r="AP1025" s="20" t="s">
        <v>84</v>
      </c>
    </row>
    <row r="1026" spans="1:43" ht="16">
      <c r="A1026" s="20">
        <v>4611993094</v>
      </c>
      <c r="B1026" s="49">
        <v>770125</v>
      </c>
      <c r="C1026" s="20" t="s">
        <v>4679</v>
      </c>
      <c r="D1026" s="20" t="s">
        <v>376</v>
      </c>
      <c r="E1026" s="20" t="s">
        <v>1594</v>
      </c>
      <c r="F1026" s="20" t="s">
        <v>70</v>
      </c>
      <c r="G1026" s="20" t="s">
        <v>70</v>
      </c>
      <c r="H1026" s="20" t="s">
        <v>48</v>
      </c>
      <c r="I1026" s="20" t="s">
        <v>70</v>
      </c>
      <c r="J1026" s="22" t="s">
        <v>4680</v>
      </c>
      <c r="K1026" s="22" t="s">
        <v>4680</v>
      </c>
      <c r="L1026" s="23" t="s">
        <v>4655</v>
      </c>
      <c r="M1026" s="24" t="s">
        <v>7743</v>
      </c>
      <c r="N1026" s="23">
        <v>18778000</v>
      </c>
      <c r="O1026" s="25" t="s">
        <v>93</v>
      </c>
      <c r="P1026" s="25" t="s">
        <v>53</v>
      </c>
      <c r="Q1026" s="20" t="s">
        <v>4681</v>
      </c>
      <c r="R1026" s="20">
        <v>62025835</v>
      </c>
      <c r="S1026" s="25" t="s">
        <v>55</v>
      </c>
      <c r="T1026" s="26" t="s">
        <v>56</v>
      </c>
      <c r="U1026" s="23">
        <v>357654177586206</v>
      </c>
      <c r="V1026" s="27" t="s">
        <v>78</v>
      </c>
      <c r="W1026" s="20" t="s">
        <v>95</v>
      </c>
      <c r="X1026" s="20" t="s">
        <v>95</v>
      </c>
      <c r="Y1026" s="20" t="s">
        <v>95</v>
      </c>
      <c r="Z1026" s="20" t="s">
        <v>60</v>
      </c>
      <c r="AA1026" s="20" t="s">
        <v>61</v>
      </c>
      <c r="AB1026" s="20" t="s">
        <v>82</v>
      </c>
      <c r="AC1026" s="28">
        <v>559.48</v>
      </c>
      <c r="AD1026" s="28">
        <f>SUM(BASE[[#This Row],[MONTO DE RENTA ]]*1.16)</f>
        <v>648.99680000000001</v>
      </c>
      <c r="AE1026" s="28" t="s">
        <v>83</v>
      </c>
      <c r="AF1026" s="28">
        <v>559.48275862068965</v>
      </c>
      <c r="AG1026" s="28">
        <v>649</v>
      </c>
      <c r="AI1026" s="63">
        <v>44937</v>
      </c>
      <c r="AJ1026" s="73">
        <v>46043</v>
      </c>
      <c r="AK102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26" s="30"/>
      <c r="AN1026" s="20" t="s">
        <v>99</v>
      </c>
      <c r="AP1026" s="20" t="s">
        <v>84</v>
      </c>
      <c r="AQ1026" s="20" t="s">
        <v>100</v>
      </c>
    </row>
    <row r="1027" spans="1:43" ht="16">
      <c r="A1027" s="20">
        <v>9611298154</v>
      </c>
      <c r="B1027" s="21">
        <v>810130</v>
      </c>
      <c r="C1027" s="20" t="s">
        <v>4682</v>
      </c>
      <c r="D1027" s="20" t="s">
        <v>376</v>
      </c>
      <c r="E1027" s="20" t="s">
        <v>4548</v>
      </c>
      <c r="F1027" s="20" t="s">
        <v>483</v>
      </c>
      <c r="G1027" s="20" t="s">
        <v>47</v>
      </c>
      <c r="H1027" s="20" t="s">
        <v>48</v>
      </c>
      <c r="I1027" s="20" t="s">
        <v>483</v>
      </c>
      <c r="J1027" s="22" t="s">
        <v>4683</v>
      </c>
      <c r="K1027" s="22" t="s">
        <v>4683</v>
      </c>
      <c r="L1027" s="23" t="s">
        <v>4672</v>
      </c>
      <c r="M1027" s="24" t="s">
        <v>7742</v>
      </c>
      <c r="N1027" s="23">
        <v>18781000</v>
      </c>
      <c r="O1027" s="25" t="s">
        <v>1035</v>
      </c>
      <c r="P1027" s="25" t="s">
        <v>53</v>
      </c>
      <c r="Q1027" s="20" t="s">
        <v>4684</v>
      </c>
      <c r="R1027" s="20">
        <v>82327802</v>
      </c>
      <c r="S1027" s="25" t="s">
        <v>4685</v>
      </c>
      <c r="T1027" s="26" t="s">
        <v>57</v>
      </c>
      <c r="U1027" s="23">
        <v>860900062266242</v>
      </c>
      <c r="V1027" s="27" t="s">
        <v>57</v>
      </c>
      <c r="W1027" s="20" t="s">
        <v>58</v>
      </c>
      <c r="X1027" s="20" t="s">
        <v>59</v>
      </c>
      <c r="Y1027" s="20" t="s">
        <v>59</v>
      </c>
      <c r="Z1027" s="20" t="s">
        <v>131</v>
      </c>
      <c r="AA1027" s="20" t="s">
        <v>132</v>
      </c>
      <c r="AB1027" s="20" t="s">
        <v>96</v>
      </c>
      <c r="AC1027" s="28">
        <v>369.83</v>
      </c>
      <c r="AD1027" s="28">
        <f>SUM(BASE[[#This Row],[MONTO DE RENTA ]]*1.16)</f>
        <v>429.00279999999998</v>
      </c>
      <c r="AE1027" s="28" t="s">
        <v>63</v>
      </c>
      <c r="AF1027" s="28">
        <v>369.82758620689657</v>
      </c>
      <c r="AG1027" s="28">
        <v>429</v>
      </c>
      <c r="AH1027" s="22" t="s">
        <v>64</v>
      </c>
      <c r="AI1027" s="63">
        <v>45713</v>
      </c>
      <c r="AJ1027" s="63">
        <v>46433</v>
      </c>
      <c r="AK10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7" s="30"/>
      <c r="AN1027" s="20" t="s">
        <v>65</v>
      </c>
      <c r="AP1027" s="20" t="s">
        <v>84</v>
      </c>
    </row>
    <row r="1028" spans="1:43" ht="16">
      <c r="A1028" s="20">
        <v>9612213366</v>
      </c>
      <c r="B1028" s="21">
        <v>810353</v>
      </c>
      <c r="C1028" s="20" t="s">
        <v>4686</v>
      </c>
      <c r="D1028" s="20" t="s">
        <v>442</v>
      </c>
      <c r="E1028" s="20" t="s">
        <v>462</v>
      </c>
      <c r="F1028" s="20" t="s">
        <v>451</v>
      </c>
      <c r="G1028" s="20" t="s">
        <v>248</v>
      </c>
      <c r="H1028" s="20" t="s">
        <v>48</v>
      </c>
      <c r="I1028" s="20" t="s">
        <v>451</v>
      </c>
      <c r="J1028" s="22" t="s">
        <v>4687</v>
      </c>
      <c r="K1028" s="22" t="s">
        <v>4687</v>
      </c>
      <c r="L1028" s="23" t="s">
        <v>4672</v>
      </c>
      <c r="M1028" s="24" t="s">
        <v>7742</v>
      </c>
      <c r="N1028" s="23">
        <v>18781000</v>
      </c>
      <c r="O1028" s="25" t="s">
        <v>1035</v>
      </c>
      <c r="P1028" s="25" t="s">
        <v>53</v>
      </c>
      <c r="Q1028" s="20" t="s">
        <v>4688</v>
      </c>
      <c r="R1028" s="20">
        <v>82297883</v>
      </c>
      <c r="S1028" s="25" t="s">
        <v>4689</v>
      </c>
      <c r="T1028" s="26" t="s">
        <v>57</v>
      </c>
      <c r="U1028" s="23">
        <v>860900062265772</v>
      </c>
      <c r="V1028" s="27" t="s">
        <v>57</v>
      </c>
      <c r="W1028" s="20" t="s">
        <v>58</v>
      </c>
      <c r="X1028" s="20" t="s">
        <v>59</v>
      </c>
      <c r="Y1028" s="20" t="s">
        <v>59</v>
      </c>
      <c r="Z1028" s="20" t="s">
        <v>131</v>
      </c>
      <c r="AA1028" s="20" t="s">
        <v>132</v>
      </c>
      <c r="AB1028" s="20" t="s">
        <v>96</v>
      </c>
      <c r="AC1028" s="28">
        <v>369.83</v>
      </c>
      <c r="AD1028" s="28">
        <f>SUM(BASE[[#This Row],[MONTO DE RENTA ]]*1.16)</f>
        <v>429.00279999999998</v>
      </c>
      <c r="AE1028" s="28" t="s">
        <v>63</v>
      </c>
      <c r="AF1028" s="28">
        <v>369.82758620689657</v>
      </c>
      <c r="AG1028" s="28">
        <v>429</v>
      </c>
      <c r="AH1028" s="22" t="s">
        <v>64</v>
      </c>
      <c r="AI1028" s="63">
        <v>45713</v>
      </c>
      <c r="AJ1028" s="63">
        <v>46433</v>
      </c>
      <c r="AK10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8" s="30"/>
      <c r="AN1028" s="20" t="s">
        <v>65</v>
      </c>
      <c r="AP1028" s="20" t="s">
        <v>84</v>
      </c>
    </row>
    <row r="1029" spans="1:43" ht="16">
      <c r="A1029" s="20">
        <v>9611498426</v>
      </c>
      <c r="B1029" s="21">
        <v>810162</v>
      </c>
      <c r="C1029" s="20" t="s">
        <v>4690</v>
      </c>
      <c r="D1029" s="20" t="s">
        <v>4691</v>
      </c>
      <c r="E1029" s="20" t="s">
        <v>187</v>
      </c>
      <c r="F1029" s="20" t="s">
        <v>257</v>
      </c>
      <c r="G1029" s="20" t="s">
        <v>257</v>
      </c>
      <c r="H1029" s="20" t="s">
        <v>48</v>
      </c>
      <c r="I1029" s="20" t="s">
        <v>257</v>
      </c>
      <c r="J1029" s="22" t="s">
        <v>4692</v>
      </c>
      <c r="K1029" s="22" t="s">
        <v>4692</v>
      </c>
      <c r="L1029" s="23" t="s">
        <v>4672</v>
      </c>
      <c r="M1029" s="24" t="s">
        <v>7742</v>
      </c>
      <c r="N1029" s="23">
        <v>18781000</v>
      </c>
      <c r="O1029" s="25" t="s">
        <v>1035</v>
      </c>
      <c r="P1029" s="25" t="s">
        <v>53</v>
      </c>
      <c r="Q1029" s="20" t="s">
        <v>4693</v>
      </c>
      <c r="R1029" s="20">
        <v>82305572</v>
      </c>
      <c r="S1029" s="25" t="s">
        <v>4694</v>
      </c>
      <c r="T1029" s="26" t="s">
        <v>57</v>
      </c>
      <c r="U1029" s="23">
        <v>860478064811174</v>
      </c>
      <c r="V1029" s="45" t="s">
        <v>110</v>
      </c>
      <c r="W1029" s="20" t="s">
        <v>302</v>
      </c>
      <c r="X1029" s="20" t="s">
        <v>303</v>
      </c>
      <c r="Y1029" s="20" t="s">
        <v>303</v>
      </c>
      <c r="Z1029" s="20" t="s">
        <v>131</v>
      </c>
      <c r="AA1029" s="20" t="s">
        <v>132</v>
      </c>
      <c r="AB1029" s="20" t="s">
        <v>82</v>
      </c>
      <c r="AC1029" s="28">
        <v>559.48</v>
      </c>
      <c r="AD1029" s="28">
        <f>SUM(BASE[[#This Row],[MONTO DE RENTA ]]*1.16)</f>
        <v>648.99680000000001</v>
      </c>
      <c r="AE1029" s="28" t="s">
        <v>83</v>
      </c>
      <c r="AF1029" s="28">
        <v>559.48275862068965</v>
      </c>
      <c r="AG1029" s="28">
        <v>649</v>
      </c>
      <c r="AH1029" s="22" t="s">
        <v>64</v>
      </c>
      <c r="AI1029" s="63">
        <v>45713</v>
      </c>
      <c r="AJ1029" s="63">
        <v>46433</v>
      </c>
      <c r="AK10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29" s="30"/>
      <c r="AN1029" s="20" t="s">
        <v>65</v>
      </c>
      <c r="AP1029" s="20" t="s">
        <v>84</v>
      </c>
    </row>
    <row r="1030" spans="1:43" ht="16">
      <c r="A1030" s="20">
        <v>9611497803</v>
      </c>
      <c r="B1030" s="21">
        <v>810043</v>
      </c>
      <c r="C1030" s="20" t="s">
        <v>4695</v>
      </c>
      <c r="D1030" s="20" t="s">
        <v>4344</v>
      </c>
      <c r="E1030" s="20" t="s">
        <v>2152</v>
      </c>
      <c r="F1030" s="20" t="s">
        <v>104</v>
      </c>
      <c r="G1030" s="20" t="s">
        <v>104</v>
      </c>
      <c r="H1030" s="20" t="s">
        <v>48</v>
      </c>
      <c r="I1030" s="20" t="s">
        <v>104</v>
      </c>
      <c r="J1030" s="97" t="s">
        <v>4696</v>
      </c>
      <c r="K1030" s="32" t="s">
        <v>4696</v>
      </c>
      <c r="L1030" s="23" t="s">
        <v>4672</v>
      </c>
      <c r="M1030" s="24" t="s">
        <v>7742</v>
      </c>
      <c r="N1030" s="23">
        <v>18781000</v>
      </c>
      <c r="O1030" s="25" t="s">
        <v>1035</v>
      </c>
      <c r="P1030" s="25" t="s">
        <v>53</v>
      </c>
      <c r="Q1030" s="20" t="s">
        <v>4697</v>
      </c>
      <c r="R1030" s="20">
        <v>82305567</v>
      </c>
      <c r="S1030" s="25" t="s">
        <v>4698</v>
      </c>
      <c r="T1030" s="26" t="s">
        <v>57</v>
      </c>
      <c r="U1030" s="23">
        <v>860478064627950</v>
      </c>
      <c r="V1030" s="45" t="s">
        <v>110</v>
      </c>
      <c r="W1030" s="20" t="s">
        <v>302</v>
      </c>
      <c r="X1030" s="20" t="s">
        <v>303</v>
      </c>
      <c r="Y1030" s="20" t="s">
        <v>303</v>
      </c>
      <c r="Z1030" s="20" t="s">
        <v>131</v>
      </c>
      <c r="AA1030" s="20" t="s">
        <v>132</v>
      </c>
      <c r="AB1030" s="20" t="s">
        <v>82</v>
      </c>
      <c r="AC1030" s="28">
        <v>559.48</v>
      </c>
      <c r="AD1030" s="28">
        <f>SUM(BASE[[#This Row],[MONTO DE RENTA ]]*1.16)</f>
        <v>648.99680000000001</v>
      </c>
      <c r="AE1030" s="28" t="s">
        <v>83</v>
      </c>
      <c r="AF1030" s="28">
        <v>559.48275862068965</v>
      </c>
      <c r="AG1030" s="28">
        <v>649</v>
      </c>
      <c r="AH1030" s="22" t="s">
        <v>64</v>
      </c>
      <c r="AI1030" s="63">
        <v>45713</v>
      </c>
      <c r="AJ1030" s="63">
        <v>46433</v>
      </c>
      <c r="AK10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30" s="30"/>
      <c r="AN1030" s="20" t="s">
        <v>65</v>
      </c>
      <c r="AP1030" s="20" t="s">
        <v>84</v>
      </c>
    </row>
    <row r="1031" spans="1:43" ht="15" customHeight="1">
      <c r="A1031" s="20">
        <v>4612108344</v>
      </c>
      <c r="B1031" s="21">
        <v>780338</v>
      </c>
      <c r="C1031" s="20" t="s">
        <v>733</v>
      </c>
      <c r="D1031" s="20" t="s">
        <v>1256</v>
      </c>
      <c r="E1031" s="20" t="s">
        <v>405</v>
      </c>
      <c r="F1031" s="20" t="s">
        <v>104</v>
      </c>
      <c r="G1031" s="20" t="s">
        <v>104</v>
      </c>
      <c r="H1031" s="20" t="s">
        <v>48</v>
      </c>
      <c r="I1031" s="20" t="s">
        <v>104</v>
      </c>
      <c r="J1031" s="32" t="s">
        <v>4699</v>
      </c>
      <c r="K1031" s="32" t="s">
        <v>4699</v>
      </c>
      <c r="L1031" s="23" t="s">
        <v>4655</v>
      </c>
      <c r="M1031" s="24" t="s">
        <v>7743</v>
      </c>
      <c r="N1031" s="23">
        <v>18778000</v>
      </c>
      <c r="O1031" s="25" t="s">
        <v>93</v>
      </c>
      <c r="P1031" s="25" t="s">
        <v>53</v>
      </c>
      <c r="Q1031" s="20" t="s">
        <v>4700</v>
      </c>
      <c r="R1031" s="20">
        <v>62099379</v>
      </c>
      <c r="S1031" s="25" t="s">
        <v>4701</v>
      </c>
      <c r="T1031" s="26" t="s">
        <v>57</v>
      </c>
      <c r="U1031" s="23" t="s">
        <v>193</v>
      </c>
      <c r="V1031" s="45" t="s">
        <v>110</v>
      </c>
      <c r="W1031" s="20" t="s">
        <v>194</v>
      </c>
      <c r="X1031" s="20" t="s">
        <v>194</v>
      </c>
      <c r="Y1031" s="20" t="s">
        <v>194</v>
      </c>
      <c r="Z1031" s="20" t="s">
        <v>80</v>
      </c>
      <c r="AA1031" s="20" t="s">
        <v>81</v>
      </c>
      <c r="AB1031" s="20" t="s">
        <v>82</v>
      </c>
      <c r="AC1031" s="28">
        <v>559.48</v>
      </c>
      <c r="AD1031" s="28">
        <f>SUM(BASE[[#This Row],[MONTO DE RENTA ]]*1.16)</f>
        <v>648.99680000000001</v>
      </c>
      <c r="AE1031" s="28" t="s">
        <v>83</v>
      </c>
      <c r="AF1031" s="28">
        <v>559.48275862068965</v>
      </c>
      <c r="AG1031" s="28">
        <v>649</v>
      </c>
      <c r="AI1031" s="63">
        <v>44937</v>
      </c>
      <c r="AJ1031" s="84">
        <v>46681</v>
      </c>
      <c r="AK1031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031" s="30"/>
      <c r="AN1031" s="20" t="s">
        <v>65</v>
      </c>
      <c r="AP1031" s="20" t="s">
        <v>84</v>
      </c>
    </row>
    <row r="1032" spans="1:43" ht="16">
      <c r="A1032" s="20">
        <v>9611496902</v>
      </c>
      <c r="B1032" s="21">
        <v>810347</v>
      </c>
      <c r="C1032" s="20" t="s">
        <v>4702</v>
      </c>
      <c r="D1032" s="20" t="s">
        <v>4703</v>
      </c>
      <c r="E1032" s="20" t="s">
        <v>4704</v>
      </c>
      <c r="F1032" s="20" t="s">
        <v>104</v>
      </c>
      <c r="G1032" s="20" t="s">
        <v>104</v>
      </c>
      <c r="H1032" s="20" t="s">
        <v>48</v>
      </c>
      <c r="I1032" s="20" t="s">
        <v>104</v>
      </c>
      <c r="J1032" s="227" t="s">
        <v>4705</v>
      </c>
      <c r="K1032" s="227" t="s">
        <v>4705</v>
      </c>
      <c r="L1032" s="23" t="s">
        <v>4672</v>
      </c>
      <c r="M1032" s="24" t="s">
        <v>7742</v>
      </c>
      <c r="N1032" s="23">
        <v>18781000</v>
      </c>
      <c r="O1032" s="25" t="s">
        <v>1035</v>
      </c>
      <c r="P1032" s="25" t="s">
        <v>53</v>
      </c>
      <c r="Q1032" s="20" t="s">
        <v>4706</v>
      </c>
      <c r="R1032" s="20">
        <v>82305565</v>
      </c>
      <c r="S1032" s="25" t="s">
        <v>4707</v>
      </c>
      <c r="T1032" s="65" t="s">
        <v>57</v>
      </c>
      <c r="U1032" s="23">
        <v>860478060661011</v>
      </c>
      <c r="V1032" s="45" t="s">
        <v>110</v>
      </c>
      <c r="W1032" s="20" t="s">
        <v>302</v>
      </c>
      <c r="X1032" s="20" t="s">
        <v>303</v>
      </c>
      <c r="Y1032" s="20" t="s">
        <v>303</v>
      </c>
      <c r="Z1032" s="20" t="s">
        <v>131</v>
      </c>
      <c r="AA1032" s="20" t="s">
        <v>132</v>
      </c>
      <c r="AB1032" s="20" t="s">
        <v>82</v>
      </c>
      <c r="AC1032" s="28">
        <v>559.48</v>
      </c>
      <c r="AD1032" s="28">
        <f>SUM(BASE[[#This Row],[MONTO DE RENTA ]]*1.16)</f>
        <v>648.99680000000001</v>
      </c>
      <c r="AE1032" s="28" t="s">
        <v>83</v>
      </c>
      <c r="AF1032" s="28">
        <v>559.48275862068965</v>
      </c>
      <c r="AG1032" s="28">
        <v>649</v>
      </c>
      <c r="AH1032" s="22" t="s">
        <v>64</v>
      </c>
      <c r="AI1032" s="63">
        <v>45713</v>
      </c>
      <c r="AJ1032" s="63">
        <v>46433</v>
      </c>
      <c r="AK10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32" s="30"/>
      <c r="AN1032" s="20" t="s">
        <v>65</v>
      </c>
      <c r="AP1032" s="20" t="s">
        <v>84</v>
      </c>
    </row>
    <row r="1033" spans="1:43" ht="16">
      <c r="A1033" s="20">
        <v>9612337134</v>
      </c>
      <c r="B1033" s="49">
        <v>810078</v>
      </c>
      <c r="C1033" s="20" t="s">
        <v>3222</v>
      </c>
      <c r="D1033" s="20" t="s">
        <v>247</v>
      </c>
      <c r="E1033" s="20" t="s">
        <v>172</v>
      </c>
      <c r="F1033" s="20" t="s">
        <v>122</v>
      </c>
      <c r="G1033" s="20" t="s">
        <v>122</v>
      </c>
      <c r="H1033" s="20" t="s">
        <v>48</v>
      </c>
      <c r="I1033" s="20" t="s">
        <v>122</v>
      </c>
      <c r="J1033" s="22" t="s">
        <v>4708</v>
      </c>
      <c r="K1033" s="32" t="s">
        <v>4709</v>
      </c>
      <c r="L1033" s="23" t="s">
        <v>4672</v>
      </c>
      <c r="M1033" s="24" t="s">
        <v>7742</v>
      </c>
      <c r="N1033" s="23">
        <v>18781000</v>
      </c>
      <c r="O1033" s="25" t="s">
        <v>1035</v>
      </c>
      <c r="P1033" s="25" t="s">
        <v>53</v>
      </c>
      <c r="Q1033" s="20" t="s">
        <v>4710</v>
      </c>
      <c r="R1033" s="20">
        <v>82597065</v>
      </c>
      <c r="S1033" s="25" t="s">
        <v>55</v>
      </c>
      <c r="T1033" s="26" t="s">
        <v>56</v>
      </c>
      <c r="U1033" s="23">
        <v>865356065673717</v>
      </c>
      <c r="V1033" s="27" t="s">
        <v>183</v>
      </c>
      <c r="W1033" s="20" t="s">
        <v>129</v>
      </c>
      <c r="X1033" s="20" t="s">
        <v>130</v>
      </c>
      <c r="Y1033" s="20" t="s">
        <v>130</v>
      </c>
      <c r="Z1033" s="20" t="s">
        <v>60</v>
      </c>
      <c r="AA1033" s="20" t="s">
        <v>61</v>
      </c>
      <c r="AB1033" s="20" t="s">
        <v>96</v>
      </c>
      <c r="AC1033" s="28">
        <v>369.83</v>
      </c>
      <c r="AD1033" s="28">
        <f>SUM(BASE[[#This Row],[MONTO DE RENTA ]]*1.16)</f>
        <v>429.00279999999998</v>
      </c>
      <c r="AE1033" s="28" t="s">
        <v>63</v>
      </c>
      <c r="AF1033" s="28">
        <v>369.82758620689657</v>
      </c>
      <c r="AG1033" s="28">
        <v>429</v>
      </c>
      <c r="AI1033" s="63">
        <v>44937</v>
      </c>
      <c r="AJ1033" s="73">
        <v>46043</v>
      </c>
      <c r="AK103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33" s="30"/>
      <c r="AN1033" s="20" t="s">
        <v>99</v>
      </c>
      <c r="AP1033" s="20" t="s">
        <v>84</v>
      </c>
      <c r="AQ1033" s="20" t="s">
        <v>100</v>
      </c>
    </row>
    <row r="1034" spans="1:43" ht="16">
      <c r="A1034" s="20">
        <v>9611398641</v>
      </c>
      <c r="B1034" s="49">
        <v>810009</v>
      </c>
      <c r="C1034" s="20" t="s">
        <v>639</v>
      </c>
      <c r="D1034" s="20" t="s">
        <v>143</v>
      </c>
      <c r="E1034" s="20" t="s">
        <v>2845</v>
      </c>
      <c r="F1034" s="20" t="s">
        <v>70</v>
      </c>
      <c r="G1034" s="20" t="s">
        <v>70</v>
      </c>
      <c r="H1034" s="20" t="s">
        <v>48</v>
      </c>
      <c r="I1034" s="20" t="s">
        <v>70</v>
      </c>
      <c r="J1034" s="22" t="s">
        <v>4711</v>
      </c>
      <c r="K1034" s="22" t="s">
        <v>4711</v>
      </c>
      <c r="L1034" s="23" t="s">
        <v>4672</v>
      </c>
      <c r="M1034" s="24" t="s">
        <v>7742</v>
      </c>
      <c r="N1034" s="23">
        <v>18781000</v>
      </c>
      <c r="O1034" s="25" t="s">
        <v>1035</v>
      </c>
      <c r="P1034" s="25" t="s">
        <v>53</v>
      </c>
      <c r="Q1034" s="20" t="s">
        <v>4712</v>
      </c>
      <c r="R1034" s="20">
        <v>82200539</v>
      </c>
      <c r="S1034" s="25" t="s">
        <v>55</v>
      </c>
      <c r="T1034" s="26" t="s">
        <v>56</v>
      </c>
      <c r="U1034" s="23">
        <v>357894929427644</v>
      </c>
      <c r="V1034" s="27" t="s">
        <v>78</v>
      </c>
      <c r="W1034" s="20" t="s">
        <v>95</v>
      </c>
      <c r="X1034" s="20" t="s">
        <v>95</v>
      </c>
      <c r="Y1034" s="20" t="s">
        <v>95</v>
      </c>
      <c r="Z1034" s="20" t="s">
        <v>60</v>
      </c>
      <c r="AA1034" s="20" t="s">
        <v>61</v>
      </c>
      <c r="AB1034" s="20" t="s">
        <v>82</v>
      </c>
      <c r="AC1034" s="28">
        <v>559.48</v>
      </c>
      <c r="AD1034" s="28">
        <f>SUM(BASE[[#This Row],[MONTO DE RENTA ]]*1.16)</f>
        <v>648.99680000000001</v>
      </c>
      <c r="AE1034" s="28" t="s">
        <v>83</v>
      </c>
      <c r="AF1034" s="28">
        <v>559.48275862068965</v>
      </c>
      <c r="AG1034" s="28">
        <v>649</v>
      </c>
      <c r="AI1034" s="63">
        <v>44937</v>
      </c>
      <c r="AJ1034" s="73">
        <v>46043</v>
      </c>
      <c r="AK10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34" s="30"/>
      <c r="AN1034" s="20" t="s">
        <v>99</v>
      </c>
      <c r="AP1034" s="20" t="s">
        <v>84</v>
      </c>
      <c r="AQ1034" s="20" t="s">
        <v>100</v>
      </c>
    </row>
    <row r="1035" spans="1:43" ht="16">
      <c r="A1035" s="20">
        <v>6699947844</v>
      </c>
      <c r="B1035" s="21">
        <v>840340</v>
      </c>
      <c r="C1035" s="20" t="s">
        <v>4713</v>
      </c>
      <c r="D1035" s="20" t="s">
        <v>1517</v>
      </c>
      <c r="E1035" s="20" t="s">
        <v>1277</v>
      </c>
      <c r="F1035" s="20" t="s">
        <v>359</v>
      </c>
      <c r="G1035" s="20" t="s">
        <v>47</v>
      </c>
      <c r="H1035" s="20" t="s">
        <v>48</v>
      </c>
      <c r="I1035" s="20" t="s">
        <v>359</v>
      </c>
      <c r="J1035" s="32" t="s">
        <v>4714</v>
      </c>
      <c r="K1035" s="22" t="s">
        <v>4714</v>
      </c>
      <c r="L1035" s="25" t="s">
        <v>4715</v>
      </c>
      <c r="M1035" s="24" t="s">
        <v>7740</v>
      </c>
      <c r="N1035" s="23">
        <v>18784000</v>
      </c>
      <c r="O1035" s="25" t="s">
        <v>866</v>
      </c>
      <c r="P1035" s="25" t="s">
        <v>53</v>
      </c>
      <c r="Q1035" s="20" t="s">
        <v>4716</v>
      </c>
      <c r="R1035" s="20">
        <v>22031388</v>
      </c>
      <c r="S1035" s="25" t="s">
        <v>4717</v>
      </c>
      <c r="T1035" s="26" t="s">
        <v>57</v>
      </c>
      <c r="U1035" s="23">
        <v>860900062732086</v>
      </c>
      <c r="V1035" s="27" t="s">
        <v>57</v>
      </c>
      <c r="W1035" s="20" t="s">
        <v>58</v>
      </c>
      <c r="X1035" s="20" t="s">
        <v>59</v>
      </c>
      <c r="Y1035" s="20" t="s">
        <v>59</v>
      </c>
      <c r="Z1035" s="20" t="s">
        <v>131</v>
      </c>
      <c r="AA1035" s="20" t="s">
        <v>132</v>
      </c>
      <c r="AB1035" s="20" t="s">
        <v>96</v>
      </c>
      <c r="AC1035" s="28">
        <v>369.83</v>
      </c>
      <c r="AD1035" s="28">
        <f>SUM(BASE[[#This Row],[MONTO DE RENTA ]]*1.16)</f>
        <v>429.00279999999998</v>
      </c>
      <c r="AE1035" s="28" t="s">
        <v>63</v>
      </c>
      <c r="AF1035" s="28">
        <v>369.82758620689657</v>
      </c>
      <c r="AG1035" s="28">
        <v>429</v>
      </c>
      <c r="AH1035" s="22" t="s">
        <v>64</v>
      </c>
      <c r="AI1035" s="29">
        <v>45703</v>
      </c>
      <c r="AJ1035" s="29">
        <v>46433</v>
      </c>
      <c r="AK10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35" s="20">
        <v>18784000</v>
      </c>
      <c r="AM1035" s="30"/>
      <c r="AN1035" s="20" t="s">
        <v>65</v>
      </c>
      <c r="AP1035" s="20" t="s">
        <v>84</v>
      </c>
    </row>
    <row r="1036" spans="1:43" ht="16">
      <c r="A1036" s="20">
        <v>6691250365</v>
      </c>
      <c r="B1036" s="21">
        <v>1052943</v>
      </c>
      <c r="C1036" s="20" t="s">
        <v>4718</v>
      </c>
      <c r="D1036" s="20" t="s">
        <v>205</v>
      </c>
      <c r="E1036" s="20" t="s">
        <v>3488</v>
      </c>
      <c r="F1036" s="20" t="s">
        <v>248</v>
      </c>
      <c r="G1036" s="20" t="s">
        <v>248</v>
      </c>
      <c r="H1036" s="20" t="s">
        <v>48</v>
      </c>
      <c r="I1036" s="20" t="s">
        <v>248</v>
      </c>
      <c r="J1036" s="22" t="s">
        <v>4719</v>
      </c>
      <c r="K1036" s="22" t="s">
        <v>4719</v>
      </c>
      <c r="L1036" s="23" t="s">
        <v>4715</v>
      </c>
      <c r="M1036" s="24" t="s">
        <v>7740</v>
      </c>
      <c r="N1036" s="23">
        <v>18784000</v>
      </c>
      <c r="O1036" s="25" t="s">
        <v>866</v>
      </c>
      <c r="P1036" s="25" t="s">
        <v>53</v>
      </c>
      <c r="Q1036" s="20" t="s">
        <v>4720</v>
      </c>
      <c r="R1036" s="20">
        <v>22020398</v>
      </c>
      <c r="S1036" s="25" t="s">
        <v>4721</v>
      </c>
      <c r="T1036" s="26" t="s">
        <v>57</v>
      </c>
      <c r="U1036" s="23">
        <v>860900062735774</v>
      </c>
      <c r="V1036" s="27" t="s">
        <v>57</v>
      </c>
      <c r="W1036" s="20" t="s">
        <v>58</v>
      </c>
      <c r="X1036" s="20" t="s">
        <v>59</v>
      </c>
      <c r="Y1036" s="20" t="s">
        <v>59</v>
      </c>
      <c r="Z1036" s="20" t="s">
        <v>131</v>
      </c>
      <c r="AA1036" s="20" t="s">
        <v>132</v>
      </c>
      <c r="AB1036" s="20" t="s">
        <v>96</v>
      </c>
      <c r="AC1036" s="28">
        <v>369.83</v>
      </c>
      <c r="AD1036" s="28">
        <f>SUM(BASE[[#This Row],[MONTO DE RENTA ]]*1.16)</f>
        <v>429.00279999999998</v>
      </c>
      <c r="AE1036" s="28" t="s">
        <v>63</v>
      </c>
      <c r="AF1036" s="28">
        <v>369.82758620689657</v>
      </c>
      <c r="AG1036" s="28">
        <v>429</v>
      </c>
      <c r="AH1036" s="22" t="s">
        <v>64</v>
      </c>
      <c r="AI1036" s="29">
        <v>45703</v>
      </c>
      <c r="AJ1036" s="29">
        <v>46433</v>
      </c>
      <c r="AK10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36" s="30"/>
      <c r="AN1036" s="20" t="s">
        <v>65</v>
      </c>
      <c r="AP1036" s="20" t="s">
        <v>84</v>
      </c>
    </row>
    <row r="1037" spans="1:43" ht="16">
      <c r="A1037" s="20">
        <v>6691468264</v>
      </c>
      <c r="B1037" s="21">
        <v>1028111</v>
      </c>
      <c r="C1037" s="20" t="s">
        <v>4722</v>
      </c>
      <c r="D1037" s="20" t="s">
        <v>1129</v>
      </c>
      <c r="E1037" s="20" t="s">
        <v>4723</v>
      </c>
      <c r="F1037" s="20" t="s">
        <v>122</v>
      </c>
      <c r="G1037" s="20" t="s">
        <v>122</v>
      </c>
      <c r="H1037" s="20" t="s">
        <v>48</v>
      </c>
      <c r="I1037" s="20" t="s">
        <v>122</v>
      </c>
      <c r="J1037" s="22" t="s">
        <v>4724</v>
      </c>
      <c r="K1037" s="32" t="s">
        <v>4725</v>
      </c>
      <c r="L1037" s="23" t="s">
        <v>4715</v>
      </c>
      <c r="M1037" s="24" t="s">
        <v>7740</v>
      </c>
      <c r="N1037" s="23">
        <v>18784000</v>
      </c>
      <c r="O1037" s="25" t="s">
        <v>866</v>
      </c>
      <c r="P1037" s="25" t="s">
        <v>53</v>
      </c>
      <c r="Q1037" s="20" t="s">
        <v>4726</v>
      </c>
      <c r="R1037" s="20">
        <v>22833466</v>
      </c>
      <c r="S1037" s="25" t="s">
        <v>55</v>
      </c>
      <c r="T1037" s="26" t="s">
        <v>56</v>
      </c>
      <c r="U1037" s="23">
        <v>865356065669491</v>
      </c>
      <c r="V1037" s="27" t="s">
        <v>183</v>
      </c>
      <c r="W1037" s="20" t="s">
        <v>129</v>
      </c>
      <c r="X1037" s="20" t="s">
        <v>130</v>
      </c>
      <c r="Y1037" s="20" t="s">
        <v>130</v>
      </c>
      <c r="Z1037" s="20" t="s">
        <v>60</v>
      </c>
      <c r="AA1037" s="20" t="s">
        <v>61</v>
      </c>
      <c r="AB1037" s="20" t="s">
        <v>96</v>
      </c>
      <c r="AC1037" s="28">
        <v>369.83</v>
      </c>
      <c r="AD1037" s="28">
        <f>SUM(BASE[[#This Row],[MONTO DE RENTA ]]*1.16)</f>
        <v>429.00279999999998</v>
      </c>
      <c r="AE1037" s="28" t="s">
        <v>63</v>
      </c>
      <c r="AF1037" s="28">
        <v>369.82758620689657</v>
      </c>
      <c r="AG1037" s="28">
        <v>429</v>
      </c>
      <c r="AI1037" s="63">
        <v>44937</v>
      </c>
      <c r="AJ1037" s="73">
        <v>46043</v>
      </c>
      <c r="AK10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37" s="30"/>
      <c r="AN1037" s="20" t="s">
        <v>99</v>
      </c>
      <c r="AP1037" s="20" t="s">
        <v>84</v>
      </c>
      <c r="AQ1037" s="20" t="s">
        <v>100</v>
      </c>
    </row>
    <row r="1038" spans="1:43" ht="16">
      <c r="A1038" s="20">
        <v>6691243749</v>
      </c>
      <c r="B1038" s="21">
        <v>80038</v>
      </c>
      <c r="C1038" s="20" t="s">
        <v>4727</v>
      </c>
      <c r="D1038" s="20" t="s">
        <v>999</v>
      </c>
      <c r="E1038" s="20" t="s">
        <v>4136</v>
      </c>
      <c r="F1038" s="20" t="s">
        <v>257</v>
      </c>
      <c r="G1038" s="20" t="s">
        <v>257</v>
      </c>
      <c r="H1038" s="20" t="s">
        <v>48</v>
      </c>
      <c r="I1038" s="20" t="s">
        <v>257</v>
      </c>
      <c r="J1038" s="22" t="s">
        <v>4728</v>
      </c>
      <c r="K1038" s="22" t="s">
        <v>4728</v>
      </c>
      <c r="L1038" s="23" t="s">
        <v>4715</v>
      </c>
      <c r="M1038" s="24" t="s">
        <v>7740</v>
      </c>
      <c r="N1038" s="23">
        <v>18784000</v>
      </c>
      <c r="O1038" s="25" t="s">
        <v>866</v>
      </c>
      <c r="P1038" s="25" t="s">
        <v>53</v>
      </c>
      <c r="Q1038" s="20" t="s">
        <v>4729</v>
      </c>
      <c r="R1038" s="20">
        <v>22026196</v>
      </c>
      <c r="S1038" s="25" t="s">
        <v>4730</v>
      </c>
      <c r="T1038" s="26" t="s">
        <v>57</v>
      </c>
      <c r="U1038" s="23">
        <v>860478062099202</v>
      </c>
      <c r="V1038" s="45" t="s">
        <v>110</v>
      </c>
      <c r="W1038" s="20" t="s">
        <v>302</v>
      </c>
      <c r="X1038" s="20" t="s">
        <v>303</v>
      </c>
      <c r="Y1038" s="20" t="s">
        <v>303</v>
      </c>
      <c r="Z1038" s="20" t="s">
        <v>131</v>
      </c>
      <c r="AA1038" s="20" t="s">
        <v>132</v>
      </c>
      <c r="AB1038" s="20" t="s">
        <v>82</v>
      </c>
      <c r="AC1038" s="28">
        <v>559.48</v>
      </c>
      <c r="AD1038" s="28">
        <f>SUM(BASE[[#This Row],[MONTO DE RENTA ]]*1.16)</f>
        <v>648.99680000000001</v>
      </c>
      <c r="AE1038" s="28" t="s">
        <v>83</v>
      </c>
      <c r="AF1038" s="28">
        <v>559.48275862068965</v>
      </c>
      <c r="AG1038" s="28">
        <v>649</v>
      </c>
      <c r="AH1038" s="22" t="s">
        <v>64</v>
      </c>
      <c r="AI1038" s="29">
        <v>45703</v>
      </c>
      <c r="AJ1038" s="29">
        <v>46433</v>
      </c>
      <c r="AK10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38" s="30"/>
      <c r="AN1038" s="20" t="s">
        <v>65</v>
      </c>
      <c r="AP1038" s="20" t="s">
        <v>84</v>
      </c>
    </row>
    <row r="1039" spans="1:43" ht="16">
      <c r="A1039" s="20">
        <v>6691244734</v>
      </c>
      <c r="B1039" s="21">
        <v>1008293</v>
      </c>
      <c r="C1039" s="20" t="s">
        <v>4731</v>
      </c>
      <c r="D1039" s="20" t="s">
        <v>657</v>
      </c>
      <c r="E1039" s="20" t="s">
        <v>347</v>
      </c>
      <c r="F1039" s="20" t="s">
        <v>104</v>
      </c>
      <c r="G1039" s="20" t="s">
        <v>104</v>
      </c>
      <c r="H1039" s="20" t="s">
        <v>48</v>
      </c>
      <c r="I1039" s="20" t="s">
        <v>104</v>
      </c>
      <c r="J1039" s="32" t="s">
        <v>4732</v>
      </c>
      <c r="K1039" s="32" t="s">
        <v>4732</v>
      </c>
      <c r="L1039" s="23" t="s">
        <v>4715</v>
      </c>
      <c r="M1039" s="24" t="s">
        <v>7740</v>
      </c>
      <c r="N1039" s="23">
        <v>18784000</v>
      </c>
      <c r="O1039" s="25" t="s">
        <v>866</v>
      </c>
      <c r="P1039" s="25" t="s">
        <v>53</v>
      </c>
      <c r="Q1039" s="20" t="s">
        <v>4733</v>
      </c>
      <c r="R1039" s="20">
        <v>22026197</v>
      </c>
      <c r="S1039" s="25" t="s">
        <v>4734</v>
      </c>
      <c r="T1039" s="26" t="s">
        <v>57</v>
      </c>
      <c r="U1039" s="23">
        <v>861383071457541</v>
      </c>
      <c r="V1039" s="45" t="s">
        <v>110</v>
      </c>
      <c r="W1039" s="20" t="s">
        <v>111</v>
      </c>
      <c r="X1039" s="20" t="s">
        <v>112</v>
      </c>
      <c r="Y1039" s="20" t="s">
        <v>112</v>
      </c>
      <c r="Z1039" s="20" t="s">
        <v>131</v>
      </c>
      <c r="AA1039" s="20" t="s">
        <v>132</v>
      </c>
      <c r="AB1039" s="20" t="s">
        <v>82</v>
      </c>
      <c r="AC1039" s="28">
        <v>559.48</v>
      </c>
      <c r="AD1039" s="28">
        <f>SUM(BASE[[#This Row],[MONTO DE RENTA ]]*1.16)</f>
        <v>648.99680000000001</v>
      </c>
      <c r="AE1039" s="28" t="s">
        <v>83</v>
      </c>
      <c r="AF1039" s="28">
        <v>559.48275862068965</v>
      </c>
      <c r="AG1039" s="28">
        <v>649</v>
      </c>
      <c r="AH1039" s="22" t="s">
        <v>253</v>
      </c>
      <c r="AI1039" s="63">
        <v>45940</v>
      </c>
      <c r="AJ1039" s="63">
        <v>46501</v>
      </c>
      <c r="AK1039" s="30">
        <f ca="1">IFERROR(IF(BASE[[#This Row],[FECHA DE RENOVACION ]]&gt;TODAY(), DATEDIF(TODAY(),BASE[[#This Row],[FECHA DE RENOVACION ]],"M"), -DATEDIF(BASE[[#This Row],[FECHA DE RENOVACION ]],TODAY(),"M")), "Sin fecha")</f>
        <v>13</v>
      </c>
      <c r="AM1039" s="30"/>
      <c r="AN1039" s="20" t="s">
        <v>65</v>
      </c>
      <c r="AP1039" s="20" t="s">
        <v>84</v>
      </c>
    </row>
    <row r="1040" spans="1:43" ht="16">
      <c r="A1040" s="20">
        <v>6691244973</v>
      </c>
      <c r="B1040" s="21">
        <v>1057677</v>
      </c>
      <c r="C1040" s="20" t="s">
        <v>4735</v>
      </c>
      <c r="D1040" s="20" t="s">
        <v>358</v>
      </c>
      <c r="E1040" s="20" t="s">
        <v>187</v>
      </c>
      <c r="F1040" s="20" t="s">
        <v>104</v>
      </c>
      <c r="G1040" s="20" t="s">
        <v>104</v>
      </c>
      <c r="H1040" s="20" t="s">
        <v>48</v>
      </c>
      <c r="I1040" s="20" t="s">
        <v>104</v>
      </c>
      <c r="J1040" s="22" t="s">
        <v>4736</v>
      </c>
      <c r="K1040" s="22" t="s">
        <v>4736</v>
      </c>
      <c r="L1040" s="23" t="s">
        <v>4715</v>
      </c>
      <c r="M1040" s="24" t="s">
        <v>7740</v>
      </c>
      <c r="N1040" s="23">
        <v>18784000</v>
      </c>
      <c r="O1040" s="25" t="s">
        <v>866</v>
      </c>
      <c r="P1040" s="25" t="s">
        <v>53</v>
      </c>
      <c r="Q1040" s="20" t="s">
        <v>4737</v>
      </c>
      <c r="R1040" s="20">
        <v>22026198</v>
      </c>
      <c r="S1040" s="25" t="s">
        <v>4738</v>
      </c>
      <c r="T1040" s="26" t="s">
        <v>57</v>
      </c>
      <c r="U1040" s="23">
        <v>860478064772566</v>
      </c>
      <c r="V1040" s="45" t="s">
        <v>110</v>
      </c>
      <c r="W1040" s="20" t="s">
        <v>302</v>
      </c>
      <c r="X1040" s="20" t="s">
        <v>303</v>
      </c>
      <c r="Y1040" s="20" t="s">
        <v>303</v>
      </c>
      <c r="Z1040" s="20" t="s">
        <v>131</v>
      </c>
      <c r="AA1040" s="20" t="s">
        <v>132</v>
      </c>
      <c r="AB1040" s="20" t="s">
        <v>82</v>
      </c>
      <c r="AC1040" s="28">
        <v>559.48</v>
      </c>
      <c r="AD1040" s="28">
        <f>SUM(BASE[[#This Row],[MONTO DE RENTA ]]*1.16)</f>
        <v>648.99680000000001</v>
      </c>
      <c r="AE1040" s="28" t="s">
        <v>83</v>
      </c>
      <c r="AF1040" s="28">
        <v>559.48275862068965</v>
      </c>
      <c r="AG1040" s="28">
        <v>649</v>
      </c>
      <c r="AH1040" s="22" t="s">
        <v>64</v>
      </c>
      <c r="AI1040" s="63">
        <v>45703</v>
      </c>
      <c r="AJ1040" s="63">
        <v>46433</v>
      </c>
      <c r="AK10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0" s="30"/>
      <c r="AN1040" s="20" t="s">
        <v>65</v>
      </c>
      <c r="AP1040" s="20" t="s">
        <v>84</v>
      </c>
    </row>
    <row r="1041" spans="1:43" ht="16">
      <c r="A1041" s="20">
        <v>6691348788</v>
      </c>
      <c r="B1041" s="21">
        <v>1000164</v>
      </c>
      <c r="C1041" s="20" t="s">
        <v>4739</v>
      </c>
      <c r="D1041" s="20" t="s">
        <v>187</v>
      </c>
      <c r="E1041" s="20" t="s">
        <v>657</v>
      </c>
      <c r="F1041" s="20" t="s">
        <v>104</v>
      </c>
      <c r="G1041" s="20" t="s">
        <v>104</v>
      </c>
      <c r="H1041" s="20" t="s">
        <v>48</v>
      </c>
      <c r="I1041" s="20" t="s">
        <v>104</v>
      </c>
      <c r="J1041" s="22" t="s">
        <v>4740</v>
      </c>
      <c r="K1041" s="22" t="s">
        <v>4740</v>
      </c>
      <c r="L1041" s="23" t="s">
        <v>4715</v>
      </c>
      <c r="M1041" s="24" t="s">
        <v>7740</v>
      </c>
      <c r="N1041" s="23">
        <v>18784000</v>
      </c>
      <c r="O1041" s="25" t="s">
        <v>866</v>
      </c>
      <c r="P1041" s="25" t="s">
        <v>53</v>
      </c>
      <c r="Q1041" s="20" t="s">
        <v>4741</v>
      </c>
      <c r="R1041" s="20">
        <v>22026203</v>
      </c>
      <c r="S1041" s="25" t="s">
        <v>4742</v>
      </c>
      <c r="T1041" s="26" t="s">
        <v>57</v>
      </c>
      <c r="U1041" s="23">
        <v>860478064811265</v>
      </c>
      <c r="V1041" s="45" t="s">
        <v>110</v>
      </c>
      <c r="W1041" s="20" t="s">
        <v>302</v>
      </c>
      <c r="X1041" s="20" t="s">
        <v>303</v>
      </c>
      <c r="Y1041" s="20" t="s">
        <v>303</v>
      </c>
      <c r="Z1041" s="20" t="s">
        <v>131</v>
      </c>
      <c r="AA1041" s="20" t="s">
        <v>132</v>
      </c>
      <c r="AB1041" s="20" t="s">
        <v>82</v>
      </c>
      <c r="AC1041" s="28">
        <v>559.48</v>
      </c>
      <c r="AD1041" s="28">
        <f>SUM(BASE[[#This Row],[MONTO DE RENTA ]]*1.16)</f>
        <v>648.99680000000001</v>
      </c>
      <c r="AE1041" s="28" t="s">
        <v>83</v>
      </c>
      <c r="AF1041" s="28">
        <v>559.48275862068965</v>
      </c>
      <c r="AG1041" s="28">
        <v>649</v>
      </c>
      <c r="AH1041" s="22" t="s">
        <v>64</v>
      </c>
      <c r="AI1041" s="63">
        <v>45703</v>
      </c>
      <c r="AJ1041" s="63">
        <v>46433</v>
      </c>
      <c r="AK10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1" s="30"/>
      <c r="AN1041" s="20" t="s">
        <v>65</v>
      </c>
      <c r="AP1041" s="20" t="s">
        <v>84</v>
      </c>
    </row>
    <row r="1042" spans="1:43" ht="16">
      <c r="A1042" s="134">
        <v>6691100675</v>
      </c>
      <c r="B1042" s="135">
        <v>840149</v>
      </c>
      <c r="C1042" s="20" t="s">
        <v>4690</v>
      </c>
      <c r="D1042" s="20" t="s">
        <v>598</v>
      </c>
      <c r="E1042" s="20" t="s">
        <v>2289</v>
      </c>
      <c r="F1042" s="20" t="s">
        <v>122</v>
      </c>
      <c r="G1042" s="20" t="s">
        <v>122</v>
      </c>
      <c r="H1042" s="20" t="s">
        <v>48</v>
      </c>
      <c r="I1042" s="20" t="s">
        <v>122</v>
      </c>
      <c r="J1042" s="137" t="s">
        <v>4725</v>
      </c>
      <c r="K1042" s="137" t="s">
        <v>4725</v>
      </c>
      <c r="L1042" s="23" t="s">
        <v>4715</v>
      </c>
      <c r="M1042" s="24" t="s">
        <v>7740</v>
      </c>
      <c r="N1042" s="23">
        <v>18784000</v>
      </c>
      <c r="O1042" s="25" t="s">
        <v>866</v>
      </c>
      <c r="P1042" s="25" t="s">
        <v>53</v>
      </c>
      <c r="Q1042" s="20" t="s">
        <v>4743</v>
      </c>
      <c r="R1042" s="20">
        <v>21856126</v>
      </c>
      <c r="S1042" s="25" t="s">
        <v>55</v>
      </c>
      <c r="T1042" s="81" t="s">
        <v>56</v>
      </c>
      <c r="U1042" s="23">
        <v>865356065669491</v>
      </c>
      <c r="V1042" s="27" t="s">
        <v>183</v>
      </c>
      <c r="W1042" s="20" t="s">
        <v>129</v>
      </c>
      <c r="X1042" s="20" t="s">
        <v>130</v>
      </c>
      <c r="Y1042" s="20" t="s">
        <v>130</v>
      </c>
      <c r="Z1042" s="20" t="s">
        <v>60</v>
      </c>
      <c r="AA1042" s="20" t="s">
        <v>61</v>
      </c>
      <c r="AB1042" s="20" t="s">
        <v>96</v>
      </c>
      <c r="AC1042" s="28">
        <v>369.83</v>
      </c>
      <c r="AD1042" s="28">
        <f>SUM(BASE[[#This Row],[MONTO DE RENTA ]]*1.16)</f>
        <v>429.00279999999998</v>
      </c>
      <c r="AE1042" s="28" t="s">
        <v>63</v>
      </c>
      <c r="AF1042" s="28">
        <v>369.82758620689657</v>
      </c>
      <c r="AG1042" s="28">
        <v>429</v>
      </c>
      <c r="AH1042" s="36" t="s">
        <v>64</v>
      </c>
      <c r="AI1042" s="84">
        <v>45323</v>
      </c>
      <c r="AJ1042" s="84">
        <v>46054</v>
      </c>
      <c r="AK10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042" s="134"/>
      <c r="AM1042" s="139"/>
      <c r="AN1042" s="20" t="s">
        <v>99</v>
      </c>
      <c r="AP1042" s="20" t="s">
        <v>84</v>
      </c>
      <c r="AQ1042" s="20" t="s">
        <v>100</v>
      </c>
    </row>
    <row r="1043" spans="1:43" ht="16">
      <c r="A1043" s="20">
        <v>6691511860</v>
      </c>
      <c r="B1043" s="49">
        <v>660473</v>
      </c>
      <c r="C1043" s="20" t="s">
        <v>4744</v>
      </c>
      <c r="D1043" s="20" t="s">
        <v>187</v>
      </c>
      <c r="E1043" s="20" t="s">
        <v>3557</v>
      </c>
      <c r="F1043" s="20" t="s">
        <v>70</v>
      </c>
      <c r="G1043" s="20" t="s">
        <v>70</v>
      </c>
      <c r="H1043" s="20" t="s">
        <v>48</v>
      </c>
      <c r="I1043" s="20" t="s">
        <v>70</v>
      </c>
      <c r="J1043" s="22" t="s">
        <v>4745</v>
      </c>
      <c r="K1043" s="22" t="s">
        <v>4745</v>
      </c>
      <c r="L1043" s="23" t="s">
        <v>4715</v>
      </c>
      <c r="M1043" s="24" t="s">
        <v>7740</v>
      </c>
      <c r="N1043" s="23">
        <v>18784000</v>
      </c>
      <c r="O1043" s="25" t="s">
        <v>866</v>
      </c>
      <c r="P1043" s="25" t="s">
        <v>53</v>
      </c>
      <c r="Q1043" s="20" t="s">
        <v>4746</v>
      </c>
      <c r="R1043" s="20">
        <v>21913996</v>
      </c>
      <c r="S1043" s="25" t="s">
        <v>55</v>
      </c>
      <c r="T1043" s="26" t="s">
        <v>56</v>
      </c>
      <c r="U1043" s="23">
        <v>357894929287048</v>
      </c>
      <c r="V1043" s="27" t="s">
        <v>78</v>
      </c>
      <c r="W1043" s="20" t="s">
        <v>95</v>
      </c>
      <c r="X1043" s="20" t="s">
        <v>95</v>
      </c>
      <c r="Y1043" s="20" t="s">
        <v>95</v>
      </c>
      <c r="Z1043" s="20" t="s">
        <v>60</v>
      </c>
      <c r="AA1043" s="20" t="s">
        <v>61</v>
      </c>
      <c r="AB1043" s="20" t="s">
        <v>82</v>
      </c>
      <c r="AC1043" s="28">
        <v>559.48</v>
      </c>
      <c r="AD1043" s="28">
        <f>SUM(BASE[[#This Row],[MONTO DE RENTA ]]*1.16)</f>
        <v>648.99680000000001</v>
      </c>
      <c r="AE1043" s="28" t="s">
        <v>83</v>
      </c>
      <c r="AF1043" s="28">
        <v>559.48275862068965</v>
      </c>
      <c r="AG1043" s="28">
        <v>649</v>
      </c>
      <c r="AI1043" s="63">
        <v>44937</v>
      </c>
      <c r="AJ1043" s="73">
        <v>46043</v>
      </c>
      <c r="AK10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43" s="30"/>
      <c r="AN1043" s="20" t="s">
        <v>99</v>
      </c>
      <c r="AP1043" s="20" t="s">
        <v>84</v>
      </c>
      <c r="AQ1043" s="20" t="s">
        <v>100</v>
      </c>
    </row>
    <row r="1044" spans="1:43" ht="16">
      <c r="A1044" s="20">
        <v>3221302857</v>
      </c>
      <c r="B1044" s="21">
        <v>420050</v>
      </c>
      <c r="C1044" s="20" t="s">
        <v>4312</v>
      </c>
      <c r="D1044" s="20" t="s">
        <v>4747</v>
      </c>
      <c r="E1044" s="20">
        <v>0</v>
      </c>
      <c r="F1044" s="20" t="s">
        <v>587</v>
      </c>
      <c r="G1044" s="20" t="s">
        <v>47</v>
      </c>
      <c r="H1044" s="20" t="s">
        <v>48</v>
      </c>
      <c r="I1044" s="20" t="s">
        <v>587</v>
      </c>
      <c r="J1044" s="22" t="s">
        <v>4748</v>
      </c>
      <c r="K1044" s="22" t="s">
        <v>4748</v>
      </c>
      <c r="L1044" s="23" t="s">
        <v>4749</v>
      </c>
      <c r="M1044" s="24" t="s">
        <v>7746</v>
      </c>
      <c r="N1044" s="23">
        <v>18785000</v>
      </c>
      <c r="O1044" s="25" t="s">
        <v>677</v>
      </c>
      <c r="P1044" s="25" t="s">
        <v>53</v>
      </c>
      <c r="Q1044" s="20" t="s">
        <v>4750</v>
      </c>
      <c r="R1044" s="20">
        <v>53354239</v>
      </c>
      <c r="S1044" s="25" t="s">
        <v>4751</v>
      </c>
      <c r="T1044" s="26" t="s">
        <v>57</v>
      </c>
      <c r="U1044" s="23">
        <v>860900062255054</v>
      </c>
      <c r="V1044" s="27" t="s">
        <v>57</v>
      </c>
      <c r="W1044" s="20" t="s">
        <v>58</v>
      </c>
      <c r="X1044" s="20" t="s">
        <v>59</v>
      </c>
      <c r="Y1044" s="20" t="s">
        <v>59</v>
      </c>
      <c r="Z1044" s="20" t="s">
        <v>80</v>
      </c>
      <c r="AA1044" s="20" t="s">
        <v>81</v>
      </c>
      <c r="AB1044" s="20" t="s">
        <v>96</v>
      </c>
      <c r="AC1044" s="28">
        <v>369.83</v>
      </c>
      <c r="AD1044" s="28">
        <f>SUM(BASE[[#This Row],[MONTO DE RENTA ]]*1.16)</f>
        <v>429.00279999999998</v>
      </c>
      <c r="AE1044" s="28" t="s">
        <v>63</v>
      </c>
      <c r="AF1044" s="28">
        <v>369.82758620689657</v>
      </c>
      <c r="AG1044" s="28">
        <v>429</v>
      </c>
      <c r="AH1044" s="22" t="s">
        <v>64</v>
      </c>
      <c r="AI1044" s="29">
        <v>45703</v>
      </c>
      <c r="AJ1044" s="29">
        <v>46433</v>
      </c>
      <c r="AK10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4" s="30"/>
      <c r="AN1044" s="20" t="s">
        <v>65</v>
      </c>
      <c r="AP1044" s="20" t="s">
        <v>84</v>
      </c>
    </row>
    <row r="1045" spans="1:43" ht="16">
      <c r="A1045" s="20">
        <v>3221302178</v>
      </c>
      <c r="B1045" s="21">
        <v>850038</v>
      </c>
      <c r="C1045" s="20" t="s">
        <v>4752</v>
      </c>
      <c r="D1045" s="20" t="s">
        <v>519</v>
      </c>
      <c r="E1045" s="20" t="s">
        <v>4753</v>
      </c>
      <c r="F1045" s="20" t="s">
        <v>451</v>
      </c>
      <c r="G1045" s="20" t="s">
        <v>248</v>
      </c>
      <c r="H1045" s="20" t="s">
        <v>48</v>
      </c>
      <c r="I1045" s="20" t="s">
        <v>451</v>
      </c>
      <c r="J1045" s="54" t="s">
        <v>4754</v>
      </c>
      <c r="K1045" s="54" t="s">
        <v>4754</v>
      </c>
      <c r="L1045" s="23" t="s">
        <v>4749</v>
      </c>
      <c r="M1045" s="24" t="s">
        <v>7746</v>
      </c>
      <c r="N1045" s="23">
        <v>18785000</v>
      </c>
      <c r="O1045" s="25" t="s">
        <v>677</v>
      </c>
      <c r="P1045" s="25" t="s">
        <v>53</v>
      </c>
      <c r="Q1045" s="20" t="s">
        <v>4755</v>
      </c>
      <c r="R1045" s="20">
        <v>53335811</v>
      </c>
      <c r="S1045" s="25" t="s">
        <v>4756</v>
      </c>
      <c r="T1045" s="65" t="s">
        <v>57</v>
      </c>
      <c r="U1045" s="23">
        <v>860900062255906</v>
      </c>
      <c r="V1045" s="27" t="s">
        <v>57</v>
      </c>
      <c r="W1045" s="20" t="s">
        <v>58</v>
      </c>
      <c r="X1045" s="20" t="s">
        <v>59</v>
      </c>
      <c r="Y1045" s="20" t="s">
        <v>59</v>
      </c>
      <c r="Z1045" s="20" t="s">
        <v>80</v>
      </c>
      <c r="AA1045" s="20" t="s">
        <v>81</v>
      </c>
      <c r="AB1045" s="20" t="s">
        <v>96</v>
      </c>
      <c r="AC1045" s="28">
        <v>369.83</v>
      </c>
      <c r="AD1045" s="28">
        <f>SUM(BASE[[#This Row],[MONTO DE RENTA ]]*1.16)</f>
        <v>429.00279999999998</v>
      </c>
      <c r="AE1045" s="28" t="s">
        <v>63</v>
      </c>
      <c r="AF1045" s="28">
        <v>369.82758620689657</v>
      </c>
      <c r="AG1045" s="28">
        <v>429</v>
      </c>
      <c r="AH1045" s="22" t="s">
        <v>140</v>
      </c>
      <c r="AI1045" s="63">
        <v>45710</v>
      </c>
      <c r="AJ1045" s="63">
        <v>46402</v>
      </c>
      <c r="AK1045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045" s="30"/>
      <c r="AN1045" s="20" t="s">
        <v>65</v>
      </c>
      <c r="AP1045" s="20" t="s">
        <v>84</v>
      </c>
    </row>
    <row r="1046" spans="1:43" ht="16">
      <c r="A1046" s="20">
        <v>3221115690</v>
      </c>
      <c r="B1046" s="49">
        <v>850334</v>
      </c>
      <c r="C1046" s="20" t="s">
        <v>4757</v>
      </c>
      <c r="D1046" s="20" t="s">
        <v>4758</v>
      </c>
      <c r="E1046" s="20" t="s">
        <v>4759</v>
      </c>
      <c r="F1046" s="20" t="s">
        <v>104</v>
      </c>
      <c r="G1046" s="20" t="s">
        <v>104</v>
      </c>
      <c r="H1046" s="20" t="s">
        <v>48</v>
      </c>
      <c r="I1046" s="20" t="s">
        <v>104</v>
      </c>
      <c r="J1046" s="22" t="s">
        <v>4760</v>
      </c>
      <c r="K1046" s="22" t="s">
        <v>4761</v>
      </c>
      <c r="L1046" s="23" t="s">
        <v>4749</v>
      </c>
      <c r="M1046" s="24" t="s">
        <v>7746</v>
      </c>
      <c r="N1046" s="23">
        <v>18785000</v>
      </c>
      <c r="O1046" s="25" t="s">
        <v>677</v>
      </c>
      <c r="P1046" s="25" t="s">
        <v>53</v>
      </c>
      <c r="Q1046" s="20" t="s">
        <v>4762</v>
      </c>
      <c r="R1046" s="20">
        <v>53064454</v>
      </c>
      <c r="S1046" s="25" t="s">
        <v>55</v>
      </c>
      <c r="T1046" s="26" t="s">
        <v>56</v>
      </c>
      <c r="U1046" s="23">
        <v>865356065728743</v>
      </c>
      <c r="V1046" s="27" t="s">
        <v>183</v>
      </c>
      <c r="W1046" s="20" t="s">
        <v>129</v>
      </c>
      <c r="X1046" s="20" t="s">
        <v>130</v>
      </c>
      <c r="Y1046" s="20" t="s">
        <v>130</v>
      </c>
      <c r="Z1046" s="20" t="s">
        <v>60</v>
      </c>
      <c r="AA1046" s="20" t="s">
        <v>61</v>
      </c>
      <c r="AB1046" s="20" t="s">
        <v>96</v>
      </c>
      <c r="AC1046" s="28">
        <v>369.83</v>
      </c>
      <c r="AD1046" s="28">
        <f>SUM(BASE[[#This Row],[MONTO DE RENTA ]]*1.16)</f>
        <v>429.00279999999998</v>
      </c>
      <c r="AE1046" s="28" t="s">
        <v>63</v>
      </c>
      <c r="AF1046" s="28">
        <v>369.82758620689657</v>
      </c>
      <c r="AG1046" s="28">
        <v>429</v>
      </c>
      <c r="AI1046" s="63">
        <v>45220</v>
      </c>
      <c r="AJ1046" s="63">
        <v>46012</v>
      </c>
      <c r="AK1046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1046" s="30"/>
      <c r="AN1046" s="20" t="s">
        <v>99</v>
      </c>
      <c r="AP1046" s="20" t="s">
        <v>84</v>
      </c>
      <c r="AQ1046" s="20" t="s">
        <v>100</v>
      </c>
    </row>
    <row r="1047" spans="1:43" ht="16">
      <c r="A1047" s="20">
        <v>3221302719</v>
      </c>
      <c r="B1047" s="21">
        <v>850267</v>
      </c>
      <c r="C1047" s="20" t="s">
        <v>159</v>
      </c>
      <c r="D1047" s="20" t="s">
        <v>4763</v>
      </c>
      <c r="E1047" s="20" t="s">
        <v>143</v>
      </c>
      <c r="F1047" s="20" t="s">
        <v>257</v>
      </c>
      <c r="G1047" s="20" t="s">
        <v>257</v>
      </c>
      <c r="H1047" s="20" t="s">
        <v>48</v>
      </c>
      <c r="I1047" s="20" t="s">
        <v>257</v>
      </c>
      <c r="J1047" s="22" t="s">
        <v>4764</v>
      </c>
      <c r="K1047" s="22" t="s">
        <v>4764</v>
      </c>
      <c r="L1047" s="25" t="s">
        <v>4749</v>
      </c>
      <c r="M1047" s="24" t="s">
        <v>7746</v>
      </c>
      <c r="N1047" s="23">
        <v>18785000</v>
      </c>
      <c r="O1047" s="25" t="s">
        <v>677</v>
      </c>
      <c r="P1047" s="25" t="s">
        <v>53</v>
      </c>
      <c r="Q1047" s="20" t="s">
        <v>4765</v>
      </c>
      <c r="R1047" s="20">
        <v>53345562</v>
      </c>
      <c r="S1047" s="25" t="s">
        <v>4766</v>
      </c>
      <c r="T1047" s="26" t="s">
        <v>57</v>
      </c>
      <c r="U1047" s="23">
        <v>860478064067132</v>
      </c>
      <c r="V1047" s="45" t="s">
        <v>110</v>
      </c>
      <c r="W1047" s="20" t="s">
        <v>302</v>
      </c>
      <c r="X1047" s="20" t="s">
        <v>303</v>
      </c>
      <c r="Y1047" s="20" t="s">
        <v>303</v>
      </c>
      <c r="Z1047" s="20" t="s">
        <v>80</v>
      </c>
      <c r="AA1047" s="20" t="s">
        <v>81</v>
      </c>
      <c r="AB1047" s="20" t="s">
        <v>82</v>
      </c>
      <c r="AC1047" s="28">
        <v>559.48</v>
      </c>
      <c r="AD1047" s="28">
        <f>SUM(BASE[[#This Row],[MONTO DE RENTA ]]*1.16)</f>
        <v>648.99680000000001</v>
      </c>
      <c r="AE1047" s="28" t="s">
        <v>83</v>
      </c>
      <c r="AF1047" s="28">
        <v>559.48275862068965</v>
      </c>
      <c r="AG1047" s="28">
        <v>649</v>
      </c>
      <c r="AH1047" s="22" t="s">
        <v>64</v>
      </c>
      <c r="AI1047" s="63">
        <v>45703</v>
      </c>
      <c r="AJ1047" s="63">
        <v>46433</v>
      </c>
      <c r="AK10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7" s="30"/>
      <c r="AN1047" s="20" t="s">
        <v>65</v>
      </c>
      <c r="AP1047" s="20" t="s">
        <v>84</v>
      </c>
    </row>
    <row r="1048" spans="1:43" ht="16">
      <c r="A1048" s="20">
        <v>3221303646</v>
      </c>
      <c r="B1048" s="21">
        <v>850188</v>
      </c>
      <c r="C1048" s="20" t="s">
        <v>4767</v>
      </c>
      <c r="D1048" s="20" t="s">
        <v>4768</v>
      </c>
      <c r="E1048" s="20" t="s">
        <v>45</v>
      </c>
      <c r="F1048" s="20" t="s">
        <v>104</v>
      </c>
      <c r="G1048" s="20" t="s">
        <v>104</v>
      </c>
      <c r="H1048" s="20" t="s">
        <v>48</v>
      </c>
      <c r="I1048" s="20" t="s">
        <v>104</v>
      </c>
      <c r="J1048" s="22" t="s">
        <v>4769</v>
      </c>
      <c r="K1048" s="22" t="s">
        <v>4769</v>
      </c>
      <c r="L1048" s="23" t="s">
        <v>4749</v>
      </c>
      <c r="M1048" s="24" t="s">
        <v>7746</v>
      </c>
      <c r="N1048" s="23">
        <v>18785000</v>
      </c>
      <c r="O1048" s="25" t="s">
        <v>677</v>
      </c>
      <c r="P1048" s="25" t="s">
        <v>53</v>
      </c>
      <c r="Q1048" s="20" t="s">
        <v>4770</v>
      </c>
      <c r="R1048" s="20">
        <v>53345569</v>
      </c>
      <c r="S1048" s="25" t="s">
        <v>4771</v>
      </c>
      <c r="T1048" s="26" t="s">
        <v>57</v>
      </c>
      <c r="U1048" s="23">
        <v>860478063821810</v>
      </c>
      <c r="V1048" s="45" t="s">
        <v>110</v>
      </c>
      <c r="W1048" s="20" t="s">
        <v>302</v>
      </c>
      <c r="X1048" s="20" t="s">
        <v>303</v>
      </c>
      <c r="Y1048" s="20" t="s">
        <v>303</v>
      </c>
      <c r="Z1048" s="20" t="s">
        <v>80</v>
      </c>
      <c r="AA1048" s="20" t="s">
        <v>81</v>
      </c>
      <c r="AB1048" s="20" t="s">
        <v>82</v>
      </c>
      <c r="AC1048" s="28">
        <v>559.48</v>
      </c>
      <c r="AD1048" s="28">
        <f>SUM(BASE[[#This Row],[MONTO DE RENTA ]]*1.16)</f>
        <v>648.99680000000001</v>
      </c>
      <c r="AE1048" s="28" t="s">
        <v>83</v>
      </c>
      <c r="AF1048" s="28">
        <v>559.48275862068965</v>
      </c>
      <c r="AG1048" s="28">
        <v>649</v>
      </c>
      <c r="AH1048" s="22" t="s">
        <v>64</v>
      </c>
      <c r="AI1048" s="63">
        <v>45703</v>
      </c>
      <c r="AJ1048" s="63">
        <v>46433</v>
      </c>
      <c r="AK10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8" s="30"/>
      <c r="AN1048" s="20" t="s">
        <v>65</v>
      </c>
      <c r="AP1048" s="20" t="s">
        <v>84</v>
      </c>
    </row>
    <row r="1049" spans="1:43" ht="16">
      <c r="A1049" s="20">
        <v>3221302741</v>
      </c>
      <c r="B1049" s="21">
        <v>850210</v>
      </c>
      <c r="C1049" s="20" t="s">
        <v>902</v>
      </c>
      <c r="D1049" s="20" t="s">
        <v>598</v>
      </c>
      <c r="E1049" s="20" t="s">
        <v>205</v>
      </c>
      <c r="F1049" s="20" t="s">
        <v>104</v>
      </c>
      <c r="G1049" s="20" t="s">
        <v>104</v>
      </c>
      <c r="H1049" s="20" t="s">
        <v>48</v>
      </c>
      <c r="I1049" s="20" t="s">
        <v>104</v>
      </c>
      <c r="J1049" s="22" t="s">
        <v>4772</v>
      </c>
      <c r="K1049" s="22" t="s">
        <v>4772</v>
      </c>
      <c r="L1049" s="23" t="s">
        <v>4749</v>
      </c>
      <c r="M1049" s="24" t="s">
        <v>7746</v>
      </c>
      <c r="N1049" s="23">
        <v>18785000</v>
      </c>
      <c r="O1049" s="25" t="s">
        <v>677</v>
      </c>
      <c r="P1049" s="25" t="s">
        <v>53</v>
      </c>
      <c r="Q1049" s="20" t="s">
        <v>4773</v>
      </c>
      <c r="R1049" s="20">
        <v>53345565</v>
      </c>
      <c r="S1049" s="25" t="s">
        <v>4774</v>
      </c>
      <c r="T1049" s="26" t="s">
        <v>57</v>
      </c>
      <c r="U1049" s="23">
        <v>860478063741497</v>
      </c>
      <c r="V1049" s="45" t="s">
        <v>110</v>
      </c>
      <c r="W1049" s="20" t="s">
        <v>302</v>
      </c>
      <c r="X1049" s="20" t="s">
        <v>303</v>
      </c>
      <c r="Y1049" s="20" t="s">
        <v>303</v>
      </c>
      <c r="Z1049" s="20" t="s">
        <v>80</v>
      </c>
      <c r="AA1049" s="20" t="s">
        <v>81</v>
      </c>
      <c r="AB1049" s="20" t="s">
        <v>82</v>
      </c>
      <c r="AC1049" s="28">
        <v>559.48</v>
      </c>
      <c r="AD1049" s="28">
        <f>SUM(BASE[[#This Row],[MONTO DE RENTA ]]*1.16)</f>
        <v>648.99680000000001</v>
      </c>
      <c r="AE1049" s="28" t="s">
        <v>83</v>
      </c>
      <c r="AF1049" s="28">
        <v>559.48275862068965</v>
      </c>
      <c r="AG1049" s="28">
        <v>649</v>
      </c>
      <c r="AH1049" s="22" t="s">
        <v>64</v>
      </c>
      <c r="AI1049" s="63">
        <v>45703</v>
      </c>
      <c r="AJ1049" s="63">
        <v>46433</v>
      </c>
      <c r="AK10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49" s="30"/>
      <c r="AN1049" s="20" t="s">
        <v>65</v>
      </c>
      <c r="AP1049" s="20" t="s">
        <v>84</v>
      </c>
    </row>
    <row r="1050" spans="1:43" ht="16">
      <c r="A1050" s="20">
        <v>3221302743</v>
      </c>
      <c r="B1050" s="21">
        <v>850334</v>
      </c>
      <c r="C1050" s="20" t="s">
        <v>4757</v>
      </c>
      <c r="D1050" s="20" t="s">
        <v>4758</v>
      </c>
      <c r="E1050" s="20" t="s">
        <v>4759</v>
      </c>
      <c r="F1050" s="20" t="s">
        <v>104</v>
      </c>
      <c r="G1050" s="20" t="s">
        <v>104</v>
      </c>
      <c r="H1050" s="20" t="s">
        <v>48</v>
      </c>
      <c r="I1050" s="20" t="s">
        <v>104</v>
      </c>
      <c r="J1050" s="22" t="s">
        <v>4775</v>
      </c>
      <c r="K1050" s="22" t="s">
        <v>4775</v>
      </c>
      <c r="L1050" s="25" t="s">
        <v>4749</v>
      </c>
      <c r="M1050" s="24" t="s">
        <v>7746</v>
      </c>
      <c r="N1050" s="23">
        <v>18785000</v>
      </c>
      <c r="O1050" s="25" t="s">
        <v>677</v>
      </c>
      <c r="P1050" s="25" t="s">
        <v>53</v>
      </c>
      <c r="Q1050" s="20" t="s">
        <v>4776</v>
      </c>
      <c r="R1050" s="20">
        <v>53345568</v>
      </c>
      <c r="S1050" s="25" t="s">
        <v>4777</v>
      </c>
      <c r="T1050" s="26" t="s">
        <v>57</v>
      </c>
      <c r="U1050" s="23">
        <v>860478064800078</v>
      </c>
      <c r="V1050" s="45" t="s">
        <v>110</v>
      </c>
      <c r="W1050" s="20" t="s">
        <v>302</v>
      </c>
      <c r="X1050" s="20" t="s">
        <v>303</v>
      </c>
      <c r="Y1050" s="20" t="s">
        <v>303</v>
      </c>
      <c r="Z1050" s="20" t="s">
        <v>80</v>
      </c>
      <c r="AA1050" s="20" t="s">
        <v>81</v>
      </c>
      <c r="AB1050" s="20" t="s">
        <v>82</v>
      </c>
      <c r="AC1050" s="28">
        <v>559.48</v>
      </c>
      <c r="AD1050" s="28">
        <f>SUM(BASE[[#This Row],[MONTO DE RENTA ]]*1.16)</f>
        <v>648.99680000000001</v>
      </c>
      <c r="AE1050" s="28" t="s">
        <v>83</v>
      </c>
      <c r="AF1050" s="28">
        <v>559.48275862068965</v>
      </c>
      <c r="AG1050" s="28">
        <v>649</v>
      </c>
      <c r="AH1050" s="22" t="s">
        <v>64</v>
      </c>
      <c r="AI1050" s="63">
        <v>45703</v>
      </c>
      <c r="AJ1050" s="63">
        <v>46433</v>
      </c>
      <c r="AK105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50" s="30"/>
      <c r="AN1050" s="20" t="s">
        <v>65</v>
      </c>
      <c r="AP1050" s="20" t="s">
        <v>84</v>
      </c>
    </row>
    <row r="1051" spans="1:43" ht="16">
      <c r="A1051" s="20">
        <v>3221233997</v>
      </c>
      <c r="B1051" s="49">
        <v>20089</v>
      </c>
      <c r="C1051" s="20" t="s">
        <v>4778</v>
      </c>
      <c r="D1051" s="20" t="s">
        <v>1488</v>
      </c>
      <c r="E1051" s="20" t="s">
        <v>172</v>
      </c>
      <c r="F1051" s="20" t="s">
        <v>70</v>
      </c>
      <c r="G1051" s="20" t="s">
        <v>70</v>
      </c>
      <c r="H1051" s="20" t="s">
        <v>48</v>
      </c>
      <c r="I1051" s="20" t="s">
        <v>70</v>
      </c>
      <c r="J1051" s="22" t="s">
        <v>4779</v>
      </c>
      <c r="K1051" s="22" t="s">
        <v>4779</v>
      </c>
      <c r="L1051" s="23" t="s">
        <v>4749</v>
      </c>
      <c r="M1051" s="24" t="s">
        <v>7746</v>
      </c>
      <c r="N1051" s="23">
        <v>18636000</v>
      </c>
      <c r="O1051" s="25" t="s">
        <v>677</v>
      </c>
      <c r="P1051" s="25" t="s">
        <v>53</v>
      </c>
      <c r="Q1051" s="20" t="s">
        <v>4780</v>
      </c>
      <c r="R1051" s="20">
        <v>53162340</v>
      </c>
      <c r="S1051" s="25" t="s">
        <v>55</v>
      </c>
      <c r="T1051" s="26" t="s">
        <v>56</v>
      </c>
      <c r="U1051" s="23">
        <v>357654179892115</v>
      </c>
      <c r="V1051" s="27" t="s">
        <v>78</v>
      </c>
      <c r="W1051" s="20" t="s">
        <v>95</v>
      </c>
      <c r="X1051" s="20" t="s">
        <v>95</v>
      </c>
      <c r="Y1051" s="20" t="s">
        <v>95</v>
      </c>
      <c r="Z1051" s="20" t="s">
        <v>60</v>
      </c>
      <c r="AA1051" s="20" t="s">
        <v>61</v>
      </c>
      <c r="AB1051" s="20" t="s">
        <v>82</v>
      </c>
      <c r="AC1051" s="28">
        <v>559.48</v>
      </c>
      <c r="AD1051" s="28">
        <f>SUM(BASE[[#This Row],[MONTO DE RENTA ]]*1.16)</f>
        <v>648.99680000000001</v>
      </c>
      <c r="AE1051" s="28" t="s">
        <v>83</v>
      </c>
      <c r="AF1051" s="28">
        <v>559.48275862068965</v>
      </c>
      <c r="AG1051" s="28">
        <v>649</v>
      </c>
      <c r="AI1051" s="29">
        <v>44937</v>
      </c>
      <c r="AJ1051" s="50">
        <v>46043</v>
      </c>
      <c r="AK105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51" s="30"/>
      <c r="AN1051" s="20" t="s">
        <v>99</v>
      </c>
      <c r="AP1051" s="20" t="s">
        <v>84</v>
      </c>
      <c r="AQ1051" s="20" t="s">
        <v>100</v>
      </c>
    </row>
    <row r="1052" spans="1:43" ht="16">
      <c r="A1052" s="20">
        <v>7223357450</v>
      </c>
      <c r="B1052" s="21">
        <v>880391</v>
      </c>
      <c r="C1052" s="20" t="s">
        <v>701</v>
      </c>
      <c r="D1052" s="20" t="s">
        <v>172</v>
      </c>
      <c r="E1052" s="20" t="s">
        <v>461</v>
      </c>
      <c r="F1052" s="20" t="s">
        <v>104</v>
      </c>
      <c r="G1052" s="20" t="s">
        <v>104</v>
      </c>
      <c r="H1052" s="20" t="s">
        <v>48</v>
      </c>
      <c r="I1052" s="20" t="s">
        <v>104</v>
      </c>
      <c r="J1052" s="32" t="s">
        <v>4781</v>
      </c>
      <c r="K1052" s="32" t="s">
        <v>4781</v>
      </c>
      <c r="L1052" s="23" t="s">
        <v>138</v>
      </c>
      <c r="M1052" s="24" t="s">
        <v>7741</v>
      </c>
      <c r="N1052" s="23">
        <v>18788000</v>
      </c>
      <c r="O1052" s="25" t="s">
        <v>52</v>
      </c>
      <c r="P1052" s="25" t="s">
        <v>53</v>
      </c>
      <c r="Q1052" s="20" t="s">
        <v>4782</v>
      </c>
      <c r="R1052" s="20">
        <v>90069570</v>
      </c>
      <c r="S1052" s="25" t="s">
        <v>4783</v>
      </c>
      <c r="T1052" s="26" t="s">
        <v>57</v>
      </c>
      <c r="U1052" s="23">
        <v>860478062333528</v>
      </c>
      <c r="V1052" s="45" t="s">
        <v>110</v>
      </c>
      <c r="W1052" s="20" t="s">
        <v>302</v>
      </c>
      <c r="X1052" s="20" t="s">
        <v>303</v>
      </c>
      <c r="Y1052" s="20" t="s">
        <v>303</v>
      </c>
      <c r="Z1052" s="20" t="s">
        <v>131</v>
      </c>
      <c r="AA1052" s="20" t="s">
        <v>132</v>
      </c>
      <c r="AB1052" s="20" t="s">
        <v>82</v>
      </c>
      <c r="AC1052" s="28">
        <v>559.48</v>
      </c>
      <c r="AD1052" s="28">
        <f>SUM(BASE[[#This Row],[MONTO DE RENTA ]]*1.16)</f>
        <v>648.99680000000001</v>
      </c>
      <c r="AE1052" s="28" t="s">
        <v>83</v>
      </c>
      <c r="AF1052" s="28">
        <v>559.48275862068965</v>
      </c>
      <c r="AG1052" s="28">
        <v>649</v>
      </c>
      <c r="AH1052" s="22" t="s">
        <v>64</v>
      </c>
      <c r="AI1052" s="63">
        <v>45713</v>
      </c>
      <c r="AJ1052" s="63">
        <v>46433</v>
      </c>
      <c r="AK105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52" s="30"/>
      <c r="AN1052" s="20" t="s">
        <v>65</v>
      </c>
      <c r="AP1052" s="20" t="s">
        <v>84</v>
      </c>
    </row>
    <row r="1053" spans="1:43" ht="16">
      <c r="A1053" s="20">
        <v>3221357952</v>
      </c>
      <c r="B1053" s="49">
        <v>1047885</v>
      </c>
      <c r="C1053" s="20" t="s">
        <v>4784</v>
      </c>
      <c r="D1053" s="20" t="s">
        <v>376</v>
      </c>
      <c r="E1053" s="20" t="s">
        <v>172</v>
      </c>
      <c r="F1053" s="20" t="s">
        <v>47</v>
      </c>
      <c r="G1053" s="20" t="s">
        <v>47</v>
      </c>
      <c r="H1053" s="20" t="s">
        <v>48</v>
      </c>
      <c r="I1053" s="20" t="s">
        <v>47</v>
      </c>
      <c r="J1053" s="141" t="s">
        <v>4785</v>
      </c>
      <c r="K1053" s="54" t="s">
        <v>4785</v>
      </c>
      <c r="L1053" s="23" t="s">
        <v>4786</v>
      </c>
      <c r="M1053" s="24" t="s">
        <v>7746</v>
      </c>
      <c r="N1053" s="23">
        <v>18786000</v>
      </c>
      <c r="O1053" s="25" t="s">
        <v>677</v>
      </c>
      <c r="P1053" s="25" t="s">
        <v>53</v>
      </c>
      <c r="Q1053" s="20" t="s">
        <v>4787</v>
      </c>
      <c r="R1053" s="20">
        <v>55776032</v>
      </c>
      <c r="S1053" s="25" t="s">
        <v>55</v>
      </c>
      <c r="T1053" s="26" t="s">
        <v>56</v>
      </c>
      <c r="U1053" s="23">
        <v>860900062318753</v>
      </c>
      <c r="V1053" s="27" t="s">
        <v>183</v>
      </c>
      <c r="W1053" s="20" t="s">
        <v>58</v>
      </c>
      <c r="X1053" s="20" t="s">
        <v>59</v>
      </c>
      <c r="Y1053" s="20" t="s">
        <v>59</v>
      </c>
      <c r="Z1053" s="20" t="s">
        <v>113</v>
      </c>
      <c r="AA1053" s="20" t="s">
        <v>114</v>
      </c>
      <c r="AB1053" s="20" t="s">
        <v>244</v>
      </c>
      <c r="AC1053" s="28">
        <v>473.28</v>
      </c>
      <c r="AD1053" s="28">
        <f>SUM(BASE[[#This Row],[MONTO DE RENTA ]]*1.16)</f>
        <v>549.00479999999993</v>
      </c>
      <c r="AE1053" s="28" t="s">
        <v>63</v>
      </c>
      <c r="AF1053" s="28">
        <v>369.82758620689657</v>
      </c>
      <c r="AG1053" s="28">
        <v>429</v>
      </c>
      <c r="AH1053" s="22" t="s">
        <v>116</v>
      </c>
      <c r="AI1053" s="29">
        <v>45946</v>
      </c>
      <c r="AJ1053" s="29">
        <v>46768</v>
      </c>
      <c r="AK1053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053" s="30"/>
      <c r="AN1053" s="20" t="s">
        <v>65</v>
      </c>
      <c r="AP1053" s="20" t="s">
        <v>118</v>
      </c>
    </row>
    <row r="1054" spans="1:43" ht="16">
      <c r="A1054" s="20">
        <v>3221095264</v>
      </c>
      <c r="B1054" s="49">
        <v>850272</v>
      </c>
      <c r="C1054" s="20" t="s">
        <v>1147</v>
      </c>
      <c r="D1054" s="20" t="s">
        <v>4788</v>
      </c>
      <c r="E1054" s="20" t="s">
        <v>1012</v>
      </c>
      <c r="F1054" s="20" t="s">
        <v>4039</v>
      </c>
      <c r="G1054" s="20" t="s">
        <v>248</v>
      </c>
      <c r="H1054" s="20" t="s">
        <v>48</v>
      </c>
      <c r="I1054" s="20" t="s">
        <v>4039</v>
      </c>
      <c r="J1054" s="169" t="s">
        <v>4789</v>
      </c>
      <c r="K1054" s="54" t="s">
        <v>4790</v>
      </c>
      <c r="L1054" s="23" t="s">
        <v>4786</v>
      </c>
      <c r="M1054" s="24" t="s">
        <v>7746</v>
      </c>
      <c r="N1054" s="23">
        <v>18786000</v>
      </c>
      <c r="O1054" s="25" t="s">
        <v>677</v>
      </c>
      <c r="P1054" s="25" t="s">
        <v>53</v>
      </c>
      <c r="Q1054" s="20" t="s">
        <v>4791</v>
      </c>
      <c r="R1054" s="20">
        <v>55776043</v>
      </c>
      <c r="S1054" s="25" t="s">
        <v>55</v>
      </c>
      <c r="T1054" s="26" t="s">
        <v>56</v>
      </c>
      <c r="U1054" s="23">
        <v>860900062337746</v>
      </c>
      <c r="V1054" s="45" t="s">
        <v>57</v>
      </c>
      <c r="W1054" s="20" t="s">
        <v>58</v>
      </c>
      <c r="X1054" s="20" t="s">
        <v>59</v>
      </c>
      <c r="Y1054" s="20" t="s">
        <v>59</v>
      </c>
      <c r="Z1054" s="20" t="s">
        <v>113</v>
      </c>
      <c r="AA1054" s="20" t="s">
        <v>114</v>
      </c>
      <c r="AB1054" s="20" t="s">
        <v>244</v>
      </c>
      <c r="AC1054" s="28">
        <v>473.28</v>
      </c>
      <c r="AD1054" s="28">
        <f>SUM(BASE[[#This Row],[MONTO DE RENTA ]]*1.16)</f>
        <v>549.00479999999993</v>
      </c>
      <c r="AE1054" s="28" t="s">
        <v>63</v>
      </c>
      <c r="AF1054" s="28">
        <v>369.82758620689657</v>
      </c>
      <c r="AG1054" s="28">
        <v>429</v>
      </c>
      <c r="AH1054" s="22" t="s">
        <v>116</v>
      </c>
      <c r="AI1054" s="63">
        <v>45946</v>
      </c>
      <c r="AJ1054" s="63">
        <v>46676</v>
      </c>
      <c r="AK105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054" s="30"/>
      <c r="AN1054" s="20" t="s">
        <v>65</v>
      </c>
      <c r="AP1054" s="20" t="s">
        <v>118</v>
      </c>
    </row>
    <row r="1055" spans="1:43" ht="16">
      <c r="A1055" s="20">
        <v>3221821244</v>
      </c>
      <c r="B1055" s="21">
        <v>1086184</v>
      </c>
      <c r="C1055" s="20" t="s">
        <v>4792</v>
      </c>
      <c r="D1055" s="20" t="s">
        <v>4793</v>
      </c>
      <c r="E1055" s="20" t="s">
        <v>4794</v>
      </c>
      <c r="F1055" s="20" t="s">
        <v>104</v>
      </c>
      <c r="G1055" s="20" t="s">
        <v>104</v>
      </c>
      <c r="H1055" s="20" t="s">
        <v>48</v>
      </c>
      <c r="I1055" s="20" t="s">
        <v>104</v>
      </c>
      <c r="J1055" s="47" t="s">
        <v>4795</v>
      </c>
      <c r="K1055" s="47" t="s">
        <v>4795</v>
      </c>
      <c r="L1055" s="23" t="s">
        <v>4786</v>
      </c>
      <c r="M1055" s="24" t="s">
        <v>7746</v>
      </c>
      <c r="N1055" s="23">
        <v>18786000</v>
      </c>
      <c r="O1055" s="25" t="s">
        <v>677</v>
      </c>
      <c r="P1055" s="25" t="s">
        <v>53</v>
      </c>
      <c r="Q1055" s="20" t="s">
        <v>4796</v>
      </c>
      <c r="R1055" s="20">
        <v>55775928</v>
      </c>
      <c r="S1055" s="25" t="s">
        <v>4797</v>
      </c>
      <c r="T1055" s="44" t="s">
        <v>57</v>
      </c>
      <c r="U1055" s="23">
        <v>861383070408842</v>
      </c>
      <c r="V1055" s="45" t="s">
        <v>110</v>
      </c>
      <c r="W1055" s="20" t="s">
        <v>111</v>
      </c>
      <c r="X1055" s="20" t="s">
        <v>112</v>
      </c>
      <c r="Y1055" s="20" t="s">
        <v>112</v>
      </c>
      <c r="Z1055" s="20" t="s">
        <v>113</v>
      </c>
      <c r="AA1055" s="20" t="s">
        <v>114</v>
      </c>
      <c r="AB1055" s="20" t="s">
        <v>115</v>
      </c>
      <c r="AC1055" s="28">
        <v>559.48</v>
      </c>
      <c r="AD1055" s="28">
        <f>SUM(BASE[[#This Row],[MONTO DE RENTA ]]*1.16)</f>
        <v>648.99680000000001</v>
      </c>
      <c r="AE1055" s="28" t="s">
        <v>83</v>
      </c>
      <c r="AF1055" s="28">
        <v>559.48275862068965</v>
      </c>
      <c r="AG1055" s="28">
        <v>649</v>
      </c>
      <c r="AH1055" s="22" t="s">
        <v>116</v>
      </c>
      <c r="AI1055" s="63">
        <v>45931</v>
      </c>
      <c r="AJ1055" s="63">
        <v>46661</v>
      </c>
      <c r="AK1055" s="30">
        <f ca="1">IFERROR(IF(BASE[[#This Row],[FECHA DE RENOVACION ]]&gt;TODAY(), DATEDIF(TODAY(),BASE[[#This Row],[FECHA DE RENOVACION ]],"M"), -DATEDIF(BASE[[#This Row],[FECHA DE RENOVACION ]],TODAY(),"M")), "Sin fecha")</f>
        <v>18</v>
      </c>
      <c r="AL1055" s="20" t="s">
        <v>1287</v>
      </c>
      <c r="AM1055" s="30"/>
      <c r="AN1055" s="20" t="s">
        <v>65</v>
      </c>
      <c r="AP1055" s="20" t="s">
        <v>84</v>
      </c>
    </row>
    <row r="1056" spans="1:43" ht="16">
      <c r="A1056" s="20">
        <v>3221057908</v>
      </c>
      <c r="B1056" s="106">
        <v>31250</v>
      </c>
      <c r="C1056" s="20" t="s">
        <v>4798</v>
      </c>
      <c r="D1056" s="20" t="s">
        <v>1524</v>
      </c>
      <c r="E1056" s="20" t="s">
        <v>44</v>
      </c>
      <c r="F1056" s="20" t="s">
        <v>70</v>
      </c>
      <c r="G1056" s="20" t="s">
        <v>70</v>
      </c>
      <c r="H1056" s="20" t="s">
        <v>48</v>
      </c>
      <c r="I1056" s="20" t="s">
        <v>70</v>
      </c>
      <c r="J1056" s="22" t="s">
        <v>4799</v>
      </c>
      <c r="K1056" s="22" t="s">
        <v>4799</v>
      </c>
      <c r="L1056" s="23" t="s">
        <v>4786</v>
      </c>
      <c r="M1056" s="24" t="s">
        <v>7746</v>
      </c>
      <c r="N1056" s="23">
        <v>18786000</v>
      </c>
      <c r="O1056" s="25" t="s">
        <v>677</v>
      </c>
      <c r="P1056" s="25" t="s">
        <v>53</v>
      </c>
      <c r="Q1056" s="20" t="s">
        <v>4800</v>
      </c>
      <c r="R1056" s="20">
        <v>55775926</v>
      </c>
      <c r="S1056" s="25" t="s">
        <v>2054</v>
      </c>
      <c r="T1056" s="44" t="s">
        <v>77</v>
      </c>
      <c r="U1056" s="23">
        <v>356638832098096</v>
      </c>
      <c r="V1056" s="27" t="s">
        <v>78</v>
      </c>
      <c r="W1056" s="20" t="s">
        <v>214</v>
      </c>
      <c r="X1056" s="20" t="s">
        <v>214</v>
      </c>
      <c r="Y1056" s="20" t="s">
        <v>214</v>
      </c>
      <c r="Z1056" s="20" t="s">
        <v>113</v>
      </c>
      <c r="AA1056" s="20" t="s">
        <v>114</v>
      </c>
      <c r="AB1056" s="20" t="s">
        <v>115</v>
      </c>
      <c r="AC1056" s="28">
        <v>559.48</v>
      </c>
      <c r="AD1056" s="28">
        <f>SUM(BASE[[#This Row],[MONTO DE RENTA ]]*1.16)</f>
        <v>648.99680000000001</v>
      </c>
      <c r="AE1056" s="28" t="s">
        <v>83</v>
      </c>
      <c r="AF1056" s="28">
        <v>559.48275862068965</v>
      </c>
      <c r="AG1056" s="28">
        <v>649</v>
      </c>
      <c r="AH1056" s="22" t="s">
        <v>116</v>
      </c>
      <c r="AI1056" s="63">
        <v>45855</v>
      </c>
      <c r="AJ1056" s="63">
        <v>46585</v>
      </c>
      <c r="AK1056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056" s="20" t="s">
        <v>117</v>
      </c>
      <c r="AM1056" s="30"/>
      <c r="AN1056" s="20" t="s">
        <v>65</v>
      </c>
      <c r="AP1056" s="20" t="s">
        <v>84</v>
      </c>
    </row>
    <row r="1057" spans="1:43" ht="16">
      <c r="A1057" s="20">
        <v>5518825087</v>
      </c>
      <c r="B1057" s="21">
        <v>880313</v>
      </c>
      <c r="C1057" s="20" t="s">
        <v>2220</v>
      </c>
      <c r="D1057" s="20" t="s">
        <v>4801</v>
      </c>
      <c r="E1057" s="20" t="s">
        <v>4802</v>
      </c>
      <c r="F1057" s="20" t="s">
        <v>418</v>
      </c>
      <c r="G1057" s="20" t="s">
        <v>47</v>
      </c>
      <c r="H1057" s="20" t="s">
        <v>48</v>
      </c>
      <c r="I1057" s="20" t="s">
        <v>418</v>
      </c>
      <c r="J1057" s="22" t="s">
        <v>4803</v>
      </c>
      <c r="K1057" s="22" t="s">
        <v>4803</v>
      </c>
      <c r="L1057" s="23" t="s">
        <v>138</v>
      </c>
      <c r="M1057" s="24" t="s">
        <v>7741</v>
      </c>
      <c r="N1057" s="23">
        <v>18788000</v>
      </c>
      <c r="O1057" s="25" t="s">
        <v>52</v>
      </c>
      <c r="P1057" s="25" t="s">
        <v>53</v>
      </c>
      <c r="Q1057" s="20" t="s">
        <v>4804</v>
      </c>
      <c r="R1057" s="20">
        <v>90069947</v>
      </c>
      <c r="S1057" s="25" t="s">
        <v>4805</v>
      </c>
      <c r="T1057" s="26" t="s">
        <v>57</v>
      </c>
      <c r="U1057" s="23">
        <v>860900062323142</v>
      </c>
      <c r="V1057" s="27" t="s">
        <v>57</v>
      </c>
      <c r="W1057" s="20" t="s">
        <v>58</v>
      </c>
      <c r="X1057" s="20" t="s">
        <v>59</v>
      </c>
      <c r="Y1057" s="20" t="s">
        <v>59</v>
      </c>
      <c r="Z1057" s="20" t="s">
        <v>60</v>
      </c>
      <c r="AA1057" s="20" t="s">
        <v>61</v>
      </c>
      <c r="AB1057" s="20" t="s">
        <v>96</v>
      </c>
      <c r="AC1057" s="28">
        <v>369.83</v>
      </c>
      <c r="AD1057" s="28">
        <f>SUM(BASE[[#This Row],[MONTO DE RENTA ]]*1.16)</f>
        <v>429.00279999999998</v>
      </c>
      <c r="AE1057" s="28" t="s">
        <v>63</v>
      </c>
      <c r="AF1057" s="28">
        <v>369.82758620689657</v>
      </c>
      <c r="AG1057" s="28">
        <v>429</v>
      </c>
      <c r="AH1057" s="22" t="s">
        <v>64</v>
      </c>
      <c r="AI1057" s="63">
        <v>45703</v>
      </c>
      <c r="AJ1057" s="63">
        <v>46433</v>
      </c>
      <c r="AK10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57" s="30"/>
      <c r="AN1057" s="20" t="s">
        <v>65</v>
      </c>
      <c r="AP1057" s="20" t="s">
        <v>84</v>
      </c>
    </row>
    <row r="1058" spans="1:43" s="124" customFormat="1" ht="16">
      <c r="A1058" s="20">
        <v>5514012268</v>
      </c>
      <c r="B1058" s="21">
        <v>1005565</v>
      </c>
      <c r="C1058" s="20" t="s">
        <v>4806</v>
      </c>
      <c r="D1058" s="20" t="s">
        <v>657</v>
      </c>
      <c r="E1058" s="20" t="s">
        <v>229</v>
      </c>
      <c r="F1058" s="20" t="s">
        <v>248</v>
      </c>
      <c r="G1058" s="20" t="s">
        <v>248</v>
      </c>
      <c r="H1058" s="20" t="s">
        <v>48</v>
      </c>
      <c r="I1058" s="20" t="s">
        <v>248</v>
      </c>
      <c r="J1058" s="22" t="s">
        <v>4807</v>
      </c>
      <c r="K1058" s="22" t="s">
        <v>4807</v>
      </c>
      <c r="L1058" s="23" t="s">
        <v>138</v>
      </c>
      <c r="M1058" s="24" t="s">
        <v>7741</v>
      </c>
      <c r="N1058" s="23">
        <v>18788000</v>
      </c>
      <c r="O1058" s="25" t="s">
        <v>52</v>
      </c>
      <c r="P1058" s="25" t="s">
        <v>53</v>
      </c>
      <c r="Q1058" s="20" t="s">
        <v>4808</v>
      </c>
      <c r="R1058" s="20">
        <v>90135333</v>
      </c>
      <c r="S1058" s="25" t="s">
        <v>4809</v>
      </c>
      <c r="T1058" s="26" t="s">
        <v>57</v>
      </c>
      <c r="U1058" s="23">
        <v>860900062323035</v>
      </c>
      <c r="V1058" s="27" t="s">
        <v>57</v>
      </c>
      <c r="W1058" s="20" t="s">
        <v>58</v>
      </c>
      <c r="X1058" s="20" t="s">
        <v>59</v>
      </c>
      <c r="Y1058" s="20" t="s">
        <v>59</v>
      </c>
      <c r="Z1058" s="20" t="s">
        <v>60</v>
      </c>
      <c r="AA1058" s="20" t="s">
        <v>61</v>
      </c>
      <c r="AB1058" s="20" t="s">
        <v>96</v>
      </c>
      <c r="AC1058" s="28">
        <v>369.83</v>
      </c>
      <c r="AD1058" s="28">
        <f>SUM(BASE[[#This Row],[MONTO DE RENTA ]]*1.16)</f>
        <v>429.00279999999998</v>
      </c>
      <c r="AE1058" s="28" t="s">
        <v>63</v>
      </c>
      <c r="AF1058" s="28">
        <v>369.82758620689657</v>
      </c>
      <c r="AG1058" s="28">
        <v>429</v>
      </c>
      <c r="AH1058" s="22" t="s">
        <v>64</v>
      </c>
      <c r="AI1058" s="63">
        <v>45703</v>
      </c>
      <c r="AJ1058" s="63">
        <v>46433</v>
      </c>
      <c r="AK10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58" s="20"/>
      <c r="AM1058" s="30"/>
      <c r="AN1058" s="20" t="s">
        <v>65</v>
      </c>
      <c r="AO1058" s="20"/>
      <c r="AP1058" s="20" t="s">
        <v>84</v>
      </c>
      <c r="AQ1058" s="20"/>
    </row>
    <row r="1059" spans="1:43" ht="16">
      <c r="A1059" s="20">
        <v>7223430137</v>
      </c>
      <c r="B1059" s="21">
        <v>1025314</v>
      </c>
      <c r="C1059" s="20" t="s">
        <v>2121</v>
      </c>
      <c r="D1059" s="20" t="s">
        <v>3274</v>
      </c>
      <c r="E1059" s="20" t="s">
        <v>143</v>
      </c>
      <c r="F1059" s="20" t="s">
        <v>257</v>
      </c>
      <c r="G1059" s="20" t="s">
        <v>257</v>
      </c>
      <c r="H1059" s="20" t="s">
        <v>48</v>
      </c>
      <c r="I1059" s="20" t="s">
        <v>257</v>
      </c>
      <c r="J1059" s="22" t="s">
        <v>4810</v>
      </c>
      <c r="K1059" s="22" t="s">
        <v>4810</v>
      </c>
      <c r="L1059" s="23" t="s">
        <v>138</v>
      </c>
      <c r="M1059" s="24" t="s">
        <v>7741</v>
      </c>
      <c r="N1059" s="23">
        <v>18788000</v>
      </c>
      <c r="O1059" s="25" t="s">
        <v>52</v>
      </c>
      <c r="P1059" s="25" t="s">
        <v>53</v>
      </c>
      <c r="Q1059" s="20" t="s">
        <v>4811</v>
      </c>
      <c r="R1059" s="20">
        <v>90070036</v>
      </c>
      <c r="S1059" s="25" t="s">
        <v>4812</v>
      </c>
      <c r="T1059" s="26" t="s">
        <v>57</v>
      </c>
      <c r="U1059" s="23">
        <v>860478062354466</v>
      </c>
      <c r="V1059" s="45" t="s">
        <v>110</v>
      </c>
      <c r="W1059" s="20" t="s">
        <v>302</v>
      </c>
      <c r="X1059" s="20" t="s">
        <v>303</v>
      </c>
      <c r="Y1059" s="20" t="s">
        <v>303</v>
      </c>
      <c r="Z1059" s="20" t="s">
        <v>131</v>
      </c>
      <c r="AA1059" s="20" t="s">
        <v>132</v>
      </c>
      <c r="AB1059" s="20" t="s">
        <v>82</v>
      </c>
      <c r="AC1059" s="28">
        <v>559.48</v>
      </c>
      <c r="AD1059" s="28">
        <f>SUM(BASE[[#This Row],[MONTO DE RENTA ]]*1.16)</f>
        <v>648.99680000000001</v>
      </c>
      <c r="AE1059" s="28" t="s">
        <v>83</v>
      </c>
      <c r="AF1059" s="28">
        <v>559.48275862068965</v>
      </c>
      <c r="AG1059" s="28">
        <v>649</v>
      </c>
      <c r="AH1059" s="22" t="s">
        <v>64</v>
      </c>
      <c r="AI1059" s="29">
        <v>45703</v>
      </c>
      <c r="AJ1059" s="29">
        <v>46433</v>
      </c>
      <c r="AK10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59" s="30"/>
      <c r="AN1059" s="20" t="s">
        <v>65</v>
      </c>
      <c r="AP1059" s="20" t="s">
        <v>84</v>
      </c>
    </row>
    <row r="1060" spans="1:43" ht="16">
      <c r="A1060" s="20">
        <v>7223433127</v>
      </c>
      <c r="B1060" s="21">
        <v>880391</v>
      </c>
      <c r="C1060" s="20" t="s">
        <v>701</v>
      </c>
      <c r="D1060" s="20" t="s">
        <v>172</v>
      </c>
      <c r="E1060" s="20" t="s">
        <v>461</v>
      </c>
      <c r="F1060" s="20" t="s">
        <v>104</v>
      </c>
      <c r="G1060" s="20" t="s">
        <v>104</v>
      </c>
      <c r="H1060" s="20" t="s">
        <v>48</v>
      </c>
      <c r="I1060" s="20" t="s">
        <v>104</v>
      </c>
      <c r="J1060" s="32" t="s">
        <v>4813</v>
      </c>
      <c r="K1060" s="32" t="s">
        <v>4813</v>
      </c>
      <c r="L1060" s="23" t="s">
        <v>138</v>
      </c>
      <c r="M1060" s="24" t="s">
        <v>7741</v>
      </c>
      <c r="N1060" s="23">
        <v>18788000</v>
      </c>
      <c r="O1060" s="25" t="s">
        <v>52</v>
      </c>
      <c r="P1060" s="25" t="s">
        <v>53</v>
      </c>
      <c r="Q1060" s="20" t="s">
        <v>4814</v>
      </c>
      <c r="R1060" s="20">
        <v>90069600</v>
      </c>
      <c r="S1060" s="25" t="s">
        <v>4815</v>
      </c>
      <c r="T1060" s="26" t="s">
        <v>57</v>
      </c>
      <c r="U1060" s="23">
        <v>860478062096471</v>
      </c>
      <c r="V1060" s="45" t="s">
        <v>110</v>
      </c>
      <c r="W1060" s="20" t="s">
        <v>302</v>
      </c>
      <c r="X1060" s="20" t="s">
        <v>303</v>
      </c>
      <c r="Y1060" s="20" t="s">
        <v>303</v>
      </c>
      <c r="Z1060" s="20" t="s">
        <v>131</v>
      </c>
      <c r="AA1060" s="20" t="s">
        <v>132</v>
      </c>
      <c r="AB1060" s="20" t="s">
        <v>82</v>
      </c>
      <c r="AC1060" s="28">
        <v>559.48</v>
      </c>
      <c r="AD1060" s="28">
        <f>SUM(BASE[[#This Row],[MONTO DE RENTA ]]*1.16)</f>
        <v>648.99680000000001</v>
      </c>
      <c r="AE1060" s="28" t="s">
        <v>83</v>
      </c>
      <c r="AF1060" s="28">
        <v>559.48275862068965</v>
      </c>
      <c r="AG1060" s="28">
        <v>649</v>
      </c>
      <c r="AH1060" s="22" t="s">
        <v>64</v>
      </c>
      <c r="AI1060" s="63">
        <v>45713</v>
      </c>
      <c r="AJ1060" s="63">
        <v>46433</v>
      </c>
      <c r="AK10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0" s="30"/>
      <c r="AN1060" s="20" t="s">
        <v>65</v>
      </c>
      <c r="AP1060" s="20" t="s">
        <v>84</v>
      </c>
    </row>
    <row r="1061" spans="1:43" ht="16">
      <c r="A1061" s="20">
        <v>8113963429</v>
      </c>
      <c r="B1061" s="21">
        <v>570403</v>
      </c>
      <c r="C1061" s="20" t="s">
        <v>4113</v>
      </c>
      <c r="D1061" s="20" t="s">
        <v>4114</v>
      </c>
      <c r="E1061" s="20" t="s">
        <v>4115</v>
      </c>
      <c r="F1061" s="20" t="s">
        <v>47</v>
      </c>
      <c r="G1061" s="20" t="s">
        <v>248</v>
      </c>
      <c r="H1061" s="20" t="s">
        <v>48</v>
      </c>
      <c r="I1061" s="20" t="s">
        <v>47</v>
      </c>
      <c r="J1061" s="22" t="s">
        <v>4816</v>
      </c>
      <c r="K1061" s="22" t="s">
        <v>4816</v>
      </c>
      <c r="L1061" s="23" t="s">
        <v>4817</v>
      </c>
      <c r="M1061" s="24" t="s">
        <v>7737</v>
      </c>
      <c r="N1061" s="23">
        <v>18757000</v>
      </c>
      <c r="O1061" s="25" t="s">
        <v>74</v>
      </c>
      <c r="P1061" s="25" t="s">
        <v>53</v>
      </c>
      <c r="Q1061" s="20" t="s">
        <v>4818</v>
      </c>
      <c r="R1061" s="20">
        <v>43121124</v>
      </c>
      <c r="S1061" s="25" t="s">
        <v>4819</v>
      </c>
      <c r="T1061" s="26" t="s">
        <v>57</v>
      </c>
      <c r="U1061" s="23">
        <v>860900062336623</v>
      </c>
      <c r="V1061" s="27" t="s">
        <v>57</v>
      </c>
      <c r="W1061" s="20" t="s">
        <v>58</v>
      </c>
      <c r="X1061" s="20" t="s">
        <v>59</v>
      </c>
      <c r="Y1061" s="20" t="s">
        <v>59</v>
      </c>
      <c r="Z1061" s="20" t="s">
        <v>167</v>
      </c>
      <c r="AA1061" s="20" t="s">
        <v>168</v>
      </c>
      <c r="AB1061" s="20" t="s">
        <v>96</v>
      </c>
      <c r="AC1061" s="28">
        <v>369.83</v>
      </c>
      <c r="AD1061" s="28">
        <f>SUM(BASE[[#This Row],[MONTO DE RENTA ]]*1.16)</f>
        <v>429.00279999999998</v>
      </c>
      <c r="AE1061" s="28" t="s">
        <v>63</v>
      </c>
      <c r="AF1061" s="28">
        <v>369.82758620689657</v>
      </c>
      <c r="AG1061" s="28">
        <v>429</v>
      </c>
      <c r="AH1061" s="22" t="s">
        <v>64</v>
      </c>
      <c r="AI1061" s="63">
        <v>45713</v>
      </c>
      <c r="AJ1061" s="63">
        <v>46433</v>
      </c>
      <c r="AK10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1" s="30"/>
      <c r="AN1061" s="20" t="s">
        <v>65</v>
      </c>
      <c r="AP1061" s="20" t="s">
        <v>84</v>
      </c>
    </row>
    <row r="1062" spans="1:43" ht="16">
      <c r="A1062" s="20">
        <v>7223357592</v>
      </c>
      <c r="B1062" s="49">
        <v>450023</v>
      </c>
      <c r="C1062" s="20" t="s">
        <v>1244</v>
      </c>
      <c r="D1062" s="20" t="s">
        <v>4820</v>
      </c>
      <c r="E1062" s="20" t="s">
        <v>86</v>
      </c>
      <c r="F1062" s="20" t="s">
        <v>70</v>
      </c>
      <c r="G1062" s="20" t="s">
        <v>70</v>
      </c>
      <c r="H1062" s="20" t="s">
        <v>48</v>
      </c>
      <c r="I1062" s="20" t="s">
        <v>70</v>
      </c>
      <c r="J1062" s="22" t="s">
        <v>4821</v>
      </c>
      <c r="K1062" s="22" t="s">
        <v>4821</v>
      </c>
      <c r="L1062" s="23" t="s">
        <v>138</v>
      </c>
      <c r="M1062" s="24" t="s">
        <v>7741</v>
      </c>
      <c r="N1062" s="23">
        <v>18788000</v>
      </c>
      <c r="O1062" s="25" t="s">
        <v>52</v>
      </c>
      <c r="P1062" s="25" t="s">
        <v>53</v>
      </c>
      <c r="Q1062" s="20" t="s">
        <v>4822</v>
      </c>
      <c r="R1062" s="20">
        <v>9808564</v>
      </c>
      <c r="S1062" s="25" t="s">
        <v>55</v>
      </c>
      <c r="T1062" s="26" t="s">
        <v>56</v>
      </c>
      <c r="U1062" s="23">
        <v>357654179991875</v>
      </c>
      <c r="V1062" s="27" t="s">
        <v>78</v>
      </c>
      <c r="W1062" s="20" t="s">
        <v>95</v>
      </c>
      <c r="X1062" s="20" t="s">
        <v>95</v>
      </c>
      <c r="Y1062" s="20" t="s">
        <v>95</v>
      </c>
      <c r="Z1062" s="20" t="s">
        <v>60</v>
      </c>
      <c r="AA1062" s="20" t="s">
        <v>61</v>
      </c>
      <c r="AB1062" s="20" t="s">
        <v>82</v>
      </c>
      <c r="AC1062" s="28">
        <v>559.48</v>
      </c>
      <c r="AD1062" s="28">
        <f>SUM(BASE[[#This Row],[MONTO DE RENTA ]]*1.16)</f>
        <v>648.99680000000001</v>
      </c>
      <c r="AE1062" s="28" t="s">
        <v>83</v>
      </c>
      <c r="AF1062" s="28">
        <v>559.48275862068965</v>
      </c>
      <c r="AG1062" s="28">
        <v>649</v>
      </c>
      <c r="AI1062" s="63">
        <v>45337</v>
      </c>
      <c r="AJ1062" s="63">
        <v>46068</v>
      </c>
      <c r="AK1062" s="30">
        <f ca="1">IFERROR(IF(BASE[[#This Row],[FECHA DE RENOVACION ]]&gt;TODAY(), DATEDIF(TODAY(),BASE[[#This Row],[FECHA DE RENOVACION ]],"M"), -DATEDIF(BASE[[#This Row],[FECHA DE RENOVACION ]],TODAY(),"M")), "Sin fecha")</f>
        <v>0</v>
      </c>
      <c r="AL1062"/>
      <c r="AM1062" s="30"/>
      <c r="AN1062" s="20" t="s">
        <v>99</v>
      </c>
      <c r="AP1062" s="20" t="s">
        <v>84</v>
      </c>
      <c r="AQ1062" s="20" t="s">
        <v>100</v>
      </c>
    </row>
    <row r="1063" spans="1:43" s="124" customFormat="1" ht="16">
      <c r="A1063" s="20">
        <v>8111911637</v>
      </c>
      <c r="B1063" s="21">
        <v>30587</v>
      </c>
      <c r="C1063" s="20" t="s">
        <v>4823</v>
      </c>
      <c r="D1063" s="20" t="s">
        <v>937</v>
      </c>
      <c r="E1063" s="20" t="s">
        <v>4824</v>
      </c>
      <c r="F1063" s="20" t="s">
        <v>418</v>
      </c>
      <c r="G1063" s="20" t="s">
        <v>47</v>
      </c>
      <c r="H1063" s="20" t="s">
        <v>48</v>
      </c>
      <c r="I1063" s="20" t="s">
        <v>418</v>
      </c>
      <c r="J1063" s="22" t="s">
        <v>4825</v>
      </c>
      <c r="K1063" s="22" t="s">
        <v>4825</v>
      </c>
      <c r="L1063" s="23" t="s">
        <v>4817</v>
      </c>
      <c r="M1063" s="24" t="s">
        <v>7737</v>
      </c>
      <c r="N1063" s="23">
        <v>18789000</v>
      </c>
      <c r="O1063" s="25" t="s">
        <v>74</v>
      </c>
      <c r="P1063" s="25" t="s">
        <v>53</v>
      </c>
      <c r="Q1063" s="20" t="s">
        <v>4826</v>
      </c>
      <c r="R1063" s="20">
        <v>43141241</v>
      </c>
      <c r="S1063" s="25" t="s">
        <v>4827</v>
      </c>
      <c r="T1063" s="26" t="s">
        <v>57</v>
      </c>
      <c r="U1063" s="23" t="s">
        <v>193</v>
      </c>
      <c r="V1063" s="27" t="s">
        <v>57</v>
      </c>
      <c r="W1063" s="20" t="s">
        <v>194</v>
      </c>
      <c r="X1063" s="20" t="s">
        <v>194</v>
      </c>
      <c r="Y1063" s="20" t="s">
        <v>194</v>
      </c>
      <c r="Z1063" s="20" t="s">
        <v>167</v>
      </c>
      <c r="AA1063" s="20" t="s">
        <v>168</v>
      </c>
      <c r="AB1063" s="20" t="s">
        <v>96</v>
      </c>
      <c r="AC1063" s="28">
        <v>369.83</v>
      </c>
      <c r="AD1063" s="28">
        <f>SUM(BASE[[#This Row],[MONTO DE RENTA ]]*1.16)</f>
        <v>429.00279999999998</v>
      </c>
      <c r="AE1063" s="28" t="s">
        <v>63</v>
      </c>
      <c r="AF1063" s="28">
        <v>369.82758620689657</v>
      </c>
      <c r="AG1063" s="28">
        <v>429</v>
      </c>
      <c r="AH1063" s="22"/>
      <c r="AI1063" s="63">
        <v>44937</v>
      </c>
      <c r="AJ1063" s="84">
        <v>46681</v>
      </c>
      <c r="AK106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063" s="20"/>
      <c r="AM1063" s="30"/>
      <c r="AN1063" s="20" t="s">
        <v>65</v>
      </c>
      <c r="AO1063" s="20"/>
      <c r="AP1063" s="20" t="s">
        <v>84</v>
      </c>
      <c r="AQ1063" s="20"/>
    </row>
    <row r="1064" spans="1:43" ht="16">
      <c r="A1064" s="20">
        <v>8111912807</v>
      </c>
      <c r="B1064" s="21">
        <v>890427</v>
      </c>
      <c r="C1064" s="20" t="s">
        <v>857</v>
      </c>
      <c r="D1064" s="20" t="s">
        <v>4828</v>
      </c>
      <c r="E1064" s="20" t="s">
        <v>45</v>
      </c>
      <c r="F1064" s="20" t="s">
        <v>257</v>
      </c>
      <c r="G1064" s="20" t="s">
        <v>104</v>
      </c>
      <c r="H1064" s="20" t="s">
        <v>48</v>
      </c>
      <c r="I1064" s="20" t="s">
        <v>257</v>
      </c>
      <c r="J1064" s="32" t="s">
        <v>4829</v>
      </c>
      <c r="K1064" s="32" t="s">
        <v>4829</v>
      </c>
      <c r="L1064" s="23" t="s">
        <v>4817</v>
      </c>
      <c r="M1064" s="24" t="s">
        <v>7737</v>
      </c>
      <c r="N1064" s="23">
        <v>11333000</v>
      </c>
      <c r="O1064" s="25" t="s">
        <v>74</v>
      </c>
      <c r="P1064" s="25" t="s">
        <v>53</v>
      </c>
      <c r="Q1064" s="20" t="s">
        <v>4830</v>
      </c>
      <c r="R1064" s="20">
        <v>43090316</v>
      </c>
      <c r="S1064" s="25" t="s">
        <v>4831</v>
      </c>
      <c r="T1064" s="26" t="s">
        <v>57</v>
      </c>
      <c r="U1064" s="23">
        <v>860478064633461</v>
      </c>
      <c r="V1064" s="45" t="s">
        <v>110</v>
      </c>
      <c r="W1064" s="20" t="s">
        <v>302</v>
      </c>
      <c r="X1064" s="20" t="s">
        <v>303</v>
      </c>
      <c r="Y1064" s="20" t="s">
        <v>303</v>
      </c>
      <c r="Z1064" s="20" t="s">
        <v>80</v>
      </c>
      <c r="AA1064" s="20" t="s">
        <v>81</v>
      </c>
      <c r="AB1064" s="20" t="s">
        <v>82</v>
      </c>
      <c r="AC1064" s="28">
        <v>559.48</v>
      </c>
      <c r="AD1064" s="28">
        <f>SUM(BASE[[#This Row],[MONTO DE RENTA ]]*1.16)</f>
        <v>648.99680000000001</v>
      </c>
      <c r="AE1064" s="28" t="s">
        <v>83</v>
      </c>
      <c r="AF1064" s="28">
        <v>559.48275862068965</v>
      </c>
      <c r="AG1064" s="28">
        <v>649</v>
      </c>
      <c r="AH1064" s="22" t="s">
        <v>64</v>
      </c>
      <c r="AI1064" s="63">
        <v>45713</v>
      </c>
      <c r="AJ1064" s="63">
        <v>46433</v>
      </c>
      <c r="AK10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4" s="30"/>
      <c r="AN1064" s="20" t="s">
        <v>65</v>
      </c>
      <c r="AP1064" s="20" t="s">
        <v>84</v>
      </c>
    </row>
    <row r="1065" spans="1:43" ht="16">
      <c r="A1065" s="20">
        <v>8115697202</v>
      </c>
      <c r="B1065" s="21">
        <v>890442</v>
      </c>
      <c r="C1065" s="20" t="s">
        <v>1358</v>
      </c>
      <c r="D1065" s="20" t="s">
        <v>383</v>
      </c>
      <c r="E1065" s="20" t="s">
        <v>347</v>
      </c>
      <c r="F1065" s="20" t="s">
        <v>257</v>
      </c>
      <c r="G1065" s="20" t="s">
        <v>257</v>
      </c>
      <c r="H1065" s="20" t="s">
        <v>48</v>
      </c>
      <c r="I1065" s="20" t="s">
        <v>257</v>
      </c>
      <c r="J1065" s="22" t="s">
        <v>4832</v>
      </c>
      <c r="K1065" s="22" t="s">
        <v>4832</v>
      </c>
      <c r="L1065" s="23" t="s">
        <v>4817</v>
      </c>
      <c r="M1065" s="24" t="s">
        <v>7737</v>
      </c>
      <c r="N1065" s="23">
        <v>18789000</v>
      </c>
      <c r="O1065" s="25" t="s">
        <v>74</v>
      </c>
      <c r="P1065" s="25" t="s">
        <v>53</v>
      </c>
      <c r="Q1065" s="20" t="s">
        <v>4833</v>
      </c>
      <c r="R1065" s="20">
        <v>43090234</v>
      </c>
      <c r="S1065" s="25" t="s">
        <v>4834</v>
      </c>
      <c r="T1065" s="26" t="s">
        <v>57</v>
      </c>
      <c r="U1065" s="23">
        <v>860478060664445</v>
      </c>
      <c r="V1065" s="45" t="s">
        <v>110</v>
      </c>
      <c r="W1065" s="20" t="s">
        <v>302</v>
      </c>
      <c r="X1065" s="20" t="s">
        <v>303</v>
      </c>
      <c r="Y1065" s="20" t="s">
        <v>303</v>
      </c>
      <c r="Z1065" s="20" t="s">
        <v>80</v>
      </c>
      <c r="AA1065" s="20" t="s">
        <v>81</v>
      </c>
      <c r="AB1065" s="20" t="s">
        <v>82</v>
      </c>
      <c r="AC1065" s="28">
        <v>559.48</v>
      </c>
      <c r="AD1065" s="28">
        <f>SUM(BASE[[#This Row],[MONTO DE RENTA ]]*1.16)</f>
        <v>648.99680000000001</v>
      </c>
      <c r="AE1065" s="28" t="s">
        <v>83</v>
      </c>
      <c r="AF1065" s="28">
        <v>559.48275862068965</v>
      </c>
      <c r="AG1065" s="28">
        <v>649</v>
      </c>
      <c r="AH1065" s="22" t="s">
        <v>64</v>
      </c>
      <c r="AI1065" s="63">
        <v>45703</v>
      </c>
      <c r="AJ1065" s="63">
        <v>46433</v>
      </c>
      <c r="AK10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5" s="30"/>
      <c r="AN1065" s="20" t="s">
        <v>65</v>
      </c>
      <c r="AP1065" s="20" t="s">
        <v>84</v>
      </c>
    </row>
    <row r="1066" spans="1:43" ht="16">
      <c r="A1066" s="20">
        <v>9981543137</v>
      </c>
      <c r="B1066" s="21">
        <v>260558</v>
      </c>
      <c r="C1066" s="20" t="s">
        <v>3398</v>
      </c>
      <c r="D1066" s="20" t="s">
        <v>3399</v>
      </c>
      <c r="E1066" s="20" t="s">
        <v>376</v>
      </c>
      <c r="F1066" s="20" t="s">
        <v>257</v>
      </c>
      <c r="G1066" s="20" t="s">
        <v>257</v>
      </c>
      <c r="H1066" s="20" t="s">
        <v>48</v>
      </c>
      <c r="I1066" s="20" t="s">
        <v>257</v>
      </c>
      <c r="J1066" s="32" t="s">
        <v>4835</v>
      </c>
      <c r="K1066" s="22" t="s">
        <v>4835</v>
      </c>
      <c r="L1066" s="23" t="s">
        <v>4836</v>
      </c>
      <c r="M1066" s="24" t="s">
        <v>7751</v>
      </c>
      <c r="N1066" s="23">
        <v>18795000</v>
      </c>
      <c r="O1066" s="25" t="s">
        <v>1035</v>
      </c>
      <c r="P1066" s="25" t="s">
        <v>53</v>
      </c>
      <c r="Q1066" s="20" t="s">
        <v>4837</v>
      </c>
      <c r="R1066" s="20">
        <v>82255719</v>
      </c>
      <c r="S1066" s="25" t="s">
        <v>4838</v>
      </c>
      <c r="T1066" s="26" t="s">
        <v>57</v>
      </c>
      <c r="U1066" s="23">
        <v>860478064844928</v>
      </c>
      <c r="V1066" s="45" t="s">
        <v>110</v>
      </c>
      <c r="W1066" s="20" t="s">
        <v>302</v>
      </c>
      <c r="X1066" s="20" t="s">
        <v>303</v>
      </c>
      <c r="Y1066" s="20" t="s">
        <v>303</v>
      </c>
      <c r="Z1066" s="20" t="s">
        <v>80</v>
      </c>
      <c r="AA1066" s="20" t="s">
        <v>81</v>
      </c>
      <c r="AB1066" s="20" t="s">
        <v>82</v>
      </c>
      <c r="AC1066" s="28">
        <v>559.48</v>
      </c>
      <c r="AD1066" s="28">
        <f>SUM(BASE[[#This Row],[MONTO DE RENTA ]]*1.16)</f>
        <v>648.99680000000001</v>
      </c>
      <c r="AE1066" s="28" t="s">
        <v>83</v>
      </c>
      <c r="AF1066" s="28">
        <v>559.48275862068965</v>
      </c>
      <c r="AG1066" s="28">
        <v>649</v>
      </c>
      <c r="AH1066" s="22" t="s">
        <v>64</v>
      </c>
      <c r="AI1066" s="63">
        <v>45713</v>
      </c>
      <c r="AJ1066" s="63">
        <v>46433</v>
      </c>
      <c r="AK10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6" s="30"/>
      <c r="AN1066" s="20" t="s">
        <v>65</v>
      </c>
      <c r="AP1066" s="20" t="s">
        <v>84</v>
      </c>
    </row>
    <row r="1067" spans="1:43" ht="16">
      <c r="A1067" s="20">
        <v>8116694223</v>
      </c>
      <c r="B1067" s="21">
        <v>1031293</v>
      </c>
      <c r="C1067" s="20" t="s">
        <v>4839</v>
      </c>
      <c r="D1067" s="20" t="s">
        <v>1104</v>
      </c>
      <c r="E1067" s="20" t="s">
        <v>837</v>
      </c>
      <c r="F1067" s="20" t="s">
        <v>104</v>
      </c>
      <c r="G1067" s="20" t="s">
        <v>104</v>
      </c>
      <c r="H1067" s="20" t="s">
        <v>48</v>
      </c>
      <c r="I1067" s="20" t="s">
        <v>104</v>
      </c>
      <c r="J1067" s="32" t="s">
        <v>4840</v>
      </c>
      <c r="K1067" s="32" t="s">
        <v>4840</v>
      </c>
      <c r="L1067" s="23" t="s">
        <v>4817</v>
      </c>
      <c r="M1067" s="24" t="s">
        <v>7737</v>
      </c>
      <c r="N1067" s="23">
        <v>18789000</v>
      </c>
      <c r="O1067" s="25" t="s">
        <v>74</v>
      </c>
      <c r="P1067" s="25" t="s">
        <v>53</v>
      </c>
      <c r="Q1067" s="20" t="s">
        <v>4841</v>
      </c>
      <c r="R1067" s="20">
        <v>43090252</v>
      </c>
      <c r="S1067" s="25" t="s">
        <v>4842</v>
      </c>
      <c r="T1067" s="26" t="s">
        <v>57</v>
      </c>
      <c r="U1067" s="23">
        <v>860478062354029</v>
      </c>
      <c r="V1067" s="45" t="s">
        <v>110</v>
      </c>
      <c r="W1067" s="20" t="s">
        <v>302</v>
      </c>
      <c r="X1067" s="20" t="s">
        <v>303</v>
      </c>
      <c r="Y1067" s="20" t="s">
        <v>303</v>
      </c>
      <c r="Z1067" s="20" t="s">
        <v>80</v>
      </c>
      <c r="AA1067" s="20" t="s">
        <v>81</v>
      </c>
      <c r="AB1067" s="20" t="s">
        <v>82</v>
      </c>
      <c r="AC1067" s="28">
        <v>559.48</v>
      </c>
      <c r="AD1067" s="28">
        <f>SUM(BASE[[#This Row],[MONTO DE RENTA ]]*1.16)</f>
        <v>648.99680000000001</v>
      </c>
      <c r="AE1067" s="28" t="s">
        <v>83</v>
      </c>
      <c r="AF1067" s="28">
        <v>559.48275862068965</v>
      </c>
      <c r="AG1067" s="28">
        <v>649</v>
      </c>
      <c r="AH1067" s="22" t="s">
        <v>64</v>
      </c>
      <c r="AI1067" s="63">
        <v>45703</v>
      </c>
      <c r="AJ1067" s="63">
        <v>46433</v>
      </c>
      <c r="AK10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67" s="30"/>
      <c r="AN1067" s="20" t="s">
        <v>65</v>
      </c>
      <c r="AP1067" s="20" t="s">
        <v>84</v>
      </c>
    </row>
    <row r="1068" spans="1:43" ht="16">
      <c r="A1068" s="20">
        <v>8123204833</v>
      </c>
      <c r="B1068" s="49">
        <v>890099</v>
      </c>
      <c r="C1068" s="20" t="s">
        <v>4843</v>
      </c>
      <c r="D1068" s="20" t="s">
        <v>172</v>
      </c>
      <c r="E1068" s="20" t="s">
        <v>437</v>
      </c>
      <c r="F1068" s="20" t="s">
        <v>122</v>
      </c>
      <c r="G1068" s="20" t="s">
        <v>122</v>
      </c>
      <c r="H1068" s="20" t="s">
        <v>48</v>
      </c>
      <c r="I1068" s="20" t="s">
        <v>122</v>
      </c>
      <c r="J1068" s="22" t="s">
        <v>4844</v>
      </c>
      <c r="K1068" s="32" t="s">
        <v>4845</v>
      </c>
      <c r="L1068" s="23" t="s">
        <v>4817</v>
      </c>
      <c r="M1068" s="24" t="s">
        <v>7737</v>
      </c>
      <c r="N1068" s="23">
        <v>18789000</v>
      </c>
      <c r="O1068" s="25" t="s">
        <v>74</v>
      </c>
      <c r="P1068" s="25" t="s">
        <v>53</v>
      </c>
      <c r="Q1068" s="20" t="s">
        <v>4846</v>
      </c>
      <c r="R1068" s="20">
        <v>43539113</v>
      </c>
      <c r="S1068" s="25" t="s">
        <v>55</v>
      </c>
      <c r="T1068" s="26" t="s">
        <v>56</v>
      </c>
      <c r="U1068" s="23">
        <v>865356065715898</v>
      </c>
      <c r="V1068" s="27" t="s">
        <v>183</v>
      </c>
      <c r="W1068" s="20" t="s">
        <v>129</v>
      </c>
      <c r="X1068" s="20" t="s">
        <v>130</v>
      </c>
      <c r="Y1068" s="20" t="s">
        <v>130</v>
      </c>
      <c r="Z1068" s="20" t="s">
        <v>60</v>
      </c>
      <c r="AA1068" s="20" t="s">
        <v>61</v>
      </c>
      <c r="AB1068" s="20" t="s">
        <v>96</v>
      </c>
      <c r="AC1068" s="28">
        <v>369.83</v>
      </c>
      <c r="AD1068" s="28">
        <f>SUM(BASE[[#This Row],[MONTO DE RENTA ]]*1.16)</f>
        <v>429.00279999999998</v>
      </c>
      <c r="AE1068" s="28" t="s">
        <v>63</v>
      </c>
      <c r="AF1068" s="28">
        <v>369.82758620689657</v>
      </c>
      <c r="AG1068" s="28">
        <v>429</v>
      </c>
      <c r="AI1068" s="63">
        <v>44937</v>
      </c>
      <c r="AJ1068" s="73">
        <v>46043</v>
      </c>
      <c r="AK10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68" s="30"/>
      <c r="AN1068" s="20" t="s">
        <v>99</v>
      </c>
      <c r="AP1068" s="20" t="s">
        <v>84</v>
      </c>
      <c r="AQ1068" s="20" t="s">
        <v>100</v>
      </c>
    </row>
    <row r="1069" spans="1:43" ht="16">
      <c r="A1069" s="20">
        <v>8113721812</v>
      </c>
      <c r="B1069" s="49">
        <v>30015</v>
      </c>
      <c r="C1069" s="20" t="s">
        <v>857</v>
      </c>
      <c r="D1069" s="20" t="s">
        <v>45</v>
      </c>
      <c r="E1069" s="20" t="s">
        <v>376</v>
      </c>
      <c r="F1069" s="20" t="s">
        <v>70</v>
      </c>
      <c r="G1069" s="20" t="s">
        <v>70</v>
      </c>
      <c r="H1069" s="20" t="s">
        <v>48</v>
      </c>
      <c r="I1069" s="20" t="s">
        <v>70</v>
      </c>
      <c r="J1069" s="22" t="s">
        <v>4847</v>
      </c>
      <c r="K1069" s="22" t="s">
        <v>4847</v>
      </c>
      <c r="L1069" s="23" t="s">
        <v>4817</v>
      </c>
      <c r="M1069" s="24" t="s">
        <v>7737</v>
      </c>
      <c r="N1069" s="23">
        <v>18789000</v>
      </c>
      <c r="O1069" s="25" t="s">
        <v>74</v>
      </c>
      <c r="P1069" s="25" t="s">
        <v>53</v>
      </c>
      <c r="Q1069" s="20" t="s">
        <v>4848</v>
      </c>
      <c r="R1069" s="20">
        <v>42943892</v>
      </c>
      <c r="S1069" s="25" t="s">
        <v>55</v>
      </c>
      <c r="T1069" s="26" t="s">
        <v>56</v>
      </c>
      <c r="U1069" s="23">
        <v>357654178349729</v>
      </c>
      <c r="V1069" s="27" t="s">
        <v>78</v>
      </c>
      <c r="W1069" s="20" t="s">
        <v>95</v>
      </c>
      <c r="X1069" s="20" t="s">
        <v>95</v>
      </c>
      <c r="Y1069" s="20" t="s">
        <v>95</v>
      </c>
      <c r="Z1069" s="20" t="s">
        <v>584</v>
      </c>
      <c r="AA1069" s="20" t="s">
        <v>585</v>
      </c>
      <c r="AB1069" s="20" t="s">
        <v>82</v>
      </c>
      <c r="AC1069" s="28">
        <v>559.48</v>
      </c>
      <c r="AD1069" s="28">
        <f>SUM(BASE[[#This Row],[MONTO DE RENTA ]]*1.16)</f>
        <v>648.99680000000001</v>
      </c>
      <c r="AE1069" s="28" t="s">
        <v>83</v>
      </c>
      <c r="AF1069" s="28">
        <v>559.48275862068965</v>
      </c>
      <c r="AG1069" s="28">
        <v>649</v>
      </c>
      <c r="AI1069" s="63">
        <v>44937</v>
      </c>
      <c r="AJ1069" s="73">
        <v>46043</v>
      </c>
      <c r="AK106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69" s="30"/>
      <c r="AN1069" s="20" t="s">
        <v>99</v>
      </c>
      <c r="AP1069" s="20" t="s">
        <v>84</v>
      </c>
      <c r="AQ1069" s="20" t="s">
        <v>100</v>
      </c>
    </row>
    <row r="1070" spans="1:43" ht="16">
      <c r="A1070" s="20">
        <v>7821504933</v>
      </c>
      <c r="B1070" s="21">
        <v>930290</v>
      </c>
      <c r="C1070" s="20" t="s">
        <v>3927</v>
      </c>
      <c r="D1070" s="20" t="s">
        <v>4849</v>
      </c>
      <c r="E1070" s="20" t="s">
        <v>1974</v>
      </c>
      <c r="F1070" s="20" t="s">
        <v>47</v>
      </c>
      <c r="G1070" s="20" t="s">
        <v>47</v>
      </c>
      <c r="H1070" s="20" t="s">
        <v>48</v>
      </c>
      <c r="I1070" s="20" t="s">
        <v>47</v>
      </c>
      <c r="J1070" s="22" t="s">
        <v>4850</v>
      </c>
      <c r="K1070" s="22" t="s">
        <v>4850</v>
      </c>
      <c r="L1070" s="23" t="s">
        <v>4851</v>
      </c>
      <c r="M1070" s="24" t="s">
        <v>7753</v>
      </c>
      <c r="N1070" s="23">
        <v>18793000</v>
      </c>
      <c r="O1070" s="25" t="s">
        <v>828</v>
      </c>
      <c r="P1070" s="25" t="s">
        <v>53</v>
      </c>
      <c r="Q1070" s="20" t="s">
        <v>4852</v>
      </c>
      <c r="R1070" s="20">
        <v>73085110</v>
      </c>
      <c r="S1070" s="25" t="s">
        <v>4853</v>
      </c>
      <c r="T1070" s="26" t="s">
        <v>57</v>
      </c>
      <c r="U1070" s="23">
        <v>860900062321823</v>
      </c>
      <c r="V1070" s="27" t="s">
        <v>57</v>
      </c>
      <c r="W1070" s="20" t="s">
        <v>58</v>
      </c>
      <c r="X1070" s="20" t="s">
        <v>59</v>
      </c>
      <c r="Y1070" s="20" t="s">
        <v>59</v>
      </c>
      <c r="Z1070" s="20" t="s">
        <v>60</v>
      </c>
      <c r="AA1070" s="20" t="s">
        <v>61</v>
      </c>
      <c r="AB1070" s="20" t="s">
        <v>96</v>
      </c>
      <c r="AC1070" s="28">
        <v>369.83</v>
      </c>
      <c r="AD1070" s="28">
        <f>SUM(BASE[[#This Row],[MONTO DE RENTA ]]*1.16)</f>
        <v>429.00279999999998</v>
      </c>
      <c r="AE1070" s="28" t="s">
        <v>63</v>
      </c>
      <c r="AF1070" s="28">
        <v>369.82758620689657</v>
      </c>
      <c r="AG1070" s="28">
        <v>429</v>
      </c>
      <c r="AH1070" s="22" t="s">
        <v>64</v>
      </c>
      <c r="AI1070" s="63">
        <v>45703</v>
      </c>
      <c r="AJ1070" s="63">
        <v>46433</v>
      </c>
      <c r="AK10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0" s="30"/>
      <c r="AN1070" s="20" t="s">
        <v>65</v>
      </c>
      <c r="AP1070" s="20" t="s">
        <v>84</v>
      </c>
    </row>
    <row r="1071" spans="1:43" ht="16">
      <c r="A1071" s="20">
        <v>7821514279</v>
      </c>
      <c r="B1071" s="21">
        <v>930171</v>
      </c>
      <c r="C1071" s="20" t="s">
        <v>4854</v>
      </c>
      <c r="D1071" s="20" t="s">
        <v>4855</v>
      </c>
      <c r="E1071" s="20" t="s">
        <v>519</v>
      </c>
      <c r="F1071" s="20" t="s">
        <v>451</v>
      </c>
      <c r="G1071" s="20" t="s">
        <v>248</v>
      </c>
      <c r="H1071" s="20" t="s">
        <v>48</v>
      </c>
      <c r="I1071" s="20" t="s">
        <v>451</v>
      </c>
      <c r="J1071" s="22" t="s">
        <v>4856</v>
      </c>
      <c r="K1071" s="22" t="s">
        <v>4856</v>
      </c>
      <c r="L1071" s="23" t="s">
        <v>4851</v>
      </c>
      <c r="M1071" s="24" t="s">
        <v>7753</v>
      </c>
      <c r="N1071" s="23">
        <v>18793000</v>
      </c>
      <c r="O1071" s="25" t="s">
        <v>828</v>
      </c>
      <c r="P1071" s="25" t="s">
        <v>53</v>
      </c>
      <c r="Q1071" s="20" t="s">
        <v>4857</v>
      </c>
      <c r="R1071" s="20">
        <v>73065663</v>
      </c>
      <c r="S1071" s="25" t="s">
        <v>4858</v>
      </c>
      <c r="T1071" s="26" t="s">
        <v>57</v>
      </c>
      <c r="U1071" s="23">
        <v>860900062321930</v>
      </c>
      <c r="V1071" s="27" t="s">
        <v>57</v>
      </c>
      <c r="W1071" s="20" t="s">
        <v>58</v>
      </c>
      <c r="X1071" s="20" t="s">
        <v>59</v>
      </c>
      <c r="Y1071" s="20" t="s">
        <v>59</v>
      </c>
      <c r="Z1071" s="20" t="s">
        <v>60</v>
      </c>
      <c r="AA1071" s="20" t="s">
        <v>61</v>
      </c>
      <c r="AB1071" s="20" t="s">
        <v>96</v>
      </c>
      <c r="AC1071" s="28">
        <v>369.83</v>
      </c>
      <c r="AD1071" s="28">
        <f>SUM(BASE[[#This Row],[MONTO DE RENTA ]]*1.16)</f>
        <v>429.00279999999998</v>
      </c>
      <c r="AE1071" s="28" t="s">
        <v>63</v>
      </c>
      <c r="AF1071" s="28">
        <v>369.82758620689657</v>
      </c>
      <c r="AG1071" s="28">
        <v>429</v>
      </c>
      <c r="AH1071" s="22" t="s">
        <v>64</v>
      </c>
      <c r="AI1071" s="29">
        <v>45703</v>
      </c>
      <c r="AJ1071" s="29">
        <v>46433</v>
      </c>
      <c r="AK10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1" s="30"/>
      <c r="AN1071" s="20" t="s">
        <v>65</v>
      </c>
      <c r="AP1071" s="20" t="s">
        <v>84</v>
      </c>
    </row>
    <row r="1072" spans="1:43" s="230" customFormat="1" ht="16">
      <c r="A1072" s="20">
        <v>7821494895</v>
      </c>
      <c r="B1072" s="59">
        <v>930152</v>
      </c>
      <c r="C1072" s="20" t="s">
        <v>2549</v>
      </c>
      <c r="D1072" s="20" t="s">
        <v>657</v>
      </c>
      <c r="E1072" s="20" t="s">
        <v>305</v>
      </c>
      <c r="F1072" s="20" t="s">
        <v>257</v>
      </c>
      <c r="G1072" s="20" t="s">
        <v>257</v>
      </c>
      <c r="H1072" s="20" t="s">
        <v>48</v>
      </c>
      <c r="I1072" s="20" t="s">
        <v>257</v>
      </c>
      <c r="J1072" s="22" t="s">
        <v>4859</v>
      </c>
      <c r="K1072" s="22" t="s">
        <v>4859</v>
      </c>
      <c r="L1072" s="23" t="s">
        <v>4851</v>
      </c>
      <c r="M1072" s="24" t="s">
        <v>7753</v>
      </c>
      <c r="N1072" s="23">
        <v>18793000</v>
      </c>
      <c r="O1072" s="25" t="s">
        <v>828</v>
      </c>
      <c r="P1072" s="25" t="s">
        <v>53</v>
      </c>
      <c r="Q1072" s="20" t="s">
        <v>4860</v>
      </c>
      <c r="R1072" s="20">
        <v>73076089</v>
      </c>
      <c r="S1072" s="25" t="s">
        <v>4861</v>
      </c>
      <c r="T1072" s="26" t="s">
        <v>57</v>
      </c>
      <c r="U1072" s="23">
        <v>860478064978783</v>
      </c>
      <c r="V1072" s="45" t="s">
        <v>110</v>
      </c>
      <c r="W1072" s="20" t="s">
        <v>302</v>
      </c>
      <c r="X1072" s="20" t="s">
        <v>303</v>
      </c>
      <c r="Y1072" s="20" t="s">
        <v>303</v>
      </c>
      <c r="Z1072" s="20" t="s">
        <v>80</v>
      </c>
      <c r="AA1072" s="20" t="s">
        <v>81</v>
      </c>
      <c r="AB1072" s="20" t="s">
        <v>82</v>
      </c>
      <c r="AC1072" s="28">
        <v>559.48</v>
      </c>
      <c r="AD1072" s="28">
        <f>SUM(BASE[[#This Row],[MONTO DE RENTA ]]*1.16)</f>
        <v>648.99680000000001</v>
      </c>
      <c r="AE1072" s="28" t="s">
        <v>83</v>
      </c>
      <c r="AF1072" s="28">
        <v>559.48275862068965</v>
      </c>
      <c r="AG1072" s="28">
        <v>649</v>
      </c>
      <c r="AH1072" s="22" t="s">
        <v>64</v>
      </c>
      <c r="AI1072" s="63">
        <v>45703</v>
      </c>
      <c r="AJ1072" s="63">
        <v>46433</v>
      </c>
      <c r="AK10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072" s="20"/>
      <c r="AM1072" s="30"/>
      <c r="AN1072" s="20" t="s">
        <v>65</v>
      </c>
      <c r="AO1072" s="20"/>
      <c r="AP1072" s="20" t="s">
        <v>84</v>
      </c>
      <c r="AQ1072" s="20"/>
    </row>
    <row r="1073" spans="1:43" ht="16">
      <c r="A1073" s="20">
        <v>7821494897</v>
      </c>
      <c r="B1073" s="21">
        <v>930078</v>
      </c>
      <c r="C1073" s="20" t="s">
        <v>4862</v>
      </c>
      <c r="D1073" s="20" t="s">
        <v>358</v>
      </c>
      <c r="E1073" s="20" t="s">
        <v>306</v>
      </c>
      <c r="F1073" s="20" t="s">
        <v>104</v>
      </c>
      <c r="G1073" s="20" t="s">
        <v>104</v>
      </c>
      <c r="H1073" s="20" t="s">
        <v>48</v>
      </c>
      <c r="I1073" s="20" t="s">
        <v>104</v>
      </c>
      <c r="J1073" s="22" t="s">
        <v>4863</v>
      </c>
      <c r="K1073" s="22" t="s">
        <v>4863</v>
      </c>
      <c r="L1073" s="23" t="s">
        <v>4851</v>
      </c>
      <c r="M1073" s="24" t="s">
        <v>7753</v>
      </c>
      <c r="N1073" s="23">
        <v>18793000</v>
      </c>
      <c r="O1073" s="25" t="s">
        <v>828</v>
      </c>
      <c r="P1073" s="25" t="s">
        <v>53</v>
      </c>
      <c r="Q1073" s="20" t="s">
        <v>4864</v>
      </c>
      <c r="R1073" s="20">
        <v>73076098</v>
      </c>
      <c r="S1073" s="25" t="s">
        <v>4865</v>
      </c>
      <c r="T1073" s="26" t="s">
        <v>57</v>
      </c>
      <c r="U1073" s="23">
        <v>860478060428973</v>
      </c>
      <c r="V1073" s="45" t="s">
        <v>110</v>
      </c>
      <c r="W1073" s="20" t="s">
        <v>302</v>
      </c>
      <c r="X1073" s="20" t="s">
        <v>303</v>
      </c>
      <c r="Y1073" s="20" t="s">
        <v>303</v>
      </c>
      <c r="Z1073" s="20" t="s">
        <v>80</v>
      </c>
      <c r="AA1073" s="20" t="s">
        <v>81</v>
      </c>
      <c r="AB1073" s="20" t="s">
        <v>82</v>
      </c>
      <c r="AC1073" s="28">
        <v>559.48</v>
      </c>
      <c r="AD1073" s="28">
        <f>SUM(BASE[[#This Row],[MONTO DE RENTA ]]*1.16)</f>
        <v>648.99680000000001</v>
      </c>
      <c r="AE1073" s="28" t="s">
        <v>83</v>
      </c>
      <c r="AF1073" s="28">
        <v>559.48275862068965</v>
      </c>
      <c r="AG1073" s="28">
        <v>649</v>
      </c>
      <c r="AH1073" s="22" t="s">
        <v>64</v>
      </c>
      <c r="AI1073" s="63">
        <v>45703</v>
      </c>
      <c r="AJ1073" s="63">
        <v>46433</v>
      </c>
      <c r="AK10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3" s="30"/>
      <c r="AN1073" s="20" t="s">
        <v>65</v>
      </c>
      <c r="AP1073" s="20" t="s">
        <v>84</v>
      </c>
    </row>
    <row r="1074" spans="1:43" ht="16">
      <c r="A1074" s="20">
        <v>7821494896</v>
      </c>
      <c r="B1074" s="21">
        <v>930180</v>
      </c>
      <c r="C1074" s="20" t="s">
        <v>4866</v>
      </c>
      <c r="D1074" s="20" t="s">
        <v>895</v>
      </c>
      <c r="E1074" s="20" t="s">
        <v>4867</v>
      </c>
      <c r="F1074" s="20" t="s">
        <v>104</v>
      </c>
      <c r="G1074" s="20" t="s">
        <v>104</v>
      </c>
      <c r="H1074" s="20" t="s">
        <v>48</v>
      </c>
      <c r="I1074" s="20" t="s">
        <v>104</v>
      </c>
      <c r="J1074" s="32" t="s">
        <v>4868</v>
      </c>
      <c r="K1074" s="32" t="s">
        <v>4868</v>
      </c>
      <c r="L1074" s="23" t="s">
        <v>4851</v>
      </c>
      <c r="M1074" s="24" t="s">
        <v>7753</v>
      </c>
      <c r="N1074" s="23">
        <v>18793000</v>
      </c>
      <c r="O1074" s="25" t="s">
        <v>828</v>
      </c>
      <c r="P1074" s="25" t="s">
        <v>53</v>
      </c>
      <c r="Q1074" s="20" t="s">
        <v>4869</v>
      </c>
      <c r="R1074" s="20">
        <v>73076095</v>
      </c>
      <c r="S1074" s="25" t="s">
        <v>4870</v>
      </c>
      <c r="T1074" s="26" t="s">
        <v>57</v>
      </c>
      <c r="U1074" s="23">
        <v>860478063557414</v>
      </c>
      <c r="V1074" s="45" t="s">
        <v>110</v>
      </c>
      <c r="W1074" s="20" t="s">
        <v>302</v>
      </c>
      <c r="X1074" s="20" t="s">
        <v>303</v>
      </c>
      <c r="Y1074" s="20" t="s">
        <v>303</v>
      </c>
      <c r="Z1074" s="20" t="s">
        <v>80</v>
      </c>
      <c r="AA1074" s="20" t="s">
        <v>81</v>
      </c>
      <c r="AB1074" s="20" t="s">
        <v>82</v>
      </c>
      <c r="AC1074" s="28">
        <v>559.48</v>
      </c>
      <c r="AD1074" s="28">
        <f>SUM(BASE[[#This Row],[MONTO DE RENTA ]]*1.16)</f>
        <v>648.99680000000001</v>
      </c>
      <c r="AE1074" s="28" t="s">
        <v>83</v>
      </c>
      <c r="AF1074" s="28">
        <v>559.48275862068965</v>
      </c>
      <c r="AG1074" s="28">
        <v>649</v>
      </c>
      <c r="AH1074" s="22" t="s">
        <v>64</v>
      </c>
      <c r="AI1074" s="63">
        <v>45703</v>
      </c>
      <c r="AJ1074" s="63">
        <v>46433</v>
      </c>
      <c r="AK10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4" s="30"/>
      <c r="AN1074" s="20" t="s">
        <v>65</v>
      </c>
      <c r="AP1074" s="20" t="s">
        <v>84</v>
      </c>
    </row>
    <row r="1075" spans="1:43" ht="16">
      <c r="A1075" s="20">
        <v>7821123580</v>
      </c>
      <c r="B1075" s="49">
        <v>930271</v>
      </c>
      <c r="C1075" s="20" t="s">
        <v>254</v>
      </c>
      <c r="D1075" s="20" t="s">
        <v>1717</v>
      </c>
      <c r="E1075" s="20" t="s">
        <v>608</v>
      </c>
      <c r="F1075" s="20" t="s">
        <v>122</v>
      </c>
      <c r="G1075" s="20" t="s">
        <v>122</v>
      </c>
      <c r="H1075" s="20" t="s">
        <v>48</v>
      </c>
      <c r="I1075" s="20" t="s">
        <v>122</v>
      </c>
      <c r="J1075" s="22" t="s">
        <v>4871</v>
      </c>
      <c r="K1075" s="22" t="s">
        <v>4871</v>
      </c>
      <c r="L1075" s="23" t="s">
        <v>4851</v>
      </c>
      <c r="M1075" s="24" t="s">
        <v>7753</v>
      </c>
      <c r="N1075" s="23">
        <v>18793000</v>
      </c>
      <c r="O1075" s="25" t="s">
        <v>828</v>
      </c>
      <c r="P1075" s="25" t="s">
        <v>53</v>
      </c>
      <c r="Q1075" s="20" t="s">
        <v>4872</v>
      </c>
      <c r="R1075" s="20">
        <v>73565259</v>
      </c>
      <c r="S1075" s="25" t="s">
        <v>55</v>
      </c>
      <c r="T1075" s="26" t="s">
        <v>56</v>
      </c>
      <c r="U1075" s="23">
        <v>865356065673691</v>
      </c>
      <c r="V1075" s="27" t="s">
        <v>183</v>
      </c>
      <c r="W1075" s="20" t="s">
        <v>129</v>
      </c>
      <c r="X1075" s="20" t="s">
        <v>130</v>
      </c>
      <c r="Y1075" s="20" t="s">
        <v>130</v>
      </c>
      <c r="Z1075" s="20" t="s">
        <v>60</v>
      </c>
      <c r="AA1075" s="20" t="s">
        <v>61</v>
      </c>
      <c r="AB1075" s="20" t="s">
        <v>96</v>
      </c>
      <c r="AC1075" s="28">
        <v>369.83</v>
      </c>
      <c r="AD1075" s="28">
        <f>SUM(BASE[[#This Row],[MONTO DE RENTA ]]*1.16)</f>
        <v>429.00279999999998</v>
      </c>
      <c r="AE1075" s="28" t="s">
        <v>63</v>
      </c>
      <c r="AF1075" s="28">
        <v>369.82758620689657</v>
      </c>
      <c r="AG1075" s="28">
        <v>429</v>
      </c>
      <c r="AI1075" s="63">
        <v>44937</v>
      </c>
      <c r="AJ1075" s="73">
        <v>46043</v>
      </c>
      <c r="AK10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75" s="30"/>
      <c r="AN1075" s="20" t="s">
        <v>99</v>
      </c>
      <c r="AP1075" s="20" t="s">
        <v>84</v>
      </c>
      <c r="AQ1075" s="20" t="s">
        <v>100</v>
      </c>
    </row>
    <row r="1076" spans="1:43" ht="16">
      <c r="A1076" s="20">
        <v>7821514331</v>
      </c>
      <c r="B1076" s="49">
        <v>390076</v>
      </c>
      <c r="C1076" s="20" t="s">
        <v>1955</v>
      </c>
      <c r="D1076" s="20" t="s">
        <v>376</v>
      </c>
      <c r="E1076" s="20" t="s">
        <v>280</v>
      </c>
      <c r="F1076" s="20" t="s">
        <v>70</v>
      </c>
      <c r="G1076" s="20" t="s">
        <v>70</v>
      </c>
      <c r="H1076" s="20" t="s">
        <v>48</v>
      </c>
      <c r="I1076" s="20" t="s">
        <v>70</v>
      </c>
      <c r="J1076" s="22" t="s">
        <v>4873</v>
      </c>
      <c r="K1076" s="22" t="s">
        <v>4873</v>
      </c>
      <c r="L1076" s="23" t="s">
        <v>4851</v>
      </c>
      <c r="M1076" s="24" t="s">
        <v>7753</v>
      </c>
      <c r="N1076" s="23">
        <v>18793000</v>
      </c>
      <c r="O1076" s="25" t="s">
        <v>828</v>
      </c>
      <c r="P1076" s="25" t="s">
        <v>53</v>
      </c>
      <c r="Q1076" s="20" t="s">
        <v>4874</v>
      </c>
      <c r="R1076" s="20">
        <v>72922678</v>
      </c>
      <c r="S1076" s="25" t="s">
        <v>55</v>
      </c>
      <c r="T1076" s="26" t="s">
        <v>56</v>
      </c>
      <c r="U1076" s="23">
        <v>357894928420418</v>
      </c>
      <c r="V1076" s="27" t="s">
        <v>78</v>
      </c>
      <c r="W1076" s="20" t="s">
        <v>95</v>
      </c>
      <c r="X1076" s="20" t="s">
        <v>95</v>
      </c>
      <c r="Y1076" s="20" t="s">
        <v>95</v>
      </c>
      <c r="Z1076" s="20" t="s">
        <v>60</v>
      </c>
      <c r="AA1076" s="20" t="s">
        <v>61</v>
      </c>
      <c r="AB1076" s="20" t="s">
        <v>82</v>
      </c>
      <c r="AC1076" s="28">
        <v>559.48</v>
      </c>
      <c r="AD1076" s="28">
        <f>SUM(BASE[[#This Row],[MONTO DE RENTA ]]*1.16)</f>
        <v>648.99680000000001</v>
      </c>
      <c r="AE1076" s="28" t="s">
        <v>83</v>
      </c>
      <c r="AF1076" s="28">
        <v>559.48275862068965</v>
      </c>
      <c r="AG1076" s="28">
        <v>649</v>
      </c>
      <c r="AI1076" s="63">
        <v>44937</v>
      </c>
      <c r="AJ1076" s="73">
        <v>46043</v>
      </c>
      <c r="AK10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76" s="30"/>
      <c r="AN1076" s="20" t="s">
        <v>99</v>
      </c>
      <c r="AP1076" s="20" t="s">
        <v>84</v>
      </c>
      <c r="AQ1076" s="20" t="s">
        <v>100</v>
      </c>
    </row>
    <row r="1077" spans="1:43" ht="16">
      <c r="A1077" s="20">
        <v>9981427450</v>
      </c>
      <c r="B1077" s="21">
        <v>250097</v>
      </c>
      <c r="C1077" s="20" t="s">
        <v>506</v>
      </c>
      <c r="D1077" s="20" t="s">
        <v>4875</v>
      </c>
      <c r="E1077" s="20" t="s">
        <v>4081</v>
      </c>
      <c r="F1077" s="20" t="s">
        <v>1038</v>
      </c>
      <c r="G1077" s="20" t="s">
        <v>47</v>
      </c>
      <c r="H1077" s="20" t="s">
        <v>48</v>
      </c>
      <c r="I1077" s="20" t="s">
        <v>1038</v>
      </c>
      <c r="J1077" s="22" t="s">
        <v>4876</v>
      </c>
      <c r="K1077" s="22" t="s">
        <v>4876</v>
      </c>
      <c r="L1077" s="23" t="s">
        <v>4836</v>
      </c>
      <c r="M1077" s="24" t="s">
        <v>7751</v>
      </c>
      <c r="N1077" s="23">
        <v>18795000</v>
      </c>
      <c r="O1077" s="25" t="s">
        <v>1035</v>
      </c>
      <c r="P1077" s="25" t="s">
        <v>53</v>
      </c>
      <c r="Q1077" s="20" t="s">
        <v>4877</v>
      </c>
      <c r="R1077" s="20">
        <v>82311624</v>
      </c>
      <c r="S1077" s="25" t="s">
        <v>4878</v>
      </c>
      <c r="T1077" s="26" t="s">
        <v>57</v>
      </c>
      <c r="U1077" s="23">
        <v>860900062257043</v>
      </c>
      <c r="V1077" s="27" t="s">
        <v>57</v>
      </c>
      <c r="W1077" s="20" t="s">
        <v>58</v>
      </c>
      <c r="X1077" s="20" t="s">
        <v>59</v>
      </c>
      <c r="Y1077" s="20" t="s">
        <v>59</v>
      </c>
      <c r="Z1077" s="20" t="s">
        <v>80</v>
      </c>
      <c r="AA1077" s="20" t="s">
        <v>81</v>
      </c>
      <c r="AB1077" s="20" t="s">
        <v>96</v>
      </c>
      <c r="AC1077" s="28">
        <v>369.83</v>
      </c>
      <c r="AD1077" s="28">
        <f>SUM(BASE[[#This Row],[MONTO DE RENTA ]]*1.16)</f>
        <v>429.00279999999998</v>
      </c>
      <c r="AE1077" s="28" t="s">
        <v>63</v>
      </c>
      <c r="AF1077" s="28">
        <v>369.82758620689657</v>
      </c>
      <c r="AG1077" s="28">
        <v>429</v>
      </c>
      <c r="AH1077" s="22" t="s">
        <v>64</v>
      </c>
      <c r="AI1077" s="63">
        <v>45713</v>
      </c>
      <c r="AJ1077" s="63">
        <v>46433</v>
      </c>
      <c r="AK10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7" s="30"/>
      <c r="AN1077" s="20" t="s">
        <v>65</v>
      </c>
      <c r="AP1077" s="20" t="s">
        <v>84</v>
      </c>
    </row>
    <row r="1078" spans="1:43" ht="16">
      <c r="A1078" s="20">
        <v>9982311185</v>
      </c>
      <c r="B1078" s="49">
        <v>1007358</v>
      </c>
      <c r="C1078" s="20" t="s">
        <v>1023</v>
      </c>
      <c r="D1078" s="20" t="s">
        <v>405</v>
      </c>
      <c r="E1078" s="20" t="s">
        <v>4879</v>
      </c>
      <c r="F1078" s="20" t="s">
        <v>1568</v>
      </c>
      <c r="G1078" s="20" t="s">
        <v>1568</v>
      </c>
      <c r="H1078" s="20" t="s">
        <v>48</v>
      </c>
      <c r="I1078" s="20" t="s">
        <v>1568</v>
      </c>
      <c r="J1078" s="22" t="s">
        <v>4880</v>
      </c>
      <c r="K1078" s="22" t="s">
        <v>4880</v>
      </c>
      <c r="L1078" s="23" t="s">
        <v>4836</v>
      </c>
      <c r="M1078" s="24" t="s">
        <v>7751</v>
      </c>
      <c r="N1078" s="23">
        <v>18795000</v>
      </c>
      <c r="O1078" s="25" t="s">
        <v>1035</v>
      </c>
      <c r="P1078" s="25" t="s">
        <v>53</v>
      </c>
      <c r="Q1078" s="20" t="s">
        <v>4881</v>
      </c>
      <c r="R1078" s="20">
        <v>83126574</v>
      </c>
      <c r="S1078" s="25" t="s">
        <v>55</v>
      </c>
      <c r="T1078" s="26" t="s">
        <v>56</v>
      </c>
      <c r="U1078" s="23">
        <v>860982060869664</v>
      </c>
      <c r="V1078" s="27" t="s">
        <v>183</v>
      </c>
      <c r="W1078" s="20" t="s">
        <v>129</v>
      </c>
      <c r="X1078" s="20" t="s">
        <v>130</v>
      </c>
      <c r="Y1078" s="20" t="s">
        <v>130</v>
      </c>
      <c r="Z1078" s="20" t="s">
        <v>60</v>
      </c>
      <c r="AA1078" s="20" t="s">
        <v>61</v>
      </c>
      <c r="AB1078" s="20" t="s">
        <v>96</v>
      </c>
      <c r="AC1078" s="28">
        <v>369.83</v>
      </c>
      <c r="AD1078" s="28">
        <f>SUM(BASE[[#This Row],[MONTO DE RENTA ]]*1.16)</f>
        <v>429.00279999999998</v>
      </c>
      <c r="AE1078" s="28" t="s">
        <v>63</v>
      </c>
      <c r="AF1078" s="28">
        <v>369.82758620689657</v>
      </c>
      <c r="AG1078" s="28">
        <v>429</v>
      </c>
      <c r="AI1078" s="63">
        <v>44937</v>
      </c>
      <c r="AJ1078" s="73">
        <v>46043</v>
      </c>
      <c r="AK10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78" s="30"/>
      <c r="AN1078" s="20" t="s">
        <v>99</v>
      </c>
      <c r="AP1078" s="20" t="s">
        <v>84</v>
      </c>
      <c r="AQ1078" s="20" t="s">
        <v>100</v>
      </c>
    </row>
    <row r="1079" spans="1:43" ht="16">
      <c r="A1079" s="20">
        <v>9981428522</v>
      </c>
      <c r="B1079" s="21">
        <v>1006698</v>
      </c>
      <c r="C1079" s="20" t="s">
        <v>4882</v>
      </c>
      <c r="D1079" s="20" t="s">
        <v>4883</v>
      </c>
      <c r="E1079" s="20" t="s">
        <v>4884</v>
      </c>
      <c r="F1079" s="20" t="s">
        <v>248</v>
      </c>
      <c r="G1079" s="20" t="s">
        <v>248</v>
      </c>
      <c r="H1079" s="20" t="s">
        <v>48</v>
      </c>
      <c r="I1079" s="20" t="s">
        <v>248</v>
      </c>
      <c r="J1079" s="22" t="s">
        <v>4885</v>
      </c>
      <c r="K1079" s="22" t="s">
        <v>4885</v>
      </c>
      <c r="L1079" s="23" t="s">
        <v>4836</v>
      </c>
      <c r="M1079" s="24" t="s">
        <v>7751</v>
      </c>
      <c r="N1079" s="23">
        <v>18795000</v>
      </c>
      <c r="O1079" s="25" t="s">
        <v>1035</v>
      </c>
      <c r="P1079" s="25" t="s">
        <v>53</v>
      </c>
      <c r="Q1079" s="20" t="s">
        <v>4886</v>
      </c>
      <c r="R1079" s="20">
        <v>82297908</v>
      </c>
      <c r="S1079" s="25" t="s">
        <v>4887</v>
      </c>
      <c r="T1079" s="26" t="s">
        <v>57</v>
      </c>
      <c r="U1079" s="23">
        <v>860900062256706</v>
      </c>
      <c r="V1079" s="27" t="s">
        <v>57</v>
      </c>
      <c r="W1079" s="20" t="s">
        <v>58</v>
      </c>
      <c r="X1079" s="20" t="s">
        <v>59</v>
      </c>
      <c r="Y1079" s="20" t="s">
        <v>59</v>
      </c>
      <c r="Z1079" s="20" t="s">
        <v>80</v>
      </c>
      <c r="AA1079" s="20" t="s">
        <v>81</v>
      </c>
      <c r="AB1079" s="20" t="s">
        <v>96</v>
      </c>
      <c r="AC1079" s="28">
        <v>369.83</v>
      </c>
      <c r="AD1079" s="28">
        <f>SUM(BASE[[#This Row],[MONTO DE RENTA ]]*1.16)</f>
        <v>429.00279999999998</v>
      </c>
      <c r="AE1079" s="28" t="s">
        <v>63</v>
      </c>
      <c r="AF1079" s="28">
        <v>369.82758620689657</v>
      </c>
      <c r="AG1079" s="28">
        <v>429</v>
      </c>
      <c r="AH1079" s="22" t="s">
        <v>64</v>
      </c>
      <c r="AI1079" s="63">
        <v>45713</v>
      </c>
      <c r="AJ1079" s="63">
        <v>46433</v>
      </c>
      <c r="AK10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79" s="30"/>
      <c r="AN1079" s="20" t="s">
        <v>65</v>
      </c>
      <c r="AP1079" s="20" t="s">
        <v>84</v>
      </c>
    </row>
    <row r="1080" spans="1:43" ht="16">
      <c r="A1080" s="20">
        <v>9981428911</v>
      </c>
      <c r="B1080" s="21">
        <v>1010446</v>
      </c>
      <c r="C1080" s="20" t="s">
        <v>1227</v>
      </c>
      <c r="D1080" s="20" t="s">
        <v>870</v>
      </c>
      <c r="E1080" s="20" t="s">
        <v>186</v>
      </c>
      <c r="F1080" s="20" t="s">
        <v>104</v>
      </c>
      <c r="G1080" s="20" t="s">
        <v>104</v>
      </c>
      <c r="H1080" s="20" t="s">
        <v>48</v>
      </c>
      <c r="I1080" s="20" t="s">
        <v>104</v>
      </c>
      <c r="J1080" s="54" t="s">
        <v>4888</v>
      </c>
      <c r="K1080" s="54" t="s">
        <v>4888</v>
      </c>
      <c r="L1080" s="23" t="s">
        <v>4836</v>
      </c>
      <c r="M1080" s="24" t="s">
        <v>7751</v>
      </c>
      <c r="N1080" s="23">
        <v>18795000</v>
      </c>
      <c r="O1080" s="25" t="s">
        <v>1035</v>
      </c>
      <c r="P1080" s="25" t="s">
        <v>53</v>
      </c>
      <c r="Q1080" s="20" t="s">
        <v>4889</v>
      </c>
      <c r="R1080" s="20">
        <v>82305750</v>
      </c>
      <c r="S1080" s="25" t="s">
        <v>4890</v>
      </c>
      <c r="T1080" s="44" t="s">
        <v>57</v>
      </c>
      <c r="U1080" s="23">
        <v>860478064865246</v>
      </c>
      <c r="V1080" s="45" t="s">
        <v>110</v>
      </c>
      <c r="W1080" s="20" t="s">
        <v>302</v>
      </c>
      <c r="X1080" s="20" t="s">
        <v>303</v>
      </c>
      <c r="Y1080" s="20" t="s">
        <v>303</v>
      </c>
      <c r="Z1080" s="20" t="s">
        <v>80</v>
      </c>
      <c r="AA1080" s="20" t="s">
        <v>81</v>
      </c>
      <c r="AB1080" s="20" t="s">
        <v>96</v>
      </c>
      <c r="AC1080" s="28">
        <v>369.83</v>
      </c>
      <c r="AD1080" s="28">
        <f>SUM(BASE[[#This Row],[MONTO DE RENTA ]]*1.16)</f>
        <v>429.00279999999998</v>
      </c>
      <c r="AE1080" s="28" t="s">
        <v>97</v>
      </c>
      <c r="AF1080" s="28">
        <v>473.27586206896552</v>
      </c>
      <c r="AG1080" s="28">
        <v>549</v>
      </c>
      <c r="AH1080" s="22" t="s">
        <v>64</v>
      </c>
      <c r="AI1080" s="63">
        <v>45713</v>
      </c>
      <c r="AJ1080" s="63">
        <v>46433</v>
      </c>
      <c r="AK10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0" s="30"/>
      <c r="AN1080" s="20" t="s">
        <v>65</v>
      </c>
      <c r="AP1080" s="20" t="s">
        <v>66</v>
      </c>
    </row>
    <row r="1081" spans="1:43" ht="16">
      <c r="A1081" s="20">
        <v>9981428653</v>
      </c>
      <c r="B1081" s="21">
        <v>1010446</v>
      </c>
      <c r="C1081" s="20" t="s">
        <v>1227</v>
      </c>
      <c r="D1081" s="20" t="s">
        <v>870</v>
      </c>
      <c r="E1081" s="20" t="s">
        <v>186</v>
      </c>
      <c r="F1081" s="20" t="s">
        <v>104</v>
      </c>
      <c r="G1081" s="20" t="s">
        <v>104</v>
      </c>
      <c r="H1081" s="20" t="s">
        <v>48</v>
      </c>
      <c r="I1081" s="20" t="s">
        <v>104</v>
      </c>
      <c r="J1081" s="32" t="s">
        <v>4891</v>
      </c>
      <c r="K1081" s="32" t="s">
        <v>4891</v>
      </c>
      <c r="L1081" s="23" t="s">
        <v>4836</v>
      </c>
      <c r="M1081" s="24" t="s">
        <v>7751</v>
      </c>
      <c r="N1081" s="23">
        <v>18795000</v>
      </c>
      <c r="O1081" s="25" t="s">
        <v>1035</v>
      </c>
      <c r="P1081" s="25" t="s">
        <v>53</v>
      </c>
      <c r="Q1081" s="20" t="s">
        <v>4892</v>
      </c>
      <c r="R1081" s="20">
        <v>82305746</v>
      </c>
      <c r="S1081" s="25" t="s">
        <v>4893</v>
      </c>
      <c r="T1081" s="26" t="s">
        <v>57</v>
      </c>
      <c r="U1081" s="23">
        <v>860478064969444</v>
      </c>
      <c r="V1081" s="45" t="s">
        <v>110</v>
      </c>
      <c r="W1081" s="20" t="s">
        <v>302</v>
      </c>
      <c r="X1081" s="20" t="s">
        <v>303</v>
      </c>
      <c r="Y1081" s="20" t="s">
        <v>303</v>
      </c>
      <c r="Z1081" s="20" t="s">
        <v>80</v>
      </c>
      <c r="AA1081" s="20" t="s">
        <v>81</v>
      </c>
      <c r="AB1081" s="20" t="s">
        <v>82</v>
      </c>
      <c r="AC1081" s="28">
        <v>559.48</v>
      </c>
      <c r="AD1081" s="28">
        <f>SUM(BASE[[#This Row],[MONTO DE RENTA ]]*1.16)</f>
        <v>648.99680000000001</v>
      </c>
      <c r="AE1081" s="28" t="s">
        <v>83</v>
      </c>
      <c r="AF1081" s="28">
        <v>559.48275862068965</v>
      </c>
      <c r="AG1081" s="28">
        <v>649</v>
      </c>
      <c r="AH1081" s="22" t="s">
        <v>64</v>
      </c>
      <c r="AI1081" s="63">
        <v>45713</v>
      </c>
      <c r="AJ1081" s="63">
        <v>46433</v>
      </c>
      <c r="AK10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1" s="30"/>
      <c r="AN1081" s="20" t="s">
        <v>65</v>
      </c>
      <c r="AP1081" s="20" t="s">
        <v>84</v>
      </c>
    </row>
    <row r="1082" spans="1:43" ht="16">
      <c r="A1082" s="20">
        <v>9981429533</v>
      </c>
      <c r="B1082" s="59">
        <v>950141</v>
      </c>
      <c r="C1082" s="20" t="s">
        <v>4894</v>
      </c>
      <c r="D1082" s="20" t="s">
        <v>462</v>
      </c>
      <c r="E1082" s="20" t="s">
        <v>143</v>
      </c>
      <c r="F1082" s="20" t="s">
        <v>104</v>
      </c>
      <c r="G1082" s="20" t="s">
        <v>104</v>
      </c>
      <c r="H1082" s="20" t="s">
        <v>48</v>
      </c>
      <c r="I1082" s="20" t="s">
        <v>104</v>
      </c>
      <c r="J1082" s="32" t="s">
        <v>4895</v>
      </c>
      <c r="K1082" s="32" t="s">
        <v>4895</v>
      </c>
      <c r="L1082" s="23" t="s">
        <v>4836</v>
      </c>
      <c r="M1082" s="24" t="s">
        <v>7751</v>
      </c>
      <c r="N1082" s="23">
        <v>18795000</v>
      </c>
      <c r="O1082" s="25" t="s">
        <v>1035</v>
      </c>
      <c r="P1082" s="25" t="s">
        <v>53</v>
      </c>
      <c r="Q1082" s="20" t="s">
        <v>4896</v>
      </c>
      <c r="R1082" s="20">
        <v>82305751</v>
      </c>
      <c r="S1082" s="25" t="s">
        <v>4897</v>
      </c>
      <c r="T1082" s="26" t="s">
        <v>57</v>
      </c>
      <c r="U1082" s="23">
        <v>860478064968750</v>
      </c>
      <c r="V1082" s="45" t="s">
        <v>110</v>
      </c>
      <c r="W1082" s="20" t="s">
        <v>302</v>
      </c>
      <c r="X1082" s="20" t="s">
        <v>303</v>
      </c>
      <c r="Y1082" s="20" t="s">
        <v>303</v>
      </c>
      <c r="Z1082" s="20" t="s">
        <v>80</v>
      </c>
      <c r="AA1082" s="20" t="s">
        <v>81</v>
      </c>
      <c r="AB1082" s="20" t="s">
        <v>82</v>
      </c>
      <c r="AC1082" s="28">
        <v>559.48</v>
      </c>
      <c r="AD1082" s="28">
        <f>SUM(BASE[[#This Row],[MONTO DE RENTA ]]*1.16)</f>
        <v>648.99680000000001</v>
      </c>
      <c r="AE1082" s="28" t="s">
        <v>83</v>
      </c>
      <c r="AF1082" s="28">
        <v>559.48275862068965</v>
      </c>
      <c r="AG1082" s="28">
        <v>649</v>
      </c>
      <c r="AH1082" s="22" t="s">
        <v>64</v>
      </c>
      <c r="AI1082" s="63">
        <v>45713</v>
      </c>
      <c r="AJ1082" s="63">
        <v>46433</v>
      </c>
      <c r="AK108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2" s="30"/>
      <c r="AN1082" s="20" t="s">
        <v>65</v>
      </c>
      <c r="AP1082" s="20" t="s">
        <v>84</v>
      </c>
    </row>
    <row r="1083" spans="1:43" ht="16">
      <c r="A1083" s="20">
        <v>9981428625</v>
      </c>
      <c r="B1083" s="21">
        <v>370099</v>
      </c>
      <c r="C1083" s="20" t="s">
        <v>2807</v>
      </c>
      <c r="D1083" s="20" t="s">
        <v>102</v>
      </c>
      <c r="E1083" s="20" t="s">
        <v>376</v>
      </c>
      <c r="F1083" s="20" t="s">
        <v>104</v>
      </c>
      <c r="G1083" s="20" t="s">
        <v>104</v>
      </c>
      <c r="H1083" s="20" t="s">
        <v>48</v>
      </c>
      <c r="I1083" s="20" t="s">
        <v>104</v>
      </c>
      <c r="J1083" s="32" t="s">
        <v>4898</v>
      </c>
      <c r="K1083" s="32" t="s">
        <v>4898</v>
      </c>
      <c r="L1083" s="23" t="s">
        <v>4836</v>
      </c>
      <c r="M1083" s="24" t="s">
        <v>7751</v>
      </c>
      <c r="N1083" s="23">
        <v>18795000</v>
      </c>
      <c r="O1083" s="25" t="s">
        <v>1035</v>
      </c>
      <c r="P1083" s="25" t="s">
        <v>53</v>
      </c>
      <c r="Q1083" s="20" t="s">
        <v>4899</v>
      </c>
      <c r="R1083" s="20">
        <v>82305742</v>
      </c>
      <c r="S1083" s="25" t="s">
        <v>4900</v>
      </c>
      <c r="T1083" s="26" t="s">
        <v>57</v>
      </c>
      <c r="U1083" s="23">
        <v>860796063913026</v>
      </c>
      <c r="V1083" s="45" t="s">
        <v>110</v>
      </c>
      <c r="W1083" s="20" t="s">
        <v>353</v>
      </c>
      <c r="X1083" s="20" t="s">
        <v>354</v>
      </c>
      <c r="Y1083" s="20" t="s">
        <v>354</v>
      </c>
      <c r="Z1083" s="20" t="s">
        <v>80</v>
      </c>
      <c r="AA1083" s="20" t="s">
        <v>81</v>
      </c>
      <c r="AB1083" s="20" t="s">
        <v>82</v>
      </c>
      <c r="AC1083" s="28">
        <v>559.48</v>
      </c>
      <c r="AD1083" s="28">
        <f>SUM(BASE[[#This Row],[MONTO DE RENTA ]]*1.16)</f>
        <v>648.99680000000001</v>
      </c>
      <c r="AE1083" s="28" t="s">
        <v>83</v>
      </c>
      <c r="AF1083" s="28">
        <v>559.48275862068965</v>
      </c>
      <c r="AG1083" s="28">
        <v>649</v>
      </c>
      <c r="AI1083" s="63">
        <v>44937</v>
      </c>
      <c r="AJ1083" s="84">
        <v>46054</v>
      </c>
      <c r="AK10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83" s="30"/>
      <c r="AN1083" s="20" t="s">
        <v>99</v>
      </c>
      <c r="AP1083" s="20" t="s">
        <v>84</v>
      </c>
      <c r="AQ1083" s="20" t="s">
        <v>100</v>
      </c>
    </row>
    <row r="1084" spans="1:43" ht="16">
      <c r="A1084" s="20">
        <v>9981543103</v>
      </c>
      <c r="B1084" s="21">
        <v>950188</v>
      </c>
      <c r="C1084" s="20" t="s">
        <v>4901</v>
      </c>
      <c r="D1084" s="20" t="s">
        <v>172</v>
      </c>
      <c r="E1084" s="20" t="s">
        <v>247</v>
      </c>
      <c r="F1084" s="20" t="s">
        <v>104</v>
      </c>
      <c r="G1084" s="20" t="s">
        <v>104</v>
      </c>
      <c r="H1084" s="20" t="s">
        <v>48</v>
      </c>
      <c r="I1084" s="20" t="s">
        <v>104</v>
      </c>
      <c r="J1084" s="32" t="s">
        <v>4902</v>
      </c>
      <c r="K1084" s="32" t="s">
        <v>4902</v>
      </c>
      <c r="L1084" s="23" t="s">
        <v>4836</v>
      </c>
      <c r="M1084" s="24" t="s">
        <v>7751</v>
      </c>
      <c r="N1084" s="23">
        <v>18795000</v>
      </c>
      <c r="O1084" s="25" t="s">
        <v>1035</v>
      </c>
      <c r="P1084" s="25" t="s">
        <v>53</v>
      </c>
      <c r="Q1084" s="20" t="s">
        <v>4903</v>
      </c>
      <c r="R1084" s="20">
        <v>82305754</v>
      </c>
      <c r="S1084" s="25" t="s">
        <v>4904</v>
      </c>
      <c r="T1084" s="26" t="s">
        <v>57</v>
      </c>
      <c r="U1084" s="23">
        <v>860478064968198</v>
      </c>
      <c r="V1084" s="45" t="s">
        <v>110</v>
      </c>
      <c r="W1084" s="20" t="s">
        <v>302</v>
      </c>
      <c r="X1084" s="20" t="s">
        <v>303</v>
      </c>
      <c r="Y1084" s="20" t="s">
        <v>303</v>
      </c>
      <c r="Z1084" s="20" t="s">
        <v>80</v>
      </c>
      <c r="AA1084" s="20" t="s">
        <v>81</v>
      </c>
      <c r="AB1084" s="20" t="s">
        <v>82</v>
      </c>
      <c r="AC1084" s="28">
        <v>559.48</v>
      </c>
      <c r="AD1084" s="28">
        <f>SUM(BASE[[#This Row],[MONTO DE RENTA ]]*1.16)</f>
        <v>648.99680000000001</v>
      </c>
      <c r="AE1084" s="28" t="s">
        <v>83</v>
      </c>
      <c r="AF1084" s="28">
        <v>559.48275862068965</v>
      </c>
      <c r="AG1084" s="28">
        <v>649</v>
      </c>
      <c r="AH1084" s="22" t="s">
        <v>64</v>
      </c>
      <c r="AI1084" s="63">
        <v>45713</v>
      </c>
      <c r="AJ1084" s="63">
        <v>46433</v>
      </c>
      <c r="AK10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4" s="30"/>
      <c r="AN1084" s="20" t="s">
        <v>65</v>
      </c>
      <c r="AP1084" s="20" t="s">
        <v>84</v>
      </c>
    </row>
    <row r="1085" spans="1:43" ht="16">
      <c r="A1085" s="20">
        <v>8671433820</v>
      </c>
      <c r="B1085" s="49">
        <v>30053</v>
      </c>
      <c r="C1085" s="20" t="s">
        <v>4905</v>
      </c>
      <c r="D1085" s="20" t="s">
        <v>4906</v>
      </c>
      <c r="E1085" s="20" t="s">
        <v>973</v>
      </c>
      <c r="F1085" s="20" t="s">
        <v>70</v>
      </c>
      <c r="G1085" s="20" t="s">
        <v>70</v>
      </c>
      <c r="H1085" s="20" t="s">
        <v>48</v>
      </c>
      <c r="I1085" s="20" t="s">
        <v>70</v>
      </c>
      <c r="J1085" s="22" t="s">
        <v>4907</v>
      </c>
      <c r="K1085" s="22" t="s">
        <v>4907</v>
      </c>
      <c r="L1085" s="23" t="s">
        <v>146</v>
      </c>
      <c r="M1085" s="24" t="s">
        <v>7739</v>
      </c>
      <c r="N1085" s="23">
        <v>18796000</v>
      </c>
      <c r="O1085" s="25" t="s">
        <v>74</v>
      </c>
      <c r="P1085" s="25" t="s">
        <v>53</v>
      </c>
      <c r="Q1085" s="20" t="s">
        <v>4908</v>
      </c>
      <c r="R1085" s="20">
        <v>42943871</v>
      </c>
      <c r="S1085" s="25" t="s">
        <v>55</v>
      </c>
      <c r="T1085" s="26" t="s">
        <v>56</v>
      </c>
      <c r="U1085" s="23">
        <v>358366320438164</v>
      </c>
      <c r="V1085" s="27" t="s">
        <v>78</v>
      </c>
      <c r="W1085" s="20" t="s">
        <v>79</v>
      </c>
      <c r="X1085" s="20" t="s">
        <v>79</v>
      </c>
      <c r="Y1085" s="20" t="s">
        <v>79</v>
      </c>
      <c r="Z1085" s="20" t="s">
        <v>60</v>
      </c>
      <c r="AA1085" s="20" t="s">
        <v>61</v>
      </c>
      <c r="AB1085" s="20" t="s">
        <v>82</v>
      </c>
      <c r="AC1085" s="28">
        <v>559.48</v>
      </c>
      <c r="AD1085" s="28">
        <f>SUM(BASE[[#This Row],[MONTO DE RENTA ]]*1.16)</f>
        <v>648.99680000000001</v>
      </c>
      <c r="AE1085" s="28" t="s">
        <v>83</v>
      </c>
      <c r="AF1085" s="28">
        <v>559.48275862068965</v>
      </c>
      <c r="AG1085" s="28">
        <v>649</v>
      </c>
      <c r="AI1085" s="63">
        <v>44937</v>
      </c>
      <c r="AJ1085" s="84">
        <v>46316</v>
      </c>
      <c r="AK1085" s="30">
        <f ca="1">IFERROR(IF(BASE[[#This Row],[FECHA DE RENOVACION ]]&gt;TODAY(), DATEDIF(TODAY(),BASE[[#This Row],[FECHA DE RENOVACION ]],"M"), -DATEDIF(BASE[[#This Row],[FECHA DE RENOVACION ]],TODAY(),"M")), "Sin fecha")</f>
        <v>7</v>
      </c>
      <c r="AM1085" s="30"/>
      <c r="AN1085" s="20" t="s">
        <v>65</v>
      </c>
      <c r="AP1085" s="20" t="s">
        <v>84</v>
      </c>
    </row>
    <row r="1086" spans="1:43" ht="16">
      <c r="A1086" s="20">
        <v>9981058813</v>
      </c>
      <c r="B1086" s="49">
        <v>999557</v>
      </c>
      <c r="C1086" s="20" t="s">
        <v>4909</v>
      </c>
      <c r="D1086" s="20" t="s">
        <v>3835</v>
      </c>
      <c r="E1086" s="20" t="s">
        <v>171</v>
      </c>
      <c r="F1086" s="20" t="s">
        <v>122</v>
      </c>
      <c r="G1086" s="20" t="s">
        <v>122</v>
      </c>
      <c r="H1086" s="20" t="s">
        <v>48</v>
      </c>
      <c r="I1086" s="20" t="s">
        <v>122</v>
      </c>
      <c r="J1086" s="32" t="s">
        <v>4910</v>
      </c>
      <c r="K1086" s="22" t="s">
        <v>4911</v>
      </c>
      <c r="L1086" s="23" t="s">
        <v>4836</v>
      </c>
      <c r="M1086" s="24" t="s">
        <v>7751</v>
      </c>
      <c r="N1086" s="23">
        <v>18795000</v>
      </c>
      <c r="O1086" s="25" t="s">
        <v>1035</v>
      </c>
      <c r="P1086" s="25" t="s">
        <v>53</v>
      </c>
      <c r="Q1086" s="20" t="s">
        <v>4912</v>
      </c>
      <c r="R1086" s="20">
        <v>82113432</v>
      </c>
      <c r="S1086" s="25" t="s">
        <v>55</v>
      </c>
      <c r="T1086" s="26" t="s">
        <v>56</v>
      </c>
      <c r="U1086" s="23">
        <v>860900062336938</v>
      </c>
      <c r="V1086" s="27" t="s">
        <v>57</v>
      </c>
      <c r="W1086" s="20" t="s">
        <v>58</v>
      </c>
      <c r="X1086" s="20" t="s">
        <v>59</v>
      </c>
      <c r="Y1086" s="20" t="s">
        <v>59</v>
      </c>
      <c r="Z1086" s="20" t="s">
        <v>60</v>
      </c>
      <c r="AA1086" s="20" t="s">
        <v>61</v>
      </c>
      <c r="AB1086" s="20" t="s">
        <v>96</v>
      </c>
      <c r="AC1086" s="28">
        <v>369.83</v>
      </c>
      <c r="AD1086" s="28">
        <f>SUM(BASE[[#This Row],[MONTO DE RENTA ]]*1.16)</f>
        <v>429.00279999999998</v>
      </c>
      <c r="AE1086" s="28" t="s">
        <v>63</v>
      </c>
      <c r="AF1086" s="28">
        <v>369.82758620689657</v>
      </c>
      <c r="AG1086" s="28">
        <v>429</v>
      </c>
      <c r="AH1086" s="22" t="s">
        <v>253</v>
      </c>
      <c r="AI1086" s="63">
        <v>45843</v>
      </c>
      <c r="AJ1086" s="63">
        <v>46573</v>
      </c>
      <c r="AK1086" s="30">
        <f ca="1">IFERROR(IF(BASE[[#This Row],[FECHA DE RENOVACION ]]&gt;TODAY(), DATEDIF(TODAY(),BASE[[#This Row],[FECHA DE RENOVACION ]],"M"), -DATEDIF(BASE[[#This Row],[FECHA DE RENOVACION ]],TODAY(),"M")), "Sin fecha")</f>
        <v>16</v>
      </c>
      <c r="AM1086" s="30"/>
      <c r="AN1086" s="20" t="s">
        <v>65</v>
      </c>
      <c r="AP1086" s="20" t="s">
        <v>84</v>
      </c>
    </row>
    <row r="1087" spans="1:43" ht="16">
      <c r="A1087" s="20">
        <v>9982365809</v>
      </c>
      <c r="B1087" s="21">
        <v>1056155</v>
      </c>
      <c r="C1087" s="20" t="s">
        <v>1955</v>
      </c>
      <c r="D1087" s="20" t="s">
        <v>1277</v>
      </c>
      <c r="E1087" s="20" t="s">
        <v>358</v>
      </c>
      <c r="F1087" s="20" t="s">
        <v>122</v>
      </c>
      <c r="G1087" s="20" t="s">
        <v>122</v>
      </c>
      <c r="H1087" s="20" t="s">
        <v>48</v>
      </c>
      <c r="I1087" s="20" t="s">
        <v>122</v>
      </c>
      <c r="J1087" s="54" t="s">
        <v>4913</v>
      </c>
      <c r="K1087" s="22" t="s">
        <v>4914</v>
      </c>
      <c r="L1087" s="23" t="s">
        <v>4836</v>
      </c>
      <c r="M1087" s="24" t="s">
        <v>7751</v>
      </c>
      <c r="N1087" s="23">
        <v>18795000</v>
      </c>
      <c r="O1087" s="25" t="s">
        <v>1035</v>
      </c>
      <c r="P1087" s="25" t="s">
        <v>53</v>
      </c>
      <c r="Q1087" s="20" t="s">
        <v>4915</v>
      </c>
      <c r="R1087" s="20">
        <v>82311638</v>
      </c>
      <c r="S1087" s="25" t="s">
        <v>4916</v>
      </c>
      <c r="T1087" s="44" t="s">
        <v>57</v>
      </c>
      <c r="U1087" s="23">
        <v>860900062257456</v>
      </c>
      <c r="V1087" s="27" t="s">
        <v>57</v>
      </c>
      <c r="W1087" s="20" t="s">
        <v>58</v>
      </c>
      <c r="X1087" s="20" t="s">
        <v>59</v>
      </c>
      <c r="Y1087" s="20" t="s">
        <v>59</v>
      </c>
      <c r="Z1087" s="20" t="s">
        <v>80</v>
      </c>
      <c r="AA1087" s="20" t="s">
        <v>81</v>
      </c>
      <c r="AB1087" s="20" t="s">
        <v>96</v>
      </c>
      <c r="AC1087" s="28">
        <v>369.83</v>
      </c>
      <c r="AD1087" s="28">
        <f>SUM(BASE[[#This Row],[MONTO DE RENTA ]]*1.16)</f>
        <v>429.00279999999998</v>
      </c>
      <c r="AE1087" s="28" t="s">
        <v>63</v>
      </c>
      <c r="AF1087" s="28">
        <v>369.82758620689657</v>
      </c>
      <c r="AG1087" s="28">
        <v>429</v>
      </c>
      <c r="AH1087" s="22" t="s">
        <v>64</v>
      </c>
      <c r="AI1087" s="63">
        <v>45713</v>
      </c>
      <c r="AJ1087" s="63">
        <v>46433</v>
      </c>
      <c r="AK108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7" s="30" t="s">
        <v>4917</v>
      </c>
      <c r="AN1087" s="20" t="s">
        <v>65</v>
      </c>
      <c r="AP1087" s="20" t="s">
        <v>84</v>
      </c>
    </row>
    <row r="1088" spans="1:43" ht="16">
      <c r="A1088" s="20">
        <v>9981238365</v>
      </c>
      <c r="B1088" s="21">
        <v>1043189</v>
      </c>
      <c r="C1088" s="20" t="s">
        <v>4918</v>
      </c>
      <c r="D1088" s="20" t="s">
        <v>1717</v>
      </c>
      <c r="E1088" s="20" t="s">
        <v>4919</v>
      </c>
      <c r="F1088" s="20" t="s">
        <v>122</v>
      </c>
      <c r="G1088" s="20" t="s">
        <v>122</v>
      </c>
      <c r="H1088" s="20" t="s">
        <v>48</v>
      </c>
      <c r="I1088" s="20" t="s">
        <v>122</v>
      </c>
      <c r="J1088" s="54" t="s">
        <v>4920</v>
      </c>
      <c r="K1088" s="54" t="s">
        <v>4921</v>
      </c>
      <c r="L1088" s="23" t="s">
        <v>4836</v>
      </c>
      <c r="M1088" s="24" t="s">
        <v>7751</v>
      </c>
      <c r="N1088" s="23">
        <v>18795000</v>
      </c>
      <c r="O1088" s="25" t="s">
        <v>1035</v>
      </c>
      <c r="P1088" s="25" t="s">
        <v>53</v>
      </c>
      <c r="Q1088" s="20" t="s">
        <v>4922</v>
      </c>
      <c r="R1088" s="20">
        <v>83198415</v>
      </c>
      <c r="S1088" s="25" t="s">
        <v>4923</v>
      </c>
      <c r="T1088" s="236" t="s">
        <v>57</v>
      </c>
      <c r="U1088" s="23">
        <v>860900062257456</v>
      </c>
      <c r="V1088" s="27" t="s">
        <v>57</v>
      </c>
      <c r="W1088" s="20" t="s">
        <v>58</v>
      </c>
      <c r="X1088" s="20" t="s">
        <v>59</v>
      </c>
      <c r="Y1088" s="20" t="s">
        <v>59</v>
      </c>
      <c r="Z1088" s="20" t="s">
        <v>80</v>
      </c>
      <c r="AA1088" s="20" t="s">
        <v>81</v>
      </c>
      <c r="AB1088" s="20" t="s">
        <v>96</v>
      </c>
      <c r="AC1088" s="28">
        <v>369.83</v>
      </c>
      <c r="AD1088" s="28">
        <f>SUM(BASE[[#This Row],[MONTO DE RENTA ]]*1.16)</f>
        <v>429.00279999999998</v>
      </c>
      <c r="AE1088" s="28" t="s">
        <v>63</v>
      </c>
      <c r="AF1088" s="28">
        <v>369.82758620689657</v>
      </c>
      <c r="AG1088" s="28">
        <v>429</v>
      </c>
      <c r="AI1088" s="29">
        <v>45940</v>
      </c>
      <c r="AJ1088" s="29">
        <v>46438</v>
      </c>
      <c r="AK10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88" s="30"/>
      <c r="AN1088" s="20" t="s">
        <v>65</v>
      </c>
      <c r="AP1088" s="20" t="s">
        <v>84</v>
      </c>
    </row>
    <row r="1089" spans="1:43" ht="16">
      <c r="A1089" s="20">
        <v>9983297028</v>
      </c>
      <c r="B1089" s="49">
        <v>1037867</v>
      </c>
      <c r="C1089" s="20" t="s">
        <v>733</v>
      </c>
      <c r="D1089" s="20" t="s">
        <v>442</v>
      </c>
      <c r="E1089" s="20" t="s">
        <v>4924</v>
      </c>
      <c r="F1089" s="20" t="s">
        <v>70</v>
      </c>
      <c r="G1089" s="20" t="s">
        <v>70</v>
      </c>
      <c r="H1089" s="20" t="s">
        <v>48</v>
      </c>
      <c r="I1089" s="20" t="s">
        <v>70</v>
      </c>
      <c r="J1089" s="54" t="s">
        <v>4925</v>
      </c>
      <c r="K1089" s="54" t="s">
        <v>4925</v>
      </c>
      <c r="L1089" s="23" t="s">
        <v>4836</v>
      </c>
      <c r="M1089" s="24" t="s">
        <v>7751</v>
      </c>
      <c r="N1089" s="23">
        <v>18795000</v>
      </c>
      <c r="O1089" s="25" t="s">
        <v>1035</v>
      </c>
      <c r="P1089" s="25" t="s">
        <v>53</v>
      </c>
      <c r="Q1089" s="20" t="s">
        <v>4926</v>
      </c>
      <c r="R1089" s="20">
        <v>82200545</v>
      </c>
      <c r="S1089" s="25" t="s">
        <v>55</v>
      </c>
      <c r="T1089" s="44" t="s">
        <v>56</v>
      </c>
      <c r="U1089" s="23">
        <v>357654179882827</v>
      </c>
      <c r="V1089" s="27" t="s">
        <v>78</v>
      </c>
      <c r="W1089" s="20" t="s">
        <v>95</v>
      </c>
      <c r="X1089" s="20" t="s">
        <v>95</v>
      </c>
      <c r="Y1089" s="20" t="s">
        <v>95</v>
      </c>
      <c r="Z1089" s="20" t="s">
        <v>60</v>
      </c>
      <c r="AA1089" s="20" t="s">
        <v>61</v>
      </c>
      <c r="AB1089" s="20" t="s">
        <v>82</v>
      </c>
      <c r="AC1089" s="28">
        <v>559.48</v>
      </c>
      <c r="AD1089" s="28">
        <f>SUM(BASE[[#This Row],[MONTO DE RENTA ]]*1.16)</f>
        <v>648.99680000000001</v>
      </c>
      <c r="AE1089" s="28" t="s">
        <v>83</v>
      </c>
      <c r="AF1089" s="28">
        <v>559.48275862068965</v>
      </c>
      <c r="AG1089" s="28">
        <v>649</v>
      </c>
      <c r="AI1089" s="63">
        <v>44937</v>
      </c>
      <c r="AJ1089" s="73">
        <v>46043</v>
      </c>
      <c r="AK108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89" s="30"/>
      <c r="AN1089" s="20" t="s">
        <v>99</v>
      </c>
      <c r="AP1089" s="20" t="s">
        <v>84</v>
      </c>
      <c r="AQ1089" s="20" t="s">
        <v>100</v>
      </c>
    </row>
    <row r="1090" spans="1:43" ht="16">
      <c r="A1090" s="34">
        <v>8118200132</v>
      </c>
      <c r="B1090" s="76">
        <v>960161</v>
      </c>
      <c r="C1090" s="34" t="s">
        <v>4927</v>
      </c>
      <c r="D1090" s="34" t="s">
        <v>383</v>
      </c>
      <c r="E1090" s="34" t="s">
        <v>2698</v>
      </c>
      <c r="F1090" s="34" t="s">
        <v>418</v>
      </c>
      <c r="G1090" s="20" t="s">
        <v>47</v>
      </c>
      <c r="H1090" s="34" t="s">
        <v>48</v>
      </c>
      <c r="I1090" s="34" t="s">
        <v>418</v>
      </c>
      <c r="J1090" s="37" t="s">
        <v>4928</v>
      </c>
      <c r="K1090" s="37" t="s">
        <v>4928</v>
      </c>
      <c r="L1090" s="38" t="s">
        <v>146</v>
      </c>
      <c r="M1090" s="77" t="s">
        <v>7739</v>
      </c>
      <c r="N1090" s="38">
        <v>18796000</v>
      </c>
      <c r="O1090" s="110" t="s">
        <v>74</v>
      </c>
      <c r="P1090" s="25" t="s">
        <v>53</v>
      </c>
      <c r="Q1090" s="34" t="s">
        <v>4929</v>
      </c>
      <c r="R1090" s="34">
        <v>45522060</v>
      </c>
      <c r="S1090" s="110" t="s">
        <v>55</v>
      </c>
      <c r="T1090" s="39" t="s">
        <v>56</v>
      </c>
      <c r="U1090" s="38">
        <v>860900062338389</v>
      </c>
      <c r="V1090" s="60" t="s">
        <v>183</v>
      </c>
      <c r="W1090" s="34" t="s">
        <v>58</v>
      </c>
      <c r="X1090" s="20" t="s">
        <v>59</v>
      </c>
      <c r="Y1090" s="20" t="s">
        <v>59</v>
      </c>
      <c r="Z1090" s="34" t="s">
        <v>113</v>
      </c>
      <c r="AA1090" s="34" t="s">
        <v>114</v>
      </c>
      <c r="AB1090" s="34" t="s">
        <v>244</v>
      </c>
      <c r="AC1090" s="111">
        <v>473.28</v>
      </c>
      <c r="AD1090" s="111">
        <f>SUM(BASE[[#This Row],[MONTO DE RENTA ]]*1.16)</f>
        <v>549.00479999999993</v>
      </c>
      <c r="AE1090" s="28" t="s">
        <v>63</v>
      </c>
      <c r="AF1090" s="111">
        <v>369.82758620689657</v>
      </c>
      <c r="AG1090" s="111">
        <v>429</v>
      </c>
      <c r="AH1090" s="36" t="s">
        <v>116</v>
      </c>
      <c r="AI1090" s="84">
        <v>45911</v>
      </c>
      <c r="AJ1090" s="84">
        <v>46641</v>
      </c>
      <c r="AK1090" s="42">
        <f ca="1">IFERROR(IF(BASE[[#This Row],[FECHA DE RENOVACION ]]&gt;TODAY(), DATEDIF(TODAY(),BASE[[#This Row],[FECHA DE RENOVACION ]],"M"), -DATEDIF(BASE[[#This Row],[FECHA DE RENOVACION ]],TODAY(),"M")), "Sin fecha")</f>
        <v>18</v>
      </c>
      <c r="AL1090" s="34" t="s">
        <v>4930</v>
      </c>
      <c r="AM1090" s="42"/>
      <c r="AN1090" s="20" t="s">
        <v>65</v>
      </c>
      <c r="AP1090" s="20" t="s">
        <v>118</v>
      </c>
    </row>
    <row r="1091" spans="1:43" ht="16">
      <c r="A1091" s="20">
        <v>8671221609</v>
      </c>
      <c r="B1091" s="21">
        <v>1005826</v>
      </c>
      <c r="C1091" s="20" t="s">
        <v>4931</v>
      </c>
      <c r="D1091" s="20" t="s">
        <v>177</v>
      </c>
      <c r="E1091" s="20" t="s">
        <v>477</v>
      </c>
      <c r="F1091" s="20" t="s">
        <v>248</v>
      </c>
      <c r="G1091" s="20" t="s">
        <v>248</v>
      </c>
      <c r="H1091" s="20" t="s">
        <v>48</v>
      </c>
      <c r="I1091" s="20" t="s">
        <v>248</v>
      </c>
      <c r="J1091" s="22" t="s">
        <v>4932</v>
      </c>
      <c r="K1091" s="22" t="s">
        <v>4932</v>
      </c>
      <c r="L1091" s="23" t="s">
        <v>146</v>
      </c>
      <c r="M1091" s="24" t="s">
        <v>7739</v>
      </c>
      <c r="N1091" s="23">
        <v>18796000</v>
      </c>
      <c r="O1091" s="25" t="s">
        <v>74</v>
      </c>
      <c r="P1091" s="25" t="s">
        <v>53</v>
      </c>
      <c r="Q1091" s="20" t="s">
        <v>4933</v>
      </c>
      <c r="R1091" s="20">
        <v>43056428</v>
      </c>
      <c r="S1091" s="25" t="s">
        <v>4934</v>
      </c>
      <c r="T1091" s="26" t="s">
        <v>57</v>
      </c>
      <c r="U1091" s="23">
        <v>860900062336946</v>
      </c>
      <c r="V1091" s="27" t="s">
        <v>57</v>
      </c>
      <c r="W1091" s="20" t="s">
        <v>58</v>
      </c>
      <c r="X1091" s="20" t="s">
        <v>59</v>
      </c>
      <c r="Y1091" s="20" t="s">
        <v>59</v>
      </c>
      <c r="Z1091" s="20" t="s">
        <v>167</v>
      </c>
      <c r="AA1091" s="20" t="s">
        <v>168</v>
      </c>
      <c r="AB1091" s="20" t="s">
        <v>96</v>
      </c>
      <c r="AC1091" s="28">
        <v>369.83</v>
      </c>
      <c r="AD1091" s="28">
        <f>SUM(BASE[[#This Row],[MONTO DE RENTA ]]*1.16)</f>
        <v>429.00279999999998</v>
      </c>
      <c r="AE1091" s="28" t="s">
        <v>63</v>
      </c>
      <c r="AF1091" s="28">
        <v>369.82758620689657</v>
      </c>
      <c r="AG1091" s="28">
        <v>429</v>
      </c>
      <c r="AH1091" s="22" t="s">
        <v>64</v>
      </c>
      <c r="AI1091" s="63">
        <v>45713</v>
      </c>
      <c r="AJ1091" s="63">
        <v>46433</v>
      </c>
      <c r="AK109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91" s="30"/>
      <c r="AN1091" s="20" t="s">
        <v>65</v>
      </c>
      <c r="AP1091" s="20" t="s">
        <v>84</v>
      </c>
    </row>
    <row r="1092" spans="1:43" ht="16">
      <c r="A1092" s="20">
        <v>8671025087</v>
      </c>
      <c r="B1092" s="21">
        <v>960190</v>
      </c>
      <c r="C1092" s="20" t="s">
        <v>4935</v>
      </c>
      <c r="D1092" s="20" t="s">
        <v>172</v>
      </c>
      <c r="E1092" s="20" t="s">
        <v>247</v>
      </c>
      <c r="F1092" s="20" t="s">
        <v>483</v>
      </c>
      <c r="G1092" s="20" t="s">
        <v>257</v>
      </c>
      <c r="H1092" s="20" t="s">
        <v>48</v>
      </c>
      <c r="I1092" s="20" t="s">
        <v>483</v>
      </c>
      <c r="J1092" s="32" t="s">
        <v>4936</v>
      </c>
      <c r="K1092" s="32" t="s">
        <v>4936</v>
      </c>
      <c r="L1092" s="23" t="s">
        <v>146</v>
      </c>
      <c r="M1092" s="24" t="s">
        <v>7739</v>
      </c>
      <c r="N1092" s="23">
        <v>18796000</v>
      </c>
      <c r="O1092" s="25" t="s">
        <v>74</v>
      </c>
      <c r="P1092" s="25" t="s">
        <v>53</v>
      </c>
      <c r="Q1092" s="20" t="s">
        <v>4937</v>
      </c>
      <c r="R1092" s="20">
        <v>43090266</v>
      </c>
      <c r="S1092" s="25" t="s">
        <v>4938</v>
      </c>
      <c r="T1092" s="26" t="s">
        <v>57</v>
      </c>
      <c r="U1092" s="23">
        <v>860478064773358</v>
      </c>
      <c r="V1092" s="45" t="s">
        <v>110</v>
      </c>
      <c r="W1092" s="20" t="s">
        <v>302</v>
      </c>
      <c r="X1092" s="20" t="s">
        <v>303</v>
      </c>
      <c r="Y1092" s="20" t="s">
        <v>303</v>
      </c>
      <c r="Z1092" s="20" t="s">
        <v>80</v>
      </c>
      <c r="AA1092" s="20" t="s">
        <v>81</v>
      </c>
      <c r="AB1092" s="20" t="s">
        <v>82</v>
      </c>
      <c r="AC1092" s="28">
        <v>559.48</v>
      </c>
      <c r="AD1092" s="28">
        <f>SUM(BASE[[#This Row],[MONTO DE RENTA ]]*1.16)</f>
        <v>648.99680000000001</v>
      </c>
      <c r="AE1092" s="28" t="s">
        <v>83</v>
      </c>
      <c r="AF1092" s="28">
        <v>559.48275862068965</v>
      </c>
      <c r="AG1092" s="28">
        <v>649</v>
      </c>
      <c r="AH1092" s="22" t="s">
        <v>64</v>
      </c>
      <c r="AI1092" s="63">
        <v>45713</v>
      </c>
      <c r="AJ1092" s="63">
        <v>46433</v>
      </c>
      <c r="AK10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92" s="30"/>
      <c r="AN1092" s="20" t="s">
        <v>65</v>
      </c>
      <c r="AP1092" s="20" t="s">
        <v>84</v>
      </c>
    </row>
    <row r="1093" spans="1:43" ht="16">
      <c r="A1093" s="20">
        <v>8672317753</v>
      </c>
      <c r="B1093" s="49">
        <v>960250</v>
      </c>
      <c r="C1093" s="20" t="s">
        <v>4939</v>
      </c>
      <c r="D1093" s="20" t="s">
        <v>1821</v>
      </c>
      <c r="E1093" s="20" t="s">
        <v>4940</v>
      </c>
      <c r="F1093" s="20" t="s">
        <v>122</v>
      </c>
      <c r="G1093" s="20" t="s">
        <v>122</v>
      </c>
      <c r="H1093" s="20" t="s">
        <v>48</v>
      </c>
      <c r="I1093" s="20" t="s">
        <v>122</v>
      </c>
      <c r="J1093" s="22" t="s">
        <v>4941</v>
      </c>
      <c r="K1093" s="22" t="s">
        <v>4941</v>
      </c>
      <c r="L1093" s="23" t="s">
        <v>146</v>
      </c>
      <c r="M1093" s="24" t="s">
        <v>7739</v>
      </c>
      <c r="N1093" s="23">
        <v>18796000</v>
      </c>
      <c r="O1093" s="25" t="s">
        <v>74</v>
      </c>
      <c r="P1093" s="25" t="s">
        <v>53</v>
      </c>
      <c r="Q1093" s="20" t="s">
        <v>4942</v>
      </c>
      <c r="R1093" s="20">
        <v>43532710</v>
      </c>
      <c r="S1093" s="25" t="s">
        <v>55</v>
      </c>
      <c r="T1093" s="44" t="s">
        <v>56</v>
      </c>
      <c r="U1093" s="23">
        <v>860900062319413</v>
      </c>
      <c r="V1093" s="27" t="s">
        <v>183</v>
      </c>
      <c r="W1093" s="20" t="s">
        <v>58</v>
      </c>
      <c r="X1093" s="20" t="s">
        <v>59</v>
      </c>
      <c r="Y1093" s="20" t="s">
        <v>59</v>
      </c>
      <c r="Z1093" s="20" t="s">
        <v>60</v>
      </c>
      <c r="AA1093" s="20" t="s">
        <v>61</v>
      </c>
      <c r="AB1093" s="20" t="s">
        <v>96</v>
      </c>
      <c r="AC1093" s="28">
        <v>369.83</v>
      </c>
      <c r="AD1093" s="28">
        <f>SUM(BASE[[#This Row],[MONTO DE RENTA ]]*1.16)</f>
        <v>429.00279999999998</v>
      </c>
      <c r="AE1093" s="28" t="s">
        <v>63</v>
      </c>
      <c r="AF1093" s="28">
        <v>369.82758620689657</v>
      </c>
      <c r="AG1093" s="28">
        <v>429</v>
      </c>
      <c r="AI1093" s="63">
        <v>44937</v>
      </c>
      <c r="AJ1093" s="73">
        <v>46043</v>
      </c>
      <c r="AK109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93" s="30"/>
      <c r="AN1093" s="20" t="s">
        <v>99</v>
      </c>
      <c r="AP1093" s="20" t="s">
        <v>84</v>
      </c>
      <c r="AQ1093" s="20" t="s">
        <v>100</v>
      </c>
    </row>
    <row r="1094" spans="1:43" ht="16">
      <c r="A1094" s="20">
        <v>8671000594</v>
      </c>
      <c r="B1094" s="21">
        <v>960028</v>
      </c>
      <c r="C1094" s="20" t="s">
        <v>4511</v>
      </c>
      <c r="D1094" s="20" t="s">
        <v>1330</v>
      </c>
      <c r="E1094" s="20" t="s">
        <v>4943</v>
      </c>
      <c r="F1094" s="20" t="s">
        <v>122</v>
      </c>
      <c r="G1094" s="20" t="s">
        <v>122</v>
      </c>
      <c r="H1094" s="20" t="s">
        <v>48</v>
      </c>
      <c r="I1094" s="20" t="s">
        <v>122</v>
      </c>
      <c r="J1094" s="32" t="s">
        <v>4944</v>
      </c>
      <c r="K1094" s="32" t="s">
        <v>4941</v>
      </c>
      <c r="L1094" s="23" t="s">
        <v>146</v>
      </c>
      <c r="M1094" s="24" t="s">
        <v>7739</v>
      </c>
      <c r="N1094" s="23">
        <v>18796000</v>
      </c>
      <c r="O1094" s="25" t="s">
        <v>74</v>
      </c>
      <c r="P1094" s="25" t="s">
        <v>53</v>
      </c>
      <c r="Q1094" s="20" t="s">
        <v>4945</v>
      </c>
      <c r="R1094" s="20">
        <v>42781944</v>
      </c>
      <c r="S1094" s="25" t="s">
        <v>4946</v>
      </c>
      <c r="T1094" s="26" t="s">
        <v>57</v>
      </c>
      <c r="U1094" s="23">
        <v>860900062319413</v>
      </c>
      <c r="V1094" s="27" t="s">
        <v>183</v>
      </c>
      <c r="W1094" s="20" t="s">
        <v>58</v>
      </c>
      <c r="X1094" s="20" t="s">
        <v>59</v>
      </c>
      <c r="Y1094" s="20" t="s">
        <v>59</v>
      </c>
      <c r="Z1094" s="20" t="s">
        <v>167</v>
      </c>
      <c r="AA1094" s="20" t="s">
        <v>168</v>
      </c>
      <c r="AB1094" s="20" t="s">
        <v>96</v>
      </c>
      <c r="AC1094" s="28">
        <v>369.83</v>
      </c>
      <c r="AD1094" s="28">
        <f>SUM(BASE[[#This Row],[MONTO DE RENTA ]]*1.16)</f>
        <v>429.00279999999998</v>
      </c>
      <c r="AE1094" s="28" t="s">
        <v>63</v>
      </c>
      <c r="AF1094" s="28">
        <v>369.82758620689657</v>
      </c>
      <c r="AG1094" s="28">
        <v>429</v>
      </c>
      <c r="AI1094" s="63">
        <v>44937</v>
      </c>
      <c r="AJ1094" s="84">
        <v>46054</v>
      </c>
      <c r="AK109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94" s="30"/>
      <c r="AN1094" s="20" t="s">
        <v>99</v>
      </c>
      <c r="AP1094" s="20" t="s">
        <v>84</v>
      </c>
      <c r="AQ1094" s="20" t="s">
        <v>100</v>
      </c>
    </row>
    <row r="1095" spans="1:43" ht="16">
      <c r="A1095" s="20">
        <v>8672473959</v>
      </c>
      <c r="B1095" s="21">
        <v>30053</v>
      </c>
      <c r="C1095" s="20" t="s">
        <v>4905</v>
      </c>
      <c r="D1095" s="20" t="s">
        <v>4906</v>
      </c>
      <c r="E1095" s="20" t="s">
        <v>973</v>
      </c>
      <c r="F1095" s="20" t="s">
        <v>70</v>
      </c>
      <c r="G1095" s="20" t="s">
        <v>70</v>
      </c>
      <c r="H1095" s="20" t="s">
        <v>48</v>
      </c>
      <c r="I1095" s="20" t="s">
        <v>70</v>
      </c>
      <c r="J1095" s="145" t="s">
        <v>4907</v>
      </c>
      <c r="K1095" s="22" t="s">
        <v>4907</v>
      </c>
      <c r="L1095" s="23" t="s">
        <v>146</v>
      </c>
      <c r="M1095" s="24" t="s">
        <v>7739</v>
      </c>
      <c r="N1095" s="23">
        <v>18796000</v>
      </c>
      <c r="O1095" s="25" t="s">
        <v>74</v>
      </c>
      <c r="P1095" s="25" t="s">
        <v>53</v>
      </c>
      <c r="Q1095" s="20" t="s">
        <v>4947</v>
      </c>
      <c r="R1095" s="20">
        <v>45017371</v>
      </c>
      <c r="S1095" s="25" t="s">
        <v>4948</v>
      </c>
      <c r="T1095" s="81" t="s">
        <v>57</v>
      </c>
      <c r="U1095" s="23">
        <v>358366320438164</v>
      </c>
      <c r="V1095" s="27" t="s">
        <v>4949</v>
      </c>
      <c r="W1095" s="20" t="s">
        <v>79</v>
      </c>
      <c r="X1095" s="20" t="s">
        <v>79</v>
      </c>
      <c r="Y1095" s="20" t="s">
        <v>79</v>
      </c>
      <c r="Z1095" s="20" t="s">
        <v>167</v>
      </c>
      <c r="AA1095" s="20" t="s">
        <v>168</v>
      </c>
      <c r="AB1095" s="20" t="s">
        <v>96</v>
      </c>
      <c r="AC1095" s="28">
        <v>369.83</v>
      </c>
      <c r="AD1095" s="28">
        <f>SUM(BASE[[#This Row],[MONTO DE RENTA ]]*1.16)</f>
        <v>429.00279999999998</v>
      </c>
      <c r="AE1095" s="28" t="s">
        <v>97</v>
      </c>
      <c r="AF1095" s="28">
        <v>473.27586206896552</v>
      </c>
      <c r="AG1095" s="28">
        <v>549</v>
      </c>
      <c r="AH1095" s="22" t="s">
        <v>4950</v>
      </c>
      <c r="AI1095" s="63">
        <v>45412</v>
      </c>
      <c r="AJ1095" s="63">
        <v>46440</v>
      </c>
      <c r="AK10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95" s="30"/>
      <c r="AN1095" s="20" t="s">
        <v>65</v>
      </c>
      <c r="AP1095" s="20" t="s">
        <v>66</v>
      </c>
    </row>
    <row r="1096" spans="1:43" ht="16">
      <c r="A1096" s="20">
        <v>8672474793</v>
      </c>
      <c r="B1096" s="21">
        <v>30053</v>
      </c>
      <c r="C1096" s="20" t="s">
        <v>4905</v>
      </c>
      <c r="D1096" s="20" t="s">
        <v>4906</v>
      </c>
      <c r="E1096" s="20" t="s">
        <v>973</v>
      </c>
      <c r="F1096" s="20" t="s">
        <v>70</v>
      </c>
      <c r="G1096" s="20" t="s">
        <v>70</v>
      </c>
      <c r="H1096" s="20" t="s">
        <v>48</v>
      </c>
      <c r="I1096" s="20" t="s">
        <v>70</v>
      </c>
      <c r="J1096" s="54" t="s">
        <v>4907</v>
      </c>
      <c r="K1096" s="54" t="s">
        <v>4907</v>
      </c>
      <c r="L1096" s="23" t="s">
        <v>146</v>
      </c>
      <c r="M1096" s="24" t="s">
        <v>7739</v>
      </c>
      <c r="N1096" s="23">
        <v>18796000</v>
      </c>
      <c r="O1096" s="25" t="s">
        <v>74</v>
      </c>
      <c r="P1096" s="25" t="s">
        <v>53</v>
      </c>
      <c r="Q1096" s="20" t="s">
        <v>4951</v>
      </c>
      <c r="R1096" s="20">
        <v>44918819</v>
      </c>
      <c r="S1096" s="25" t="s">
        <v>4952</v>
      </c>
      <c r="T1096" s="81" t="s">
        <v>57</v>
      </c>
      <c r="U1096" s="23">
        <v>358366320438164</v>
      </c>
      <c r="V1096" s="27" t="s">
        <v>4949</v>
      </c>
      <c r="W1096" s="20" t="s">
        <v>79</v>
      </c>
      <c r="X1096" s="20" t="s">
        <v>79</v>
      </c>
      <c r="Y1096" s="20" t="s">
        <v>79</v>
      </c>
      <c r="Z1096" s="20" t="s">
        <v>167</v>
      </c>
      <c r="AA1096" s="20" t="s">
        <v>168</v>
      </c>
      <c r="AB1096" s="20" t="s">
        <v>96</v>
      </c>
      <c r="AC1096" s="28">
        <v>369.83</v>
      </c>
      <c r="AD1096" s="28">
        <f>SUM(BASE[[#This Row],[MONTO DE RENTA ]]*1.16)</f>
        <v>429.00279999999998</v>
      </c>
      <c r="AE1096" s="28" t="s">
        <v>63</v>
      </c>
      <c r="AF1096" s="28">
        <v>369.82758620689657</v>
      </c>
      <c r="AG1096" s="28">
        <v>429</v>
      </c>
      <c r="AH1096" s="22" t="s">
        <v>4950</v>
      </c>
      <c r="AI1096" s="29">
        <v>45404</v>
      </c>
      <c r="AJ1096" s="29">
        <v>46440</v>
      </c>
      <c r="AK10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96" s="30"/>
      <c r="AN1096" s="20" t="s">
        <v>65</v>
      </c>
      <c r="AP1096" s="20" t="s">
        <v>84</v>
      </c>
    </row>
    <row r="1097" spans="1:43" ht="16">
      <c r="A1097" s="20">
        <v>8441464077</v>
      </c>
      <c r="B1097" s="21">
        <v>290049</v>
      </c>
      <c r="C1097" s="20" t="s">
        <v>537</v>
      </c>
      <c r="D1097" s="20" t="s">
        <v>357</v>
      </c>
      <c r="E1097" s="20" t="s">
        <v>4953</v>
      </c>
      <c r="F1097" s="20" t="s">
        <v>418</v>
      </c>
      <c r="G1097" s="20" t="s">
        <v>47</v>
      </c>
      <c r="H1097" s="20" t="s">
        <v>48</v>
      </c>
      <c r="I1097" s="20" t="s">
        <v>418</v>
      </c>
      <c r="J1097" s="22" t="s">
        <v>4954</v>
      </c>
      <c r="K1097" s="22" t="s">
        <v>4954</v>
      </c>
      <c r="L1097" s="23" t="s">
        <v>4955</v>
      </c>
      <c r="M1097" s="24" t="s">
        <v>7739</v>
      </c>
      <c r="N1097" s="23">
        <v>18797000</v>
      </c>
      <c r="O1097" s="25" t="s">
        <v>74</v>
      </c>
      <c r="P1097" s="25" t="s">
        <v>53</v>
      </c>
      <c r="Q1097" s="20" t="s">
        <v>4956</v>
      </c>
      <c r="R1097" s="20">
        <v>43141281</v>
      </c>
      <c r="S1097" s="25" t="s">
        <v>4957</v>
      </c>
      <c r="T1097" s="26" t="s">
        <v>57</v>
      </c>
      <c r="U1097" s="23">
        <v>860900062337084</v>
      </c>
      <c r="V1097" s="27" t="s">
        <v>57</v>
      </c>
      <c r="W1097" s="20" t="s">
        <v>58</v>
      </c>
      <c r="X1097" s="20" t="s">
        <v>59</v>
      </c>
      <c r="Y1097" s="20" t="s">
        <v>59</v>
      </c>
      <c r="Z1097" s="20" t="s">
        <v>167</v>
      </c>
      <c r="AA1097" s="20" t="s">
        <v>168</v>
      </c>
      <c r="AB1097" s="20" t="s">
        <v>96</v>
      </c>
      <c r="AC1097" s="28">
        <v>369.83</v>
      </c>
      <c r="AD1097" s="28">
        <f>SUM(BASE[[#This Row],[MONTO DE RENTA ]]*1.16)</f>
        <v>429.00279999999998</v>
      </c>
      <c r="AE1097" s="28" t="s">
        <v>63</v>
      </c>
      <c r="AF1097" s="28">
        <v>369.82758620689657</v>
      </c>
      <c r="AG1097" s="28">
        <v>429</v>
      </c>
      <c r="AH1097" s="22" t="s">
        <v>64</v>
      </c>
      <c r="AI1097" s="63">
        <v>45713</v>
      </c>
      <c r="AJ1097" s="63">
        <v>46433</v>
      </c>
      <c r="AK10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097" s="30"/>
      <c r="AN1097" s="20" t="s">
        <v>65</v>
      </c>
      <c r="AP1097" s="20" t="s">
        <v>84</v>
      </c>
    </row>
    <row r="1098" spans="1:43" ht="16">
      <c r="A1098" s="20">
        <v>8673090275</v>
      </c>
      <c r="B1098" s="49">
        <v>290049</v>
      </c>
      <c r="C1098" s="20" t="s">
        <v>537</v>
      </c>
      <c r="D1098" s="20" t="s">
        <v>357</v>
      </c>
      <c r="E1098" s="20" t="s">
        <v>4953</v>
      </c>
      <c r="F1098" s="20" t="s">
        <v>418</v>
      </c>
      <c r="G1098" s="20" t="s">
        <v>418</v>
      </c>
      <c r="H1098" s="20" t="s">
        <v>48</v>
      </c>
      <c r="I1098" s="20" t="s">
        <v>418</v>
      </c>
      <c r="J1098" s="22" t="s">
        <v>4958</v>
      </c>
      <c r="K1098" s="22" t="s">
        <v>4958</v>
      </c>
      <c r="L1098" s="23" t="s">
        <v>4955</v>
      </c>
      <c r="M1098" s="24" t="s">
        <v>7739</v>
      </c>
      <c r="N1098" s="23">
        <v>18797000</v>
      </c>
      <c r="O1098" s="25" t="s">
        <v>74</v>
      </c>
      <c r="P1098" s="25" t="s">
        <v>53</v>
      </c>
      <c r="Q1098" s="20" t="s">
        <v>4959</v>
      </c>
      <c r="R1098" s="20">
        <v>43090235</v>
      </c>
      <c r="S1098" s="25" t="s">
        <v>55</v>
      </c>
      <c r="T1098" s="26" t="s">
        <v>56</v>
      </c>
      <c r="U1098" s="23">
        <v>866223056218093</v>
      </c>
      <c r="V1098" s="27" t="s">
        <v>183</v>
      </c>
      <c r="W1098" s="20" t="s">
        <v>649</v>
      </c>
      <c r="X1098" s="20" t="s">
        <v>650</v>
      </c>
      <c r="Y1098" s="20" t="s">
        <v>650</v>
      </c>
      <c r="Z1098" s="20" t="s">
        <v>60</v>
      </c>
      <c r="AA1098" s="20" t="s">
        <v>61</v>
      </c>
      <c r="AB1098" s="20" t="s">
        <v>96</v>
      </c>
      <c r="AC1098" s="28">
        <v>369.83</v>
      </c>
      <c r="AD1098" s="28">
        <f>SUM(BASE[[#This Row],[MONTO DE RENTA ]]*1.16)</f>
        <v>429.00279999999998</v>
      </c>
      <c r="AE1098" s="28" t="s">
        <v>63</v>
      </c>
      <c r="AF1098" s="28">
        <v>369.82758620689657</v>
      </c>
      <c r="AG1098" s="28">
        <v>429</v>
      </c>
      <c r="AI1098" s="29">
        <v>44937</v>
      </c>
      <c r="AJ1098" s="50">
        <v>46043</v>
      </c>
      <c r="AK10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98" s="30"/>
      <c r="AN1098" s="20" t="s">
        <v>99</v>
      </c>
      <c r="AP1098" s="20" t="s">
        <v>84</v>
      </c>
      <c r="AQ1098" s="20" t="s">
        <v>100</v>
      </c>
    </row>
    <row r="1099" spans="1:43" ht="16">
      <c r="A1099" s="20">
        <v>8442276701</v>
      </c>
      <c r="B1099" s="235">
        <v>0</v>
      </c>
      <c r="C1099" s="20" t="s">
        <v>1653</v>
      </c>
      <c r="D1099" s="20" t="s">
        <v>1654</v>
      </c>
      <c r="E1099" s="20" t="s">
        <v>1655</v>
      </c>
      <c r="F1099" s="20" t="s">
        <v>1656</v>
      </c>
      <c r="G1099" s="20" t="s">
        <v>122</v>
      </c>
      <c r="H1099" s="20" t="s">
        <v>1657</v>
      </c>
      <c r="I1099" s="20" t="s">
        <v>1658</v>
      </c>
      <c r="J1099" s="22" t="s">
        <v>4960</v>
      </c>
      <c r="K1099" s="54" t="s">
        <v>4961</v>
      </c>
      <c r="L1099" s="23" t="s">
        <v>4955</v>
      </c>
      <c r="M1099" s="24" t="s">
        <v>7739</v>
      </c>
      <c r="N1099" s="23" t="s">
        <v>1661</v>
      </c>
      <c r="O1099" s="25" t="s">
        <v>74</v>
      </c>
      <c r="P1099" s="25" t="s">
        <v>3857</v>
      </c>
      <c r="Q1099" s="20" t="s">
        <v>4962</v>
      </c>
      <c r="R1099" s="20">
        <v>43514796</v>
      </c>
      <c r="S1099" s="25" t="s">
        <v>55</v>
      </c>
      <c r="T1099" s="44" t="s">
        <v>56</v>
      </c>
      <c r="U1099" s="23" t="s">
        <v>193</v>
      </c>
      <c r="V1099" s="27" t="s">
        <v>183</v>
      </c>
      <c r="W1099" s="20" t="s">
        <v>194</v>
      </c>
      <c r="X1099" s="20" t="s">
        <v>194</v>
      </c>
      <c r="Y1099" s="20" t="s">
        <v>194</v>
      </c>
      <c r="Z1099" s="20" t="s">
        <v>60</v>
      </c>
      <c r="AA1099" s="20" t="s">
        <v>61</v>
      </c>
      <c r="AB1099" s="20" t="s">
        <v>96</v>
      </c>
      <c r="AC1099" s="28">
        <v>369.83</v>
      </c>
      <c r="AD1099" s="28">
        <f>SUM(BASE[[#This Row],[MONTO DE RENTA ]]*1.16)</f>
        <v>429.00279999999998</v>
      </c>
      <c r="AE1099" s="28" t="s">
        <v>63</v>
      </c>
      <c r="AF1099" s="28">
        <v>369.82758620689657</v>
      </c>
      <c r="AG1099" s="28">
        <v>429</v>
      </c>
      <c r="AI1099" s="63">
        <v>44937</v>
      </c>
      <c r="AJ1099" s="73">
        <v>46043</v>
      </c>
      <c r="AK109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099" s="30" t="s">
        <v>1344</v>
      </c>
      <c r="AN1099" s="20" t="s">
        <v>99</v>
      </c>
      <c r="AP1099" s="20" t="s">
        <v>84</v>
      </c>
      <c r="AQ1099" s="20" t="s">
        <v>100</v>
      </c>
    </row>
    <row r="1100" spans="1:43" ht="16">
      <c r="A1100" s="20">
        <v>8182540279</v>
      </c>
      <c r="B1100" s="49">
        <v>970219</v>
      </c>
      <c r="C1100" s="20" t="s">
        <v>4963</v>
      </c>
      <c r="D1100" s="20" t="s">
        <v>598</v>
      </c>
      <c r="E1100" s="20" t="s">
        <v>247</v>
      </c>
      <c r="F1100" s="20" t="s">
        <v>248</v>
      </c>
      <c r="G1100" s="20" t="s">
        <v>248</v>
      </c>
      <c r="H1100" s="20" t="s">
        <v>48</v>
      </c>
      <c r="I1100" s="20" t="s">
        <v>248</v>
      </c>
      <c r="J1100" s="22" t="s">
        <v>4964</v>
      </c>
      <c r="K1100" s="22" t="s">
        <v>4964</v>
      </c>
      <c r="L1100" s="23" t="s">
        <v>4955</v>
      </c>
      <c r="M1100" s="24" t="s">
        <v>7739</v>
      </c>
      <c r="N1100" s="23">
        <v>18797000</v>
      </c>
      <c r="O1100" s="25" t="s">
        <v>74</v>
      </c>
      <c r="P1100" s="25" t="s">
        <v>53</v>
      </c>
      <c r="Q1100" s="20" t="s">
        <v>4965</v>
      </c>
      <c r="R1100" s="20">
        <v>41181842</v>
      </c>
      <c r="S1100" s="25" t="s">
        <v>55</v>
      </c>
      <c r="T1100" s="26" t="s">
        <v>56</v>
      </c>
      <c r="U1100" s="23">
        <v>865356065666927</v>
      </c>
      <c r="V1100" s="27" t="s">
        <v>183</v>
      </c>
      <c r="W1100" s="20" t="s">
        <v>129</v>
      </c>
      <c r="X1100" s="20" t="s">
        <v>130</v>
      </c>
      <c r="Y1100" s="20" t="s">
        <v>130</v>
      </c>
      <c r="Z1100" s="20" t="s">
        <v>60</v>
      </c>
      <c r="AA1100" s="20" t="s">
        <v>61</v>
      </c>
      <c r="AB1100" s="20" t="s">
        <v>96</v>
      </c>
      <c r="AC1100" s="28">
        <v>369.83</v>
      </c>
      <c r="AD1100" s="28">
        <f>SUM(BASE[[#This Row],[MONTO DE RENTA ]]*1.16)</f>
        <v>429.00279999999998</v>
      </c>
      <c r="AE1100" s="28" t="s">
        <v>63</v>
      </c>
      <c r="AF1100" s="28">
        <v>369.82758620689657</v>
      </c>
      <c r="AG1100" s="28">
        <v>429</v>
      </c>
      <c r="AI1100" s="63">
        <v>44937</v>
      </c>
      <c r="AJ1100" s="73">
        <v>46043</v>
      </c>
      <c r="AK11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00" s="30"/>
      <c r="AN1100" s="20" t="s">
        <v>99</v>
      </c>
      <c r="AP1100" s="20" t="s">
        <v>84</v>
      </c>
      <c r="AQ1100" s="20" t="s">
        <v>100</v>
      </c>
    </row>
    <row r="1101" spans="1:43" ht="16">
      <c r="A1101" s="20">
        <v>8441460579</v>
      </c>
      <c r="B1101" s="21">
        <v>1085214</v>
      </c>
      <c r="C1101" s="20" t="s">
        <v>4966</v>
      </c>
      <c r="D1101" s="20" t="s">
        <v>1068</v>
      </c>
      <c r="E1101" s="20" t="s">
        <v>3010</v>
      </c>
      <c r="F1101" s="20" t="s">
        <v>104</v>
      </c>
      <c r="G1101" s="20" t="s">
        <v>104</v>
      </c>
      <c r="H1101" s="20" t="s">
        <v>48</v>
      </c>
      <c r="I1101" s="20" t="s">
        <v>104</v>
      </c>
      <c r="J1101" s="32" t="s">
        <v>4967</v>
      </c>
      <c r="K1101" s="32" t="s">
        <v>4967</v>
      </c>
      <c r="L1101" s="23" t="s">
        <v>4955</v>
      </c>
      <c r="M1101" s="24" t="s">
        <v>7739</v>
      </c>
      <c r="N1101" s="23">
        <v>18797000</v>
      </c>
      <c r="O1101" s="25" t="s">
        <v>74</v>
      </c>
      <c r="P1101" s="25" t="s">
        <v>53</v>
      </c>
      <c r="Q1101" s="20" t="s">
        <v>4968</v>
      </c>
      <c r="R1101" s="20">
        <v>43090205</v>
      </c>
      <c r="S1101" s="25" t="s">
        <v>4969</v>
      </c>
      <c r="T1101" s="26" t="s">
        <v>57</v>
      </c>
      <c r="U1101" s="23">
        <v>860478062096695</v>
      </c>
      <c r="V1101" s="45" t="s">
        <v>110</v>
      </c>
      <c r="W1101" s="20" t="s">
        <v>302</v>
      </c>
      <c r="X1101" s="20" t="s">
        <v>303</v>
      </c>
      <c r="Y1101" s="20" t="s">
        <v>303</v>
      </c>
      <c r="Z1101" s="20" t="s">
        <v>80</v>
      </c>
      <c r="AA1101" s="20" t="s">
        <v>81</v>
      </c>
      <c r="AB1101" s="20" t="s">
        <v>82</v>
      </c>
      <c r="AC1101" s="28">
        <v>559.48</v>
      </c>
      <c r="AD1101" s="28">
        <f>SUM(BASE[[#This Row],[MONTO DE RENTA ]]*1.16)</f>
        <v>648.99680000000001</v>
      </c>
      <c r="AE1101" s="28" t="s">
        <v>83</v>
      </c>
      <c r="AF1101" s="28">
        <v>559.48275862068965</v>
      </c>
      <c r="AG1101" s="28">
        <v>649</v>
      </c>
      <c r="AH1101" s="22" t="s">
        <v>64</v>
      </c>
      <c r="AI1101" s="63">
        <v>45713</v>
      </c>
      <c r="AJ1101" s="63">
        <v>46433</v>
      </c>
      <c r="AK11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1" s="30"/>
      <c r="AN1101" s="20" t="s">
        <v>65</v>
      </c>
      <c r="AP1101" s="20" t="s">
        <v>84</v>
      </c>
    </row>
    <row r="1102" spans="1:43" ht="16">
      <c r="A1102" s="20">
        <v>8441466246</v>
      </c>
      <c r="B1102" s="21">
        <v>1085374</v>
      </c>
      <c r="C1102" s="20" t="s">
        <v>4970</v>
      </c>
      <c r="D1102" s="20" t="s">
        <v>3284</v>
      </c>
      <c r="E1102" s="20" t="s">
        <v>358</v>
      </c>
      <c r="F1102" s="20" t="s">
        <v>104</v>
      </c>
      <c r="G1102" s="20" t="s">
        <v>104</v>
      </c>
      <c r="H1102" s="20" t="s">
        <v>48</v>
      </c>
      <c r="I1102" s="20" t="s">
        <v>104</v>
      </c>
      <c r="J1102" s="32" t="s">
        <v>4967</v>
      </c>
      <c r="K1102" s="32" t="s">
        <v>4967</v>
      </c>
      <c r="L1102" s="23" t="s">
        <v>4955</v>
      </c>
      <c r="M1102" s="24" t="s">
        <v>7739</v>
      </c>
      <c r="N1102" s="23">
        <v>18797000</v>
      </c>
      <c r="O1102" s="25" t="s">
        <v>74</v>
      </c>
      <c r="P1102" s="25" t="s">
        <v>53</v>
      </c>
      <c r="Q1102" s="20" t="s">
        <v>4971</v>
      </c>
      <c r="R1102" s="20">
        <v>43090263</v>
      </c>
      <c r="S1102" s="25" t="s">
        <v>4972</v>
      </c>
      <c r="T1102" s="26" t="s">
        <v>57</v>
      </c>
      <c r="U1102" s="23">
        <v>860478062096695</v>
      </c>
      <c r="V1102" s="45" t="s">
        <v>110</v>
      </c>
      <c r="W1102" s="20" t="s">
        <v>302</v>
      </c>
      <c r="X1102" s="20" t="s">
        <v>303</v>
      </c>
      <c r="Y1102" s="20" t="s">
        <v>303</v>
      </c>
      <c r="Z1102" s="20" t="s">
        <v>80</v>
      </c>
      <c r="AA1102" s="20" t="s">
        <v>81</v>
      </c>
      <c r="AB1102" s="20" t="s">
        <v>82</v>
      </c>
      <c r="AC1102" s="28">
        <v>559.48</v>
      </c>
      <c r="AD1102" s="28">
        <f>SUM(BASE[[#This Row],[MONTO DE RENTA ]]*1.16)</f>
        <v>648.99680000000001</v>
      </c>
      <c r="AE1102" s="28" t="s">
        <v>83</v>
      </c>
      <c r="AF1102" s="28">
        <v>559.48275862068965</v>
      </c>
      <c r="AG1102" s="28">
        <v>649</v>
      </c>
      <c r="AH1102" s="22" t="s">
        <v>64</v>
      </c>
      <c r="AI1102" s="63">
        <v>45713</v>
      </c>
      <c r="AJ1102" s="63">
        <v>46433</v>
      </c>
      <c r="AK11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2" s="30"/>
      <c r="AN1102" s="20" t="s">
        <v>65</v>
      </c>
      <c r="AP1102" s="20" t="s">
        <v>84</v>
      </c>
    </row>
    <row r="1103" spans="1:43" ht="16">
      <c r="A1103" s="87">
        <v>3222451478</v>
      </c>
      <c r="B1103" s="235">
        <v>0</v>
      </c>
      <c r="C1103" s="20" t="s">
        <v>1653</v>
      </c>
      <c r="D1103" s="20" t="s">
        <v>1654</v>
      </c>
      <c r="E1103" s="20" t="s">
        <v>1655</v>
      </c>
      <c r="F1103" s="20" t="s">
        <v>1656</v>
      </c>
      <c r="G1103" s="20" t="s">
        <v>1656</v>
      </c>
      <c r="H1103" s="20" t="s">
        <v>1657</v>
      </c>
      <c r="I1103" s="20" t="s">
        <v>1658</v>
      </c>
      <c r="J1103" s="22" t="s">
        <v>4973</v>
      </c>
      <c r="K1103" s="22" t="s">
        <v>4973</v>
      </c>
      <c r="L1103" s="23" t="s">
        <v>4786</v>
      </c>
      <c r="M1103" s="24" t="s">
        <v>7746</v>
      </c>
      <c r="N1103" s="23" t="s">
        <v>1661</v>
      </c>
      <c r="O1103" s="25" t="s">
        <v>677</v>
      </c>
      <c r="P1103" s="25" t="s">
        <v>3857</v>
      </c>
      <c r="Q1103" s="20" t="s">
        <v>4974</v>
      </c>
      <c r="R1103" s="20">
        <v>55776041</v>
      </c>
      <c r="S1103" s="25" t="s">
        <v>55</v>
      </c>
      <c r="T1103" s="26" t="s">
        <v>56</v>
      </c>
      <c r="U1103" s="23" t="s">
        <v>193</v>
      </c>
      <c r="V1103" s="27" t="s">
        <v>57</v>
      </c>
      <c r="W1103" s="20" t="s">
        <v>194</v>
      </c>
      <c r="X1103" s="20" t="s">
        <v>194</v>
      </c>
      <c r="Y1103" s="20" t="s">
        <v>194</v>
      </c>
      <c r="Z1103" s="20" t="s">
        <v>113</v>
      </c>
      <c r="AA1103" s="20" t="s">
        <v>114</v>
      </c>
      <c r="AB1103" s="20" t="s">
        <v>244</v>
      </c>
      <c r="AC1103" s="28">
        <v>473.28</v>
      </c>
      <c r="AD1103" s="28">
        <f>SUM(BASE[[#This Row],[MONTO DE RENTA ]]*1.16)</f>
        <v>549.00479999999993</v>
      </c>
      <c r="AE1103" s="28" t="s">
        <v>63</v>
      </c>
      <c r="AF1103" s="28">
        <v>369.82758620689657</v>
      </c>
      <c r="AG1103" s="28">
        <v>429</v>
      </c>
      <c r="AI1103" s="63">
        <v>44937</v>
      </c>
      <c r="AJ1103" s="73">
        <v>46773</v>
      </c>
      <c r="AK1103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103" s="30"/>
      <c r="AN1103" s="20" t="s">
        <v>65</v>
      </c>
      <c r="AP1103" s="20" t="s">
        <v>118</v>
      </c>
    </row>
    <row r="1104" spans="1:43" s="171" customFormat="1" ht="16">
      <c r="A1104" s="20">
        <v>8442195182</v>
      </c>
      <c r="B1104" s="86">
        <v>380182</v>
      </c>
      <c r="C1104" s="20" t="s">
        <v>170</v>
      </c>
      <c r="D1104" s="20" t="s">
        <v>613</v>
      </c>
      <c r="E1104" s="20" t="s">
        <v>172</v>
      </c>
      <c r="F1104" s="20" t="s">
        <v>70</v>
      </c>
      <c r="G1104" s="20" t="s">
        <v>70</v>
      </c>
      <c r="H1104" s="20" t="s">
        <v>48</v>
      </c>
      <c r="I1104" s="20" t="s">
        <v>70</v>
      </c>
      <c r="J1104" s="22" t="s">
        <v>4975</v>
      </c>
      <c r="K1104" s="22" t="s">
        <v>4975</v>
      </c>
      <c r="L1104" s="23" t="s">
        <v>4955</v>
      </c>
      <c r="M1104" s="24" t="s">
        <v>7739</v>
      </c>
      <c r="N1104" s="23">
        <v>18797000</v>
      </c>
      <c r="O1104" s="25" t="s">
        <v>74</v>
      </c>
      <c r="P1104" s="25" t="s">
        <v>53</v>
      </c>
      <c r="Q1104" s="20" t="s">
        <v>4976</v>
      </c>
      <c r="R1104" s="20">
        <v>42977419</v>
      </c>
      <c r="S1104" s="25" t="s">
        <v>55</v>
      </c>
      <c r="T1104" s="26" t="s">
        <v>56</v>
      </c>
      <c r="U1104" s="23">
        <v>357894929785363</v>
      </c>
      <c r="V1104" s="27" t="s">
        <v>78</v>
      </c>
      <c r="W1104" s="20" t="s">
        <v>95</v>
      </c>
      <c r="X1104" s="20" t="s">
        <v>95</v>
      </c>
      <c r="Y1104" s="20" t="s">
        <v>95</v>
      </c>
      <c r="Z1104" s="20" t="s">
        <v>60</v>
      </c>
      <c r="AA1104" s="20" t="s">
        <v>61</v>
      </c>
      <c r="AB1104" s="20" t="s">
        <v>82</v>
      </c>
      <c r="AC1104" s="28">
        <v>559.48</v>
      </c>
      <c r="AD1104" s="28">
        <f>SUM(BASE[[#This Row],[MONTO DE RENTA ]]*1.16)</f>
        <v>648.99680000000001</v>
      </c>
      <c r="AE1104" s="28" t="s">
        <v>83</v>
      </c>
      <c r="AF1104" s="28">
        <v>559.48275862068965</v>
      </c>
      <c r="AG1104" s="28">
        <v>649</v>
      </c>
      <c r="AH1104" s="22"/>
      <c r="AI1104" s="29">
        <v>44937</v>
      </c>
      <c r="AJ1104" s="50">
        <v>46043</v>
      </c>
      <c r="AK110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104" s="20"/>
      <c r="AM1104" s="30"/>
      <c r="AN1104" s="20" t="s">
        <v>99</v>
      </c>
      <c r="AO1104" s="20"/>
      <c r="AP1104" s="20" t="s">
        <v>84</v>
      </c>
      <c r="AQ1104" s="20" t="s">
        <v>100</v>
      </c>
    </row>
    <row r="1105" spans="1:43" ht="16">
      <c r="A1105" s="20">
        <v>5518814131</v>
      </c>
      <c r="B1105" s="21">
        <v>980075</v>
      </c>
      <c r="C1105" s="20" t="s">
        <v>1249</v>
      </c>
      <c r="D1105" s="20" t="s">
        <v>172</v>
      </c>
      <c r="E1105" s="20" t="s">
        <v>657</v>
      </c>
      <c r="F1105" s="20" t="s">
        <v>418</v>
      </c>
      <c r="G1105" s="20" t="s">
        <v>47</v>
      </c>
      <c r="H1105" s="20" t="s">
        <v>48</v>
      </c>
      <c r="I1105" s="20" t="s">
        <v>418</v>
      </c>
      <c r="J1105" s="22" t="s">
        <v>4977</v>
      </c>
      <c r="K1105" s="22" t="s">
        <v>4977</v>
      </c>
      <c r="L1105" s="23" t="s">
        <v>4978</v>
      </c>
      <c r="M1105" s="24" t="s">
        <v>7753</v>
      </c>
      <c r="N1105" s="23">
        <v>18798000</v>
      </c>
      <c r="O1105" s="25" t="s">
        <v>52</v>
      </c>
      <c r="P1105" s="25" t="s">
        <v>53</v>
      </c>
      <c r="Q1105" s="20" t="s">
        <v>4979</v>
      </c>
      <c r="R1105" s="20">
        <v>90182382</v>
      </c>
      <c r="S1105" s="25" t="s">
        <v>2576</v>
      </c>
      <c r="T1105" s="65" t="s">
        <v>57</v>
      </c>
      <c r="U1105" s="23">
        <v>865356065672198</v>
      </c>
      <c r="V1105" s="27" t="s">
        <v>183</v>
      </c>
      <c r="W1105" s="20" t="s">
        <v>129</v>
      </c>
      <c r="X1105" s="20" t="s">
        <v>130</v>
      </c>
      <c r="Y1105" s="20" t="s">
        <v>130</v>
      </c>
      <c r="Z1105" s="20" t="s">
        <v>131</v>
      </c>
      <c r="AA1105" s="20" t="s">
        <v>132</v>
      </c>
      <c r="AB1105" s="20" t="s">
        <v>96</v>
      </c>
      <c r="AC1105" s="28">
        <v>369.83</v>
      </c>
      <c r="AD1105" s="28">
        <f>SUM(BASE[[#This Row],[MONTO DE RENTA ]]*1.16)</f>
        <v>429.00279999999998</v>
      </c>
      <c r="AE1105" s="28" t="s">
        <v>63</v>
      </c>
      <c r="AF1105" s="28">
        <v>369.82758620689657</v>
      </c>
      <c r="AG1105" s="28">
        <v>429</v>
      </c>
      <c r="AH1105" s="22" t="s">
        <v>140</v>
      </c>
      <c r="AI1105" s="63">
        <v>45552</v>
      </c>
      <c r="AJ1105" s="63">
        <v>46040</v>
      </c>
      <c r="AK11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05" s="30"/>
      <c r="AN1105" s="20" t="s">
        <v>99</v>
      </c>
      <c r="AP1105" s="20" t="s">
        <v>84</v>
      </c>
      <c r="AQ1105" s="20" t="s">
        <v>100</v>
      </c>
    </row>
    <row r="1106" spans="1:43" ht="16">
      <c r="A1106" s="20">
        <v>5518817182</v>
      </c>
      <c r="B1106" s="21">
        <v>997901</v>
      </c>
      <c r="C1106" s="20" t="s">
        <v>1784</v>
      </c>
      <c r="D1106" s="20" t="s">
        <v>519</v>
      </c>
      <c r="E1106" s="20" t="s">
        <v>4980</v>
      </c>
      <c r="F1106" s="20" t="s">
        <v>359</v>
      </c>
      <c r="G1106" s="20" t="s">
        <v>248</v>
      </c>
      <c r="H1106" s="20" t="s">
        <v>48</v>
      </c>
      <c r="I1106" s="20" t="s">
        <v>359</v>
      </c>
      <c r="J1106" s="22" t="s">
        <v>4981</v>
      </c>
      <c r="K1106" s="22" t="s">
        <v>4981</v>
      </c>
      <c r="L1106" s="23" t="s">
        <v>4978</v>
      </c>
      <c r="M1106" s="24" t="s">
        <v>7753</v>
      </c>
      <c r="N1106" s="23">
        <v>18798000</v>
      </c>
      <c r="O1106" s="25" t="s">
        <v>52</v>
      </c>
      <c r="P1106" s="25" t="s">
        <v>53</v>
      </c>
      <c r="Q1106" s="20" t="s">
        <v>4982</v>
      </c>
      <c r="R1106" s="20">
        <v>90136553</v>
      </c>
      <c r="S1106" s="25" t="s">
        <v>4983</v>
      </c>
      <c r="T1106" s="26" t="s">
        <v>57</v>
      </c>
      <c r="U1106" s="23">
        <v>860900062269782</v>
      </c>
      <c r="V1106" s="27" t="s">
        <v>57</v>
      </c>
      <c r="W1106" s="20" t="s">
        <v>58</v>
      </c>
      <c r="X1106" s="20" t="s">
        <v>59</v>
      </c>
      <c r="Y1106" s="20" t="s">
        <v>59</v>
      </c>
      <c r="Z1106" s="20" t="s">
        <v>131</v>
      </c>
      <c r="AA1106" s="20" t="s">
        <v>132</v>
      </c>
      <c r="AB1106" s="20" t="s">
        <v>96</v>
      </c>
      <c r="AC1106" s="28">
        <v>369.83</v>
      </c>
      <c r="AD1106" s="28">
        <f>SUM(BASE[[#This Row],[MONTO DE RENTA ]]*1.16)</f>
        <v>429.00279999999998</v>
      </c>
      <c r="AE1106" s="28" t="s">
        <v>63</v>
      </c>
      <c r="AF1106" s="28">
        <v>369.82758620689657</v>
      </c>
      <c r="AG1106" s="28">
        <v>429</v>
      </c>
      <c r="AH1106" s="22" t="s">
        <v>64</v>
      </c>
      <c r="AI1106" s="63">
        <v>45703</v>
      </c>
      <c r="AJ1106" s="63">
        <v>46433</v>
      </c>
      <c r="AK11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6" s="30"/>
      <c r="AN1106" s="20" t="s">
        <v>65</v>
      </c>
      <c r="AP1106" s="20" t="s">
        <v>84</v>
      </c>
    </row>
    <row r="1107" spans="1:43" ht="16">
      <c r="A1107" s="20">
        <v>5533399672</v>
      </c>
      <c r="B1107" s="21">
        <v>1075186</v>
      </c>
      <c r="C1107" s="20" t="s">
        <v>2474</v>
      </c>
      <c r="D1107" s="20" t="s">
        <v>4984</v>
      </c>
      <c r="E1107" s="20" t="s">
        <v>4985</v>
      </c>
      <c r="F1107" s="20" t="s">
        <v>257</v>
      </c>
      <c r="G1107" s="20" t="s">
        <v>257</v>
      </c>
      <c r="H1107" s="20" t="s">
        <v>48</v>
      </c>
      <c r="I1107" s="20" t="s">
        <v>257</v>
      </c>
      <c r="J1107" s="22" t="s">
        <v>4986</v>
      </c>
      <c r="K1107" s="22" t="s">
        <v>4986</v>
      </c>
      <c r="L1107" s="23" t="s">
        <v>4978</v>
      </c>
      <c r="M1107" s="24" t="s">
        <v>7753</v>
      </c>
      <c r="N1107" s="23">
        <v>18798000</v>
      </c>
      <c r="O1107" s="25" t="s">
        <v>52</v>
      </c>
      <c r="P1107" s="25" t="s">
        <v>53</v>
      </c>
      <c r="Q1107" s="20" t="s">
        <v>4987</v>
      </c>
      <c r="R1107" s="20">
        <v>9988113</v>
      </c>
      <c r="S1107" s="25" t="s">
        <v>4988</v>
      </c>
      <c r="T1107" s="26" t="s">
        <v>57</v>
      </c>
      <c r="U1107" s="23">
        <v>860478062410771</v>
      </c>
      <c r="V1107" s="45" t="s">
        <v>110</v>
      </c>
      <c r="W1107" s="20" t="s">
        <v>302</v>
      </c>
      <c r="X1107" s="20" t="s">
        <v>303</v>
      </c>
      <c r="Y1107" s="20" t="s">
        <v>303</v>
      </c>
      <c r="Z1107" s="20" t="s">
        <v>80</v>
      </c>
      <c r="AA1107" s="20" t="s">
        <v>81</v>
      </c>
      <c r="AB1107" s="20" t="s">
        <v>82</v>
      </c>
      <c r="AC1107" s="28">
        <v>559.48</v>
      </c>
      <c r="AD1107" s="28">
        <f>SUM(BASE[[#This Row],[MONTO DE RENTA ]]*1.16)</f>
        <v>648.99680000000001</v>
      </c>
      <c r="AE1107" s="28" t="s">
        <v>83</v>
      </c>
      <c r="AF1107" s="28">
        <v>559.48275862068965</v>
      </c>
      <c r="AG1107" s="28">
        <v>649</v>
      </c>
      <c r="AH1107" s="22" t="s">
        <v>64</v>
      </c>
      <c r="AI1107" s="63">
        <v>45703</v>
      </c>
      <c r="AJ1107" s="63">
        <v>46433</v>
      </c>
      <c r="AK11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7" s="30"/>
      <c r="AN1107" s="20" t="s">
        <v>65</v>
      </c>
      <c r="AP1107" s="20" t="s">
        <v>84</v>
      </c>
    </row>
    <row r="1108" spans="1:43" ht="16">
      <c r="A1108" s="20">
        <v>5514390956</v>
      </c>
      <c r="B1108" s="21">
        <v>980053</v>
      </c>
      <c r="C1108" s="20" t="s">
        <v>4989</v>
      </c>
      <c r="D1108" s="20" t="s">
        <v>4990</v>
      </c>
      <c r="E1108" s="20" t="s">
        <v>4991</v>
      </c>
      <c r="F1108" s="20" t="s">
        <v>104</v>
      </c>
      <c r="G1108" s="20" t="s">
        <v>104</v>
      </c>
      <c r="H1108" s="20" t="s">
        <v>48</v>
      </c>
      <c r="I1108" s="20" t="s">
        <v>104</v>
      </c>
      <c r="J1108" s="32" t="s">
        <v>4992</v>
      </c>
      <c r="K1108" s="32" t="s">
        <v>4992</v>
      </c>
      <c r="L1108" s="23" t="s">
        <v>4978</v>
      </c>
      <c r="M1108" s="24" t="s">
        <v>7753</v>
      </c>
      <c r="N1108" s="23">
        <v>18798000</v>
      </c>
      <c r="O1108" s="25" t="s">
        <v>52</v>
      </c>
      <c r="P1108" s="25" t="s">
        <v>53</v>
      </c>
      <c r="Q1108" s="20" t="s">
        <v>4993</v>
      </c>
      <c r="R1108" s="20">
        <v>90159570</v>
      </c>
      <c r="S1108" s="25" t="s">
        <v>4994</v>
      </c>
      <c r="T1108" s="26" t="s">
        <v>57</v>
      </c>
      <c r="U1108" s="23">
        <v>860478063557513</v>
      </c>
      <c r="V1108" s="45" t="s">
        <v>110</v>
      </c>
      <c r="W1108" s="20" t="s">
        <v>302</v>
      </c>
      <c r="X1108" s="20" t="s">
        <v>303</v>
      </c>
      <c r="Y1108" s="20" t="s">
        <v>303</v>
      </c>
      <c r="Z1108" s="20" t="s">
        <v>80</v>
      </c>
      <c r="AA1108" s="20" t="s">
        <v>81</v>
      </c>
      <c r="AB1108" s="20" t="s">
        <v>82</v>
      </c>
      <c r="AC1108" s="28">
        <v>559.48</v>
      </c>
      <c r="AD1108" s="28">
        <f>SUM(BASE[[#This Row],[MONTO DE RENTA ]]*1.16)</f>
        <v>648.99680000000001</v>
      </c>
      <c r="AE1108" s="28" t="s">
        <v>83</v>
      </c>
      <c r="AF1108" s="28">
        <v>559.48275862068965</v>
      </c>
      <c r="AG1108" s="28">
        <v>649</v>
      </c>
      <c r="AH1108" s="22" t="s">
        <v>64</v>
      </c>
      <c r="AI1108" s="63">
        <v>45703</v>
      </c>
      <c r="AJ1108" s="63">
        <v>46433</v>
      </c>
      <c r="AK11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8" s="30"/>
      <c r="AN1108" s="20" t="s">
        <v>65</v>
      </c>
      <c r="AP1108" s="20" t="s">
        <v>84</v>
      </c>
    </row>
    <row r="1109" spans="1:43" ht="16">
      <c r="A1109" s="20">
        <v>5514389623</v>
      </c>
      <c r="B1109" s="21">
        <v>980162</v>
      </c>
      <c r="C1109" s="20" t="s">
        <v>4995</v>
      </c>
      <c r="D1109" s="20" t="s">
        <v>3261</v>
      </c>
      <c r="E1109" s="20" t="s">
        <v>171</v>
      </c>
      <c r="F1109" s="20" t="s">
        <v>104</v>
      </c>
      <c r="G1109" s="20" t="s">
        <v>104</v>
      </c>
      <c r="H1109" s="20" t="s">
        <v>48</v>
      </c>
      <c r="I1109" s="20" t="s">
        <v>104</v>
      </c>
      <c r="J1109" s="32" t="s">
        <v>4996</v>
      </c>
      <c r="K1109" s="32" t="s">
        <v>4996</v>
      </c>
      <c r="L1109" s="23" t="s">
        <v>4978</v>
      </c>
      <c r="M1109" s="24" t="s">
        <v>7753</v>
      </c>
      <c r="N1109" s="23">
        <v>18798000</v>
      </c>
      <c r="O1109" s="25" t="s">
        <v>52</v>
      </c>
      <c r="P1109" s="25" t="s">
        <v>53</v>
      </c>
      <c r="Q1109" s="20" t="s">
        <v>4997</v>
      </c>
      <c r="R1109" s="20">
        <v>90159411</v>
      </c>
      <c r="S1109" s="25" t="s">
        <v>4998</v>
      </c>
      <c r="T1109" s="26" t="s">
        <v>57</v>
      </c>
      <c r="U1109" s="23">
        <v>860478060033211</v>
      </c>
      <c r="V1109" s="45" t="s">
        <v>110</v>
      </c>
      <c r="W1109" s="20" t="s">
        <v>302</v>
      </c>
      <c r="X1109" s="20" t="s">
        <v>303</v>
      </c>
      <c r="Y1109" s="20" t="s">
        <v>303</v>
      </c>
      <c r="Z1109" s="20" t="s">
        <v>80</v>
      </c>
      <c r="AA1109" s="20" t="s">
        <v>81</v>
      </c>
      <c r="AB1109" s="20" t="s">
        <v>82</v>
      </c>
      <c r="AC1109" s="28">
        <v>559.48</v>
      </c>
      <c r="AD1109" s="28">
        <f>SUM(BASE[[#This Row],[MONTO DE RENTA ]]*1.16)</f>
        <v>648.99680000000001</v>
      </c>
      <c r="AE1109" s="28" t="s">
        <v>83</v>
      </c>
      <c r="AF1109" s="28">
        <v>559.48275862068965</v>
      </c>
      <c r="AG1109" s="28">
        <v>649</v>
      </c>
      <c r="AH1109" s="22" t="s">
        <v>64</v>
      </c>
      <c r="AI1109" s="63">
        <v>45713</v>
      </c>
      <c r="AJ1109" s="63">
        <v>46433</v>
      </c>
      <c r="AK11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09" s="30"/>
      <c r="AN1109" s="20" t="s">
        <v>65</v>
      </c>
      <c r="AP1109" s="20" t="s">
        <v>84</v>
      </c>
    </row>
    <row r="1110" spans="1:43" ht="16">
      <c r="A1110" s="20">
        <v>5518847890</v>
      </c>
      <c r="B1110" s="49">
        <v>20395</v>
      </c>
      <c r="C1110" s="20" t="s">
        <v>4866</v>
      </c>
      <c r="D1110" s="20" t="s">
        <v>1109</v>
      </c>
      <c r="E1110" s="20" t="s">
        <v>1822</v>
      </c>
      <c r="F1110" s="20" t="s">
        <v>70</v>
      </c>
      <c r="G1110" s="20" t="s">
        <v>70</v>
      </c>
      <c r="H1110" s="20" t="s">
        <v>48</v>
      </c>
      <c r="I1110" s="20" t="s">
        <v>70</v>
      </c>
      <c r="J1110" s="22" t="s">
        <v>4999</v>
      </c>
      <c r="K1110" s="22" t="s">
        <v>4999</v>
      </c>
      <c r="L1110" s="23" t="s">
        <v>4978</v>
      </c>
      <c r="M1110" s="24" t="s">
        <v>7753</v>
      </c>
      <c r="N1110" s="23">
        <v>18798000</v>
      </c>
      <c r="O1110" s="25" t="s">
        <v>52</v>
      </c>
      <c r="P1110" s="25" t="s">
        <v>53</v>
      </c>
      <c r="Q1110" s="20" t="s">
        <v>5000</v>
      </c>
      <c r="R1110" s="20">
        <v>9808561</v>
      </c>
      <c r="S1110" s="25" t="s">
        <v>55</v>
      </c>
      <c r="T1110" s="26" t="s">
        <v>56</v>
      </c>
      <c r="U1110" s="23">
        <v>357654177508929</v>
      </c>
      <c r="V1110" s="27" t="s">
        <v>78</v>
      </c>
      <c r="W1110" s="20" t="s">
        <v>95</v>
      </c>
      <c r="X1110" s="20" t="s">
        <v>95</v>
      </c>
      <c r="Y1110" s="20" t="s">
        <v>95</v>
      </c>
      <c r="Z1110" s="20" t="s">
        <v>60</v>
      </c>
      <c r="AA1110" s="20" t="s">
        <v>61</v>
      </c>
      <c r="AB1110" s="20" t="s">
        <v>82</v>
      </c>
      <c r="AC1110" s="28">
        <v>559.48</v>
      </c>
      <c r="AD1110" s="28">
        <f>SUM(BASE[[#This Row],[MONTO DE RENTA ]]*1.16)</f>
        <v>648.99680000000001</v>
      </c>
      <c r="AE1110" s="28" t="s">
        <v>83</v>
      </c>
      <c r="AF1110" s="28">
        <v>559.48275862068965</v>
      </c>
      <c r="AG1110" s="28">
        <v>649</v>
      </c>
      <c r="AI1110" s="29">
        <v>44937</v>
      </c>
      <c r="AJ1110" s="50">
        <v>46043</v>
      </c>
      <c r="AK111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10" s="30"/>
      <c r="AN1110" s="20" t="s">
        <v>99</v>
      </c>
      <c r="AP1110" s="20" t="s">
        <v>84</v>
      </c>
      <c r="AQ1110" s="20" t="s">
        <v>100</v>
      </c>
    </row>
    <row r="1111" spans="1:43" ht="16">
      <c r="A1111" s="20">
        <v>8441466311</v>
      </c>
      <c r="B1111" s="117">
        <v>290079</v>
      </c>
      <c r="C1111" s="20" t="s">
        <v>5001</v>
      </c>
      <c r="D1111" s="20" t="s">
        <v>2040</v>
      </c>
      <c r="E1111" s="20" t="s">
        <v>1922</v>
      </c>
      <c r="F1111" s="20" t="s">
        <v>257</v>
      </c>
      <c r="G1111" s="20" t="s">
        <v>257</v>
      </c>
      <c r="H1111" s="20" t="s">
        <v>48</v>
      </c>
      <c r="I1111" s="20" t="s">
        <v>257</v>
      </c>
      <c r="J1111" s="22" t="s">
        <v>5002</v>
      </c>
      <c r="K1111" s="32" t="s">
        <v>5003</v>
      </c>
      <c r="L1111" s="23" t="s">
        <v>4955</v>
      </c>
      <c r="M1111" s="24" t="s">
        <v>7739</v>
      </c>
      <c r="N1111" s="23">
        <v>18797000</v>
      </c>
      <c r="O1111" s="25" t="s">
        <v>74</v>
      </c>
      <c r="P1111" s="25" t="s">
        <v>53</v>
      </c>
      <c r="Q1111" s="20" t="s">
        <v>5004</v>
      </c>
      <c r="R1111" s="20">
        <v>43090264</v>
      </c>
      <c r="S1111" s="25" t="s">
        <v>5005</v>
      </c>
      <c r="T1111" s="26" t="s">
        <v>57</v>
      </c>
      <c r="U1111" s="23">
        <v>860478060690051</v>
      </c>
      <c r="V1111" s="27" t="s">
        <v>57</v>
      </c>
      <c r="W1111" s="20" t="s">
        <v>302</v>
      </c>
      <c r="X1111" s="20" t="s">
        <v>303</v>
      </c>
      <c r="Y1111" s="20" t="s">
        <v>303</v>
      </c>
      <c r="Z1111" s="20" t="s">
        <v>80</v>
      </c>
      <c r="AA1111" s="20" t="s">
        <v>81</v>
      </c>
      <c r="AB1111" s="20" t="s">
        <v>82</v>
      </c>
      <c r="AC1111" s="28">
        <v>559.48</v>
      </c>
      <c r="AD1111" s="28">
        <f>SUM(BASE[[#This Row],[MONTO DE RENTA ]]*1.16)</f>
        <v>648.99680000000001</v>
      </c>
      <c r="AE1111" s="28" t="s">
        <v>83</v>
      </c>
      <c r="AF1111" s="28">
        <v>559.48275862068965</v>
      </c>
      <c r="AG1111" s="28">
        <v>649</v>
      </c>
      <c r="AI1111" s="63">
        <v>44937</v>
      </c>
      <c r="AJ1111" s="84">
        <v>46681</v>
      </c>
      <c r="AK1111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111" s="30"/>
      <c r="AN1111" s="20" t="s">
        <v>65</v>
      </c>
      <c r="AP1111" s="20" t="s">
        <v>84</v>
      </c>
    </row>
    <row r="1112" spans="1:43" ht="16">
      <c r="A1112" s="20">
        <v>5544749241</v>
      </c>
      <c r="B1112" s="237">
        <v>990003</v>
      </c>
      <c r="C1112" s="20" t="s">
        <v>4212</v>
      </c>
      <c r="D1112" s="20" t="s">
        <v>4271</v>
      </c>
      <c r="E1112" s="20" t="s">
        <v>306</v>
      </c>
      <c r="F1112" s="20" t="s">
        <v>1296</v>
      </c>
      <c r="G1112" s="20" t="s">
        <v>1296</v>
      </c>
      <c r="H1112" s="20" t="s">
        <v>48</v>
      </c>
      <c r="I1112" s="20" t="s">
        <v>1296</v>
      </c>
      <c r="J1112" s="195" t="s">
        <v>5006</v>
      </c>
      <c r="K1112" s="195" t="s">
        <v>5006</v>
      </c>
      <c r="L1112" s="23" t="s">
        <v>5007</v>
      </c>
      <c r="M1112" s="24" t="s">
        <v>7752</v>
      </c>
      <c r="N1112" s="23">
        <v>18799000</v>
      </c>
      <c r="O1112" s="25" t="s">
        <v>52</v>
      </c>
      <c r="P1112" s="25" t="s">
        <v>53</v>
      </c>
      <c r="Q1112" s="20" t="s">
        <v>5008</v>
      </c>
      <c r="R1112" s="20">
        <v>98226469</v>
      </c>
      <c r="S1112" s="25" t="s">
        <v>5009</v>
      </c>
      <c r="T1112" s="26" t="s">
        <v>77</v>
      </c>
      <c r="U1112" s="23">
        <v>863020061615682</v>
      </c>
      <c r="V1112" s="27" t="s">
        <v>183</v>
      </c>
      <c r="W1112" s="20" t="s">
        <v>5010</v>
      </c>
      <c r="X1112" s="20" t="s">
        <v>5011</v>
      </c>
      <c r="Y1112" s="20" t="s">
        <v>5011</v>
      </c>
      <c r="Z1112" s="20" t="s">
        <v>167</v>
      </c>
      <c r="AA1112" s="20" t="s">
        <v>168</v>
      </c>
      <c r="AB1112" s="20" t="s">
        <v>82</v>
      </c>
      <c r="AC1112" s="28">
        <v>559.48</v>
      </c>
      <c r="AD1112" s="28">
        <f>SUM(BASE[[#This Row],[MONTO DE RENTA ]]*1.16)</f>
        <v>648.99680000000001</v>
      </c>
      <c r="AE1112" s="28" t="s">
        <v>83</v>
      </c>
      <c r="AF1112" s="28">
        <v>559.48275862068965</v>
      </c>
      <c r="AG1112" s="28">
        <v>649</v>
      </c>
      <c r="AI1112" s="63">
        <v>45213</v>
      </c>
      <c r="AJ1112" s="63">
        <v>45944</v>
      </c>
      <c r="AK1112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1112" s="30"/>
      <c r="AN1112" s="20" t="s">
        <v>99</v>
      </c>
      <c r="AP1112" s="20" t="s">
        <v>84</v>
      </c>
      <c r="AQ1112" s="20" t="s">
        <v>100</v>
      </c>
    </row>
    <row r="1113" spans="1:43" ht="16">
      <c r="A1113" s="20">
        <v>5535498975</v>
      </c>
      <c r="B1113" s="49">
        <v>1028800</v>
      </c>
      <c r="C1113" s="20" t="s">
        <v>5012</v>
      </c>
      <c r="D1113" s="20" t="s">
        <v>256</v>
      </c>
      <c r="E1113" s="20" t="s">
        <v>1067</v>
      </c>
      <c r="F1113" s="20" t="s">
        <v>5013</v>
      </c>
      <c r="G1113" s="20" t="s">
        <v>5013</v>
      </c>
      <c r="H1113" s="20" t="s">
        <v>48</v>
      </c>
      <c r="I1113" s="20" t="s">
        <v>5013</v>
      </c>
      <c r="J1113" s="54" t="s">
        <v>5014</v>
      </c>
      <c r="K1113" s="54" t="s">
        <v>5014</v>
      </c>
      <c r="L1113" s="23" t="s">
        <v>5007</v>
      </c>
      <c r="M1113" s="24" t="s">
        <v>7752</v>
      </c>
      <c r="N1113" s="23">
        <v>18799000</v>
      </c>
      <c r="O1113" s="25" t="s">
        <v>52</v>
      </c>
      <c r="P1113" s="25" t="s">
        <v>53</v>
      </c>
      <c r="Q1113" s="20" t="s">
        <v>5015</v>
      </c>
      <c r="R1113" s="20">
        <v>98935596</v>
      </c>
      <c r="S1113" s="25" t="s">
        <v>55</v>
      </c>
      <c r="T1113" s="65" t="s">
        <v>56</v>
      </c>
      <c r="U1113" s="23">
        <v>865356065672552</v>
      </c>
      <c r="V1113" s="27" t="s">
        <v>183</v>
      </c>
      <c r="W1113" s="20" t="s">
        <v>129</v>
      </c>
      <c r="X1113" s="20" t="s">
        <v>130</v>
      </c>
      <c r="Y1113" s="20" t="s">
        <v>130</v>
      </c>
      <c r="Z1113" s="20" t="s">
        <v>60</v>
      </c>
      <c r="AA1113" s="20" t="s">
        <v>61</v>
      </c>
      <c r="AB1113" s="20" t="s">
        <v>96</v>
      </c>
      <c r="AC1113" s="28">
        <v>369.83</v>
      </c>
      <c r="AD1113" s="28">
        <f>SUM(BASE[[#This Row],[MONTO DE RENTA ]]*1.16)</f>
        <v>429.00279999999998</v>
      </c>
      <c r="AE1113" s="28" t="s">
        <v>63</v>
      </c>
      <c r="AF1113" s="28">
        <v>369.82758620689657</v>
      </c>
      <c r="AG1113" s="28">
        <v>429</v>
      </c>
      <c r="AH1113" s="22" t="s">
        <v>116</v>
      </c>
      <c r="AI1113" s="63">
        <v>45414</v>
      </c>
      <c r="AJ1113" s="63">
        <v>46040</v>
      </c>
      <c r="AK11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13" s="30"/>
      <c r="AN1113" s="20" t="s">
        <v>99</v>
      </c>
      <c r="AP1113" s="20" t="s">
        <v>84</v>
      </c>
      <c r="AQ1113" s="20" t="s">
        <v>100</v>
      </c>
    </row>
    <row r="1114" spans="1:43" ht="16">
      <c r="A1114" s="20">
        <v>7731823130</v>
      </c>
      <c r="B1114" s="49">
        <v>1068174</v>
      </c>
      <c r="C1114" s="20" t="s">
        <v>5016</v>
      </c>
      <c r="D1114" s="20" t="s">
        <v>1330</v>
      </c>
      <c r="E1114" s="20" t="s">
        <v>427</v>
      </c>
      <c r="F1114" s="20" t="s">
        <v>5017</v>
      </c>
      <c r="G1114" s="20" t="s">
        <v>5017</v>
      </c>
      <c r="H1114" s="20" t="s">
        <v>48</v>
      </c>
      <c r="I1114" s="20" t="s">
        <v>5017</v>
      </c>
      <c r="J1114" s="54" t="s">
        <v>5018</v>
      </c>
      <c r="K1114" s="54" t="s">
        <v>5018</v>
      </c>
      <c r="L1114" s="23" t="s">
        <v>5007</v>
      </c>
      <c r="M1114" s="24" t="s">
        <v>7752</v>
      </c>
      <c r="N1114" s="23">
        <v>18799000</v>
      </c>
      <c r="O1114" s="25" t="s">
        <v>52</v>
      </c>
      <c r="P1114" s="25" t="s">
        <v>53</v>
      </c>
      <c r="Q1114" s="20" t="s">
        <v>5019</v>
      </c>
      <c r="R1114" s="20">
        <v>97824025</v>
      </c>
      <c r="S1114" s="25" t="s">
        <v>55</v>
      </c>
      <c r="T1114" s="65" t="s">
        <v>56</v>
      </c>
      <c r="U1114" s="23">
        <v>865356065672909</v>
      </c>
      <c r="V1114" s="27" t="s">
        <v>183</v>
      </c>
      <c r="W1114" s="20" t="s">
        <v>129</v>
      </c>
      <c r="X1114" s="20" t="s">
        <v>130</v>
      </c>
      <c r="Y1114" s="20" t="s">
        <v>130</v>
      </c>
      <c r="Z1114" s="20" t="s">
        <v>60</v>
      </c>
      <c r="AA1114" s="20" t="s">
        <v>61</v>
      </c>
      <c r="AB1114" s="20" t="s">
        <v>62</v>
      </c>
      <c r="AC1114" s="28">
        <v>197.41</v>
      </c>
      <c r="AD1114" s="28">
        <f>SUM(BASE[[#This Row],[MONTO DE RENTA ]]*1.16)</f>
        <v>228.99559999999997</v>
      </c>
      <c r="AE1114" s="28" t="s">
        <v>63</v>
      </c>
      <c r="AF1114" s="28">
        <v>369.82758620689657</v>
      </c>
      <c r="AG1114" s="28">
        <v>429</v>
      </c>
      <c r="AH1114" s="22" t="s">
        <v>116</v>
      </c>
      <c r="AI1114" s="29">
        <v>45533</v>
      </c>
      <c r="AJ1114" s="29">
        <v>46040</v>
      </c>
      <c r="AK111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14" s="30"/>
      <c r="AN1114" s="20" t="s">
        <v>99</v>
      </c>
      <c r="AP1114" s="20" t="s">
        <v>66</v>
      </c>
      <c r="AQ1114" s="20" t="s">
        <v>100</v>
      </c>
    </row>
    <row r="1115" spans="1:43" ht="16">
      <c r="A1115" s="20">
        <v>7712325047</v>
      </c>
      <c r="B1115" s="21">
        <v>990071</v>
      </c>
      <c r="C1115" s="20" t="s">
        <v>5020</v>
      </c>
      <c r="D1115" s="20" t="s">
        <v>442</v>
      </c>
      <c r="E1115" s="20" t="s">
        <v>626</v>
      </c>
      <c r="F1115" s="20" t="s">
        <v>5021</v>
      </c>
      <c r="G1115" s="20" t="s">
        <v>5021</v>
      </c>
      <c r="H1115" s="20" t="s">
        <v>48</v>
      </c>
      <c r="I1115" s="20" t="s">
        <v>5021</v>
      </c>
      <c r="J1115" s="22" t="s">
        <v>5022</v>
      </c>
      <c r="K1115" s="22" t="s">
        <v>5022</v>
      </c>
      <c r="L1115" s="23" t="s">
        <v>5007</v>
      </c>
      <c r="M1115" s="24" t="s">
        <v>7752</v>
      </c>
      <c r="N1115" s="23">
        <v>18799000</v>
      </c>
      <c r="O1115" s="25" t="s">
        <v>52</v>
      </c>
      <c r="P1115" s="25" t="s">
        <v>53</v>
      </c>
      <c r="Q1115" s="20" t="s">
        <v>5023</v>
      </c>
      <c r="R1115" s="20">
        <v>90159786</v>
      </c>
      <c r="S1115" s="25" t="s">
        <v>5024</v>
      </c>
      <c r="T1115" s="26" t="s">
        <v>57</v>
      </c>
      <c r="U1115" s="23">
        <v>860900062337357</v>
      </c>
      <c r="V1115" s="27" t="s">
        <v>57</v>
      </c>
      <c r="W1115" s="20" t="s">
        <v>58</v>
      </c>
      <c r="X1115" s="20" t="s">
        <v>59</v>
      </c>
      <c r="Y1115" s="20" t="s">
        <v>59</v>
      </c>
      <c r="Z1115" s="20" t="s">
        <v>167</v>
      </c>
      <c r="AA1115" s="20" t="s">
        <v>168</v>
      </c>
      <c r="AB1115" s="20" t="s">
        <v>96</v>
      </c>
      <c r="AC1115" s="28">
        <v>369.83</v>
      </c>
      <c r="AD1115" s="28">
        <f>SUM(BASE[[#This Row],[MONTO DE RENTA ]]*1.16)</f>
        <v>429.00279999999998</v>
      </c>
      <c r="AE1115" s="28" t="s">
        <v>63</v>
      </c>
      <c r="AF1115" s="28">
        <v>369.82758620689657</v>
      </c>
      <c r="AG1115" s="28">
        <v>429</v>
      </c>
      <c r="AH1115" s="22" t="s">
        <v>64</v>
      </c>
      <c r="AI1115" s="63">
        <v>45713</v>
      </c>
      <c r="AJ1115" s="63">
        <v>46433</v>
      </c>
      <c r="AK11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15" s="30"/>
      <c r="AN1115" s="20" t="s">
        <v>65</v>
      </c>
      <c r="AP1115" s="20" t="s">
        <v>84</v>
      </c>
    </row>
    <row r="1116" spans="1:43" ht="20.25" customHeight="1">
      <c r="A1116" s="20">
        <v>7712325044</v>
      </c>
      <c r="B1116" s="21">
        <v>1035772</v>
      </c>
      <c r="C1116" s="20" t="s">
        <v>2088</v>
      </c>
      <c r="D1116" s="20" t="s">
        <v>442</v>
      </c>
      <c r="E1116" s="20" t="s">
        <v>357</v>
      </c>
      <c r="F1116" s="20" t="s">
        <v>1341</v>
      </c>
      <c r="G1116" s="20" t="s">
        <v>1341</v>
      </c>
      <c r="H1116" s="20" t="s">
        <v>48</v>
      </c>
      <c r="I1116" s="20" t="s">
        <v>1341</v>
      </c>
      <c r="J1116" s="22" t="s">
        <v>5025</v>
      </c>
      <c r="K1116" s="22" t="s">
        <v>5025</v>
      </c>
      <c r="L1116" s="23" t="s">
        <v>5007</v>
      </c>
      <c r="M1116" s="24" t="s">
        <v>7752</v>
      </c>
      <c r="N1116" s="23">
        <v>18799000</v>
      </c>
      <c r="O1116" s="25" t="s">
        <v>52</v>
      </c>
      <c r="P1116" s="25" t="s">
        <v>53</v>
      </c>
      <c r="Q1116" s="20" t="s">
        <v>5026</v>
      </c>
      <c r="R1116" s="20">
        <v>90159750</v>
      </c>
      <c r="S1116" s="25" t="s">
        <v>5027</v>
      </c>
      <c r="T1116" s="26" t="s">
        <v>57</v>
      </c>
      <c r="U1116" s="23">
        <v>860900062337530</v>
      </c>
      <c r="V1116" s="27" t="s">
        <v>57</v>
      </c>
      <c r="W1116" s="20" t="s">
        <v>58</v>
      </c>
      <c r="X1116" s="20" t="s">
        <v>59</v>
      </c>
      <c r="Y1116" s="20" t="s">
        <v>59</v>
      </c>
      <c r="Z1116" s="20" t="s">
        <v>167</v>
      </c>
      <c r="AA1116" s="20" t="s">
        <v>168</v>
      </c>
      <c r="AB1116" s="20" t="s">
        <v>96</v>
      </c>
      <c r="AC1116" s="28">
        <v>369.83</v>
      </c>
      <c r="AD1116" s="28">
        <f>SUM(BASE[[#This Row],[MONTO DE RENTA ]]*1.16)</f>
        <v>429.00279999999998</v>
      </c>
      <c r="AE1116" s="28" t="s">
        <v>63</v>
      </c>
      <c r="AF1116" s="28">
        <v>369.82758620689657</v>
      </c>
      <c r="AG1116" s="28">
        <v>429</v>
      </c>
      <c r="AH1116" s="22" t="s">
        <v>64</v>
      </c>
      <c r="AI1116" s="63">
        <v>45703</v>
      </c>
      <c r="AJ1116" s="63">
        <v>46433</v>
      </c>
      <c r="AK11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16" s="30"/>
      <c r="AN1116" s="20" t="s">
        <v>65</v>
      </c>
      <c r="AP1116" s="20" t="s">
        <v>84</v>
      </c>
    </row>
    <row r="1117" spans="1:43" ht="16">
      <c r="A1117" s="20">
        <v>7711685511</v>
      </c>
      <c r="B1117" s="21">
        <v>1015141</v>
      </c>
      <c r="C1117" s="20" t="s">
        <v>2375</v>
      </c>
      <c r="D1117" s="20" t="s">
        <v>357</v>
      </c>
      <c r="E1117" s="20" t="s">
        <v>347</v>
      </c>
      <c r="F1117" s="20" t="s">
        <v>1353</v>
      </c>
      <c r="G1117" s="20" t="s">
        <v>47</v>
      </c>
      <c r="H1117" s="20" t="s">
        <v>48</v>
      </c>
      <c r="I1117" s="20" t="s">
        <v>1353</v>
      </c>
      <c r="J1117" s="22" t="s">
        <v>5028</v>
      </c>
      <c r="K1117" s="22" t="s">
        <v>5028</v>
      </c>
      <c r="L1117" s="23" t="s">
        <v>5007</v>
      </c>
      <c r="M1117" s="24" t="s">
        <v>7752</v>
      </c>
      <c r="N1117" s="23">
        <v>18799000</v>
      </c>
      <c r="O1117" s="25" t="s">
        <v>52</v>
      </c>
      <c r="P1117" s="25" t="s">
        <v>53</v>
      </c>
      <c r="Q1117" s="20" t="s">
        <v>5029</v>
      </c>
      <c r="R1117" s="20">
        <v>90159285</v>
      </c>
      <c r="S1117" s="25" t="s">
        <v>5030</v>
      </c>
      <c r="T1117" s="26" t="s">
        <v>57</v>
      </c>
      <c r="U1117" s="23">
        <v>860900062337514</v>
      </c>
      <c r="V1117" s="27" t="s">
        <v>57</v>
      </c>
      <c r="W1117" s="20" t="s">
        <v>58</v>
      </c>
      <c r="X1117" s="20" t="s">
        <v>59</v>
      </c>
      <c r="Y1117" s="20" t="s">
        <v>59</v>
      </c>
      <c r="Z1117" s="20" t="s">
        <v>167</v>
      </c>
      <c r="AA1117" s="20" t="s">
        <v>168</v>
      </c>
      <c r="AB1117" s="20" t="s">
        <v>96</v>
      </c>
      <c r="AC1117" s="28">
        <v>369.83</v>
      </c>
      <c r="AD1117" s="28">
        <f>SUM(BASE[[#This Row],[MONTO DE RENTA ]]*1.16)</f>
        <v>429.00279999999998</v>
      </c>
      <c r="AE1117" s="28" t="s">
        <v>63</v>
      </c>
      <c r="AF1117" s="28">
        <v>369.82758620689657</v>
      </c>
      <c r="AG1117" s="28">
        <v>429</v>
      </c>
      <c r="AH1117" s="22" t="s">
        <v>64</v>
      </c>
      <c r="AI1117" s="29">
        <v>45703</v>
      </c>
      <c r="AJ1117" s="29">
        <v>46433</v>
      </c>
      <c r="AK11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17" s="30"/>
      <c r="AN1117" s="20" t="s">
        <v>65</v>
      </c>
      <c r="AP1117" s="20" t="s">
        <v>84</v>
      </c>
    </row>
    <row r="1118" spans="1:43" ht="16">
      <c r="A1118" s="20">
        <v>7712287936</v>
      </c>
      <c r="B1118" s="21">
        <v>1009105</v>
      </c>
      <c r="C1118" s="20" t="s">
        <v>5031</v>
      </c>
      <c r="D1118" s="20" t="s">
        <v>358</v>
      </c>
      <c r="E1118" s="20" t="s">
        <v>3753</v>
      </c>
      <c r="F1118" s="20" t="s">
        <v>1304</v>
      </c>
      <c r="G1118" s="20" t="s">
        <v>47</v>
      </c>
      <c r="H1118" s="20" t="s">
        <v>48</v>
      </c>
      <c r="I1118" s="20" t="s">
        <v>1304</v>
      </c>
      <c r="J1118" s="22" t="s">
        <v>5028</v>
      </c>
      <c r="K1118" s="22" t="s">
        <v>5028</v>
      </c>
      <c r="L1118" s="23" t="s">
        <v>5007</v>
      </c>
      <c r="M1118" s="24" t="s">
        <v>7752</v>
      </c>
      <c r="N1118" s="23">
        <v>18799000</v>
      </c>
      <c r="O1118" s="25" t="s">
        <v>52</v>
      </c>
      <c r="P1118" s="25" t="s">
        <v>53</v>
      </c>
      <c r="Q1118" s="20" t="s">
        <v>5032</v>
      </c>
      <c r="R1118" s="20">
        <v>90182664</v>
      </c>
      <c r="S1118" s="25" t="s">
        <v>5033</v>
      </c>
      <c r="T1118" s="26" t="s">
        <v>57</v>
      </c>
      <c r="U1118" s="23">
        <v>860900062337514</v>
      </c>
      <c r="V1118" s="27" t="s">
        <v>57</v>
      </c>
      <c r="W1118" s="20" t="s">
        <v>58</v>
      </c>
      <c r="X1118" s="20" t="s">
        <v>59</v>
      </c>
      <c r="Y1118" s="20" t="s">
        <v>59</v>
      </c>
      <c r="Z1118" s="20" t="s">
        <v>167</v>
      </c>
      <c r="AA1118" s="20" t="s">
        <v>168</v>
      </c>
      <c r="AB1118" s="20" t="s">
        <v>96</v>
      </c>
      <c r="AC1118" s="28">
        <v>369.83</v>
      </c>
      <c r="AD1118" s="28">
        <f>SUM(BASE[[#This Row],[MONTO DE RENTA ]]*1.16)</f>
        <v>429.00279999999998</v>
      </c>
      <c r="AE1118" s="28" t="s">
        <v>63</v>
      </c>
      <c r="AF1118" s="28">
        <v>369.82758620689657</v>
      </c>
      <c r="AG1118" s="28">
        <v>429</v>
      </c>
      <c r="AH1118" s="22" t="s">
        <v>64</v>
      </c>
      <c r="AI1118" s="63">
        <v>45703</v>
      </c>
      <c r="AJ1118" s="63">
        <v>46433</v>
      </c>
      <c r="AK11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18" s="30"/>
      <c r="AN1118" s="20" t="s">
        <v>65</v>
      </c>
      <c r="AP1118" s="20" t="s">
        <v>84</v>
      </c>
    </row>
    <row r="1119" spans="1:43" ht="16">
      <c r="A1119" s="20">
        <v>7712325040</v>
      </c>
      <c r="B1119" s="21">
        <v>990056</v>
      </c>
      <c r="C1119" s="20" t="s">
        <v>506</v>
      </c>
      <c r="D1119" s="20" t="s">
        <v>1594</v>
      </c>
      <c r="E1119" s="20" t="s">
        <v>143</v>
      </c>
      <c r="F1119" s="20" t="s">
        <v>1315</v>
      </c>
      <c r="G1119" s="20" t="s">
        <v>47</v>
      </c>
      <c r="H1119" s="20" t="s">
        <v>48</v>
      </c>
      <c r="I1119" s="20" t="s">
        <v>1315</v>
      </c>
      <c r="J1119" s="32" t="s">
        <v>5028</v>
      </c>
      <c r="K1119" s="32" t="s">
        <v>5028</v>
      </c>
      <c r="L1119" s="23" t="s">
        <v>5007</v>
      </c>
      <c r="M1119" s="24" t="s">
        <v>7752</v>
      </c>
      <c r="N1119" s="23">
        <v>18799000</v>
      </c>
      <c r="O1119" s="25" t="s">
        <v>52</v>
      </c>
      <c r="P1119" s="25" t="s">
        <v>53</v>
      </c>
      <c r="Q1119" s="20" t="s">
        <v>5034</v>
      </c>
      <c r="R1119" s="20">
        <v>90159652</v>
      </c>
      <c r="S1119" s="25" t="s">
        <v>5035</v>
      </c>
      <c r="T1119" s="26" t="s">
        <v>57</v>
      </c>
      <c r="U1119" s="23">
        <v>860900062337514</v>
      </c>
      <c r="V1119" s="27" t="s">
        <v>57</v>
      </c>
      <c r="W1119" s="20" t="s">
        <v>58</v>
      </c>
      <c r="X1119" s="20" t="s">
        <v>59</v>
      </c>
      <c r="Y1119" s="20" t="s">
        <v>59</v>
      </c>
      <c r="Z1119" s="20" t="s">
        <v>167</v>
      </c>
      <c r="AA1119" s="20" t="s">
        <v>168</v>
      </c>
      <c r="AB1119" s="20" t="s">
        <v>96</v>
      </c>
      <c r="AC1119" s="28">
        <v>369.83</v>
      </c>
      <c r="AD1119" s="28">
        <f>SUM(BASE[[#This Row],[MONTO DE RENTA ]]*1.16)</f>
        <v>429.00279999999998</v>
      </c>
      <c r="AE1119" s="28" t="s">
        <v>63</v>
      </c>
      <c r="AF1119" s="28">
        <v>369.82758620689657</v>
      </c>
      <c r="AG1119" s="28">
        <v>429</v>
      </c>
      <c r="AH1119" s="22" t="s">
        <v>64</v>
      </c>
      <c r="AI1119" s="63">
        <v>45703</v>
      </c>
      <c r="AJ1119" s="63">
        <v>46433</v>
      </c>
      <c r="AK111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19" s="30"/>
      <c r="AN1119" s="20" t="s">
        <v>65</v>
      </c>
      <c r="AP1119" s="20" t="s">
        <v>84</v>
      </c>
    </row>
    <row r="1120" spans="1:43" ht="16">
      <c r="A1120" s="20">
        <v>7712313210</v>
      </c>
      <c r="B1120" s="21">
        <v>1007506</v>
      </c>
      <c r="C1120" s="20" t="s">
        <v>5036</v>
      </c>
      <c r="D1120" s="20" t="s">
        <v>546</v>
      </c>
      <c r="E1120" s="20" t="s">
        <v>306</v>
      </c>
      <c r="F1120" s="20" t="s">
        <v>5037</v>
      </c>
      <c r="G1120" s="20" t="s">
        <v>47</v>
      </c>
      <c r="H1120" s="20" t="s">
        <v>48</v>
      </c>
      <c r="I1120" s="20" t="s">
        <v>5037</v>
      </c>
      <c r="J1120" s="22" t="s">
        <v>5038</v>
      </c>
      <c r="K1120" s="22" t="s">
        <v>5038</v>
      </c>
      <c r="L1120" s="23" t="s">
        <v>5007</v>
      </c>
      <c r="M1120" s="24" t="s">
        <v>7752</v>
      </c>
      <c r="N1120" s="23">
        <v>11177000</v>
      </c>
      <c r="O1120" s="25" t="s">
        <v>52</v>
      </c>
      <c r="P1120" s="25" t="s">
        <v>53</v>
      </c>
      <c r="Q1120" s="20" t="s">
        <v>5039</v>
      </c>
      <c r="R1120" s="20">
        <v>90159288</v>
      </c>
      <c r="S1120" s="25" t="s">
        <v>5040</v>
      </c>
      <c r="T1120" s="26" t="s">
        <v>57</v>
      </c>
      <c r="U1120" s="23">
        <v>860900062319223</v>
      </c>
      <c r="V1120" s="27" t="s">
        <v>57</v>
      </c>
      <c r="W1120" s="20" t="s">
        <v>58</v>
      </c>
      <c r="X1120" s="20" t="s">
        <v>59</v>
      </c>
      <c r="Y1120" s="20" t="s">
        <v>59</v>
      </c>
      <c r="Z1120" s="20" t="s">
        <v>60</v>
      </c>
      <c r="AA1120" s="20" t="s">
        <v>61</v>
      </c>
      <c r="AB1120" s="20" t="s">
        <v>96</v>
      </c>
      <c r="AC1120" s="28">
        <v>369.83</v>
      </c>
      <c r="AD1120" s="28">
        <f>SUM(BASE[[#This Row],[MONTO DE RENTA ]]*1.16)</f>
        <v>429.00279999999998</v>
      </c>
      <c r="AE1120" s="28" t="s">
        <v>63</v>
      </c>
      <c r="AF1120" s="28">
        <v>369.82758620689657</v>
      </c>
      <c r="AG1120" s="28">
        <v>429</v>
      </c>
      <c r="AH1120" s="22" t="s">
        <v>64</v>
      </c>
      <c r="AI1120" s="63">
        <v>45703</v>
      </c>
      <c r="AJ1120" s="63">
        <v>46433</v>
      </c>
      <c r="AK11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0" s="30"/>
      <c r="AN1120" s="20" t="s">
        <v>65</v>
      </c>
      <c r="AP1120" s="20" t="s">
        <v>84</v>
      </c>
    </row>
    <row r="1121" spans="1:43" s="87" customFormat="1" ht="16">
      <c r="A1121" s="20">
        <v>7712325041</v>
      </c>
      <c r="B1121" s="59">
        <v>1078561</v>
      </c>
      <c r="C1121" s="20" t="s">
        <v>5041</v>
      </c>
      <c r="D1121" s="20" t="s">
        <v>102</v>
      </c>
      <c r="E1121" s="20" t="s">
        <v>598</v>
      </c>
      <c r="F1121" s="20" t="s">
        <v>5042</v>
      </c>
      <c r="G1121" s="20" t="s">
        <v>5042</v>
      </c>
      <c r="H1121" s="20" t="s">
        <v>48</v>
      </c>
      <c r="I1121" s="20" t="s">
        <v>5042</v>
      </c>
      <c r="J1121" s="22" t="s">
        <v>5043</v>
      </c>
      <c r="K1121" s="22" t="s">
        <v>5043</v>
      </c>
      <c r="L1121" s="23" t="s">
        <v>5007</v>
      </c>
      <c r="M1121" s="24" t="s">
        <v>7752</v>
      </c>
      <c r="N1121" s="23">
        <v>18799000</v>
      </c>
      <c r="O1121" s="25" t="s">
        <v>52</v>
      </c>
      <c r="P1121" s="25" t="s">
        <v>53</v>
      </c>
      <c r="Q1121" s="20" t="s">
        <v>5044</v>
      </c>
      <c r="R1121" s="20">
        <v>90159722</v>
      </c>
      <c r="S1121" s="25" t="s">
        <v>5045</v>
      </c>
      <c r="T1121" s="26" t="s">
        <v>57</v>
      </c>
      <c r="U1121" s="23">
        <v>860900062337340</v>
      </c>
      <c r="V1121" s="27" t="s">
        <v>57</v>
      </c>
      <c r="W1121" s="20" t="s">
        <v>58</v>
      </c>
      <c r="X1121" s="20" t="s">
        <v>59</v>
      </c>
      <c r="Y1121" s="20" t="s">
        <v>59</v>
      </c>
      <c r="Z1121" s="20" t="s">
        <v>167</v>
      </c>
      <c r="AA1121" s="20" t="s">
        <v>168</v>
      </c>
      <c r="AB1121" s="20" t="s">
        <v>96</v>
      </c>
      <c r="AC1121" s="28">
        <v>369.83</v>
      </c>
      <c r="AD1121" s="28">
        <f>SUM(BASE[[#This Row],[MONTO DE RENTA ]]*1.16)</f>
        <v>429.00279999999998</v>
      </c>
      <c r="AE1121" s="28" t="s">
        <v>63</v>
      </c>
      <c r="AF1121" s="28">
        <v>369.82758620689657</v>
      </c>
      <c r="AG1121" s="28">
        <v>429</v>
      </c>
      <c r="AH1121" s="22" t="s">
        <v>64</v>
      </c>
      <c r="AI1121" s="63">
        <v>45703</v>
      </c>
      <c r="AJ1121" s="63">
        <v>46433</v>
      </c>
      <c r="AK11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21" s="20"/>
      <c r="AM1121" s="30"/>
      <c r="AN1121" s="20" t="s">
        <v>65</v>
      </c>
      <c r="AO1121" s="20"/>
      <c r="AP1121" s="20" t="s">
        <v>84</v>
      </c>
      <c r="AQ1121" s="20"/>
    </row>
    <row r="1122" spans="1:43" ht="16">
      <c r="A1122" s="20">
        <v>5578885233</v>
      </c>
      <c r="B1122" s="21">
        <v>500025</v>
      </c>
      <c r="C1122" s="20" t="s">
        <v>5046</v>
      </c>
      <c r="D1122" s="20" t="s">
        <v>347</v>
      </c>
      <c r="E1122" s="20" t="s">
        <v>461</v>
      </c>
      <c r="F1122" s="20" t="s">
        <v>1018</v>
      </c>
      <c r="G1122" s="20" t="s">
        <v>1018</v>
      </c>
      <c r="H1122" s="20" t="s">
        <v>48</v>
      </c>
      <c r="I1122" s="20" t="s">
        <v>1018</v>
      </c>
      <c r="J1122" s="22" t="s">
        <v>5047</v>
      </c>
      <c r="K1122" s="22" t="s">
        <v>5047</v>
      </c>
      <c r="L1122" s="23" t="s">
        <v>5007</v>
      </c>
      <c r="M1122" s="24" t="s">
        <v>7752</v>
      </c>
      <c r="N1122" s="23">
        <v>18799000</v>
      </c>
      <c r="O1122" s="25" t="s">
        <v>52</v>
      </c>
      <c r="P1122" s="25" t="s">
        <v>53</v>
      </c>
      <c r="Q1122" s="20" t="s">
        <v>5048</v>
      </c>
      <c r="R1122" s="20">
        <v>90069503</v>
      </c>
      <c r="S1122" s="25" t="s">
        <v>5049</v>
      </c>
      <c r="T1122" s="26" t="s">
        <v>57</v>
      </c>
      <c r="U1122" s="23">
        <v>860900062335328</v>
      </c>
      <c r="V1122" s="27" t="s">
        <v>57</v>
      </c>
      <c r="W1122" s="20" t="s">
        <v>58</v>
      </c>
      <c r="X1122" s="20" t="s">
        <v>59</v>
      </c>
      <c r="Y1122" s="20" t="s">
        <v>59</v>
      </c>
      <c r="Z1122" s="20" t="s">
        <v>167</v>
      </c>
      <c r="AA1122" s="20" t="s">
        <v>168</v>
      </c>
      <c r="AB1122" s="20" t="s">
        <v>96</v>
      </c>
      <c r="AC1122" s="28">
        <v>369.83</v>
      </c>
      <c r="AD1122" s="28">
        <f>SUM(BASE[[#This Row],[MONTO DE RENTA ]]*1.16)</f>
        <v>429.00279999999998</v>
      </c>
      <c r="AE1122" s="28" t="s">
        <v>63</v>
      </c>
      <c r="AF1122" s="28">
        <v>369.82758620689657</v>
      </c>
      <c r="AG1122" s="28">
        <v>429</v>
      </c>
      <c r="AH1122" s="22" t="s">
        <v>64</v>
      </c>
      <c r="AI1122" s="63">
        <v>45703</v>
      </c>
      <c r="AJ1122" s="63">
        <v>46433</v>
      </c>
      <c r="AK112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2" s="30"/>
      <c r="AN1122" s="20" t="s">
        <v>65</v>
      </c>
      <c r="AP1122" s="20" t="s">
        <v>84</v>
      </c>
    </row>
    <row r="1123" spans="1:43" ht="16">
      <c r="A1123" s="20">
        <v>7731821959</v>
      </c>
      <c r="B1123" s="59">
        <v>1002784</v>
      </c>
      <c r="C1123" s="20" t="s">
        <v>5050</v>
      </c>
      <c r="D1123" s="20" t="s">
        <v>657</v>
      </c>
      <c r="E1123" s="20" t="s">
        <v>324</v>
      </c>
      <c r="F1123" s="20" t="s">
        <v>1310</v>
      </c>
      <c r="G1123" s="20" t="s">
        <v>1310</v>
      </c>
      <c r="H1123" s="20" t="s">
        <v>48</v>
      </c>
      <c r="I1123" s="20" t="s">
        <v>1310</v>
      </c>
      <c r="J1123" s="22" t="s">
        <v>5051</v>
      </c>
      <c r="K1123" s="22" t="s">
        <v>5051</v>
      </c>
      <c r="L1123" s="23" t="s">
        <v>5007</v>
      </c>
      <c r="M1123" s="24" t="s">
        <v>7752</v>
      </c>
      <c r="N1123" s="23">
        <v>18799000</v>
      </c>
      <c r="O1123" s="25" t="s">
        <v>52</v>
      </c>
      <c r="P1123" s="25" t="s">
        <v>53</v>
      </c>
      <c r="Q1123" s="20" t="s">
        <v>5052</v>
      </c>
      <c r="R1123" s="20">
        <v>93579772</v>
      </c>
      <c r="S1123" s="25" t="s">
        <v>5053</v>
      </c>
      <c r="T1123" s="26" t="s">
        <v>57</v>
      </c>
      <c r="U1123" s="23" t="s">
        <v>193</v>
      </c>
      <c r="V1123" s="27" t="s">
        <v>57</v>
      </c>
      <c r="W1123" s="20" t="s">
        <v>194</v>
      </c>
      <c r="X1123" s="20" t="s">
        <v>194</v>
      </c>
      <c r="Y1123" s="20" t="s">
        <v>194</v>
      </c>
      <c r="Z1123" s="20" t="s">
        <v>167</v>
      </c>
      <c r="AA1123" s="20" t="s">
        <v>168</v>
      </c>
      <c r="AB1123" s="20" t="s">
        <v>96</v>
      </c>
      <c r="AC1123" s="28">
        <v>369.83</v>
      </c>
      <c r="AD1123" s="28">
        <f>SUM(BASE[[#This Row],[MONTO DE RENTA ]]*1.16)</f>
        <v>429.00279999999998</v>
      </c>
      <c r="AE1123" s="28" t="s">
        <v>63</v>
      </c>
      <c r="AF1123" s="28">
        <v>369.82758620689657</v>
      </c>
      <c r="AG1123" s="28">
        <v>429</v>
      </c>
      <c r="AI1123" s="29">
        <v>44937</v>
      </c>
      <c r="AJ1123" s="46">
        <v>46681</v>
      </c>
      <c r="AK112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123" s="30"/>
      <c r="AN1123" s="20" t="s">
        <v>65</v>
      </c>
      <c r="AP1123" s="20" t="s">
        <v>84</v>
      </c>
    </row>
    <row r="1124" spans="1:43" ht="16">
      <c r="A1124" s="238">
        <v>5580372806</v>
      </c>
      <c r="B1124" s="201">
        <v>990063</v>
      </c>
      <c r="C1124" s="20" t="s">
        <v>5054</v>
      </c>
      <c r="D1124" s="20" t="s">
        <v>5055</v>
      </c>
      <c r="E1124" s="20" t="s">
        <v>5055</v>
      </c>
      <c r="F1124" s="20" t="s">
        <v>2023</v>
      </c>
      <c r="G1124" s="20" t="s">
        <v>2023</v>
      </c>
      <c r="H1124" s="20" t="s">
        <v>48</v>
      </c>
      <c r="I1124" s="20" t="s">
        <v>2023</v>
      </c>
      <c r="J1124" s="119" t="s">
        <v>5056</v>
      </c>
      <c r="K1124" s="119" t="s">
        <v>5056</v>
      </c>
      <c r="L1124" s="202" t="s">
        <v>5007</v>
      </c>
      <c r="M1124" s="24" t="s">
        <v>7752</v>
      </c>
      <c r="N1124" s="23">
        <v>18799000</v>
      </c>
      <c r="O1124" s="25" t="s">
        <v>52</v>
      </c>
      <c r="P1124" s="25" t="s">
        <v>53</v>
      </c>
      <c r="Q1124" s="20" t="s">
        <v>5057</v>
      </c>
      <c r="R1124" s="20">
        <v>98404654</v>
      </c>
      <c r="S1124" s="25" t="s">
        <v>5058</v>
      </c>
      <c r="T1124" s="173" t="s">
        <v>57</v>
      </c>
      <c r="U1124" s="23">
        <v>865356065689564</v>
      </c>
      <c r="V1124" s="27" t="s">
        <v>183</v>
      </c>
      <c r="W1124" s="20" t="s">
        <v>129</v>
      </c>
      <c r="X1124" s="20" t="s">
        <v>130</v>
      </c>
      <c r="Y1124" s="20" t="s">
        <v>130</v>
      </c>
      <c r="Z1124" s="20" t="s">
        <v>60</v>
      </c>
      <c r="AA1124" s="20" t="s">
        <v>61</v>
      </c>
      <c r="AB1124" s="20" t="s">
        <v>96</v>
      </c>
      <c r="AC1124" s="28">
        <v>369.83</v>
      </c>
      <c r="AD1124" s="120">
        <f>SUM(BASE[[#This Row],[MONTO DE RENTA ]]*1.16)</f>
        <v>429.00279999999998</v>
      </c>
      <c r="AE1124" s="28" t="s">
        <v>63</v>
      </c>
      <c r="AF1124" s="120">
        <v>369.82758620689657</v>
      </c>
      <c r="AG1124" s="120">
        <v>429</v>
      </c>
      <c r="AH1124" s="121" t="s">
        <v>116</v>
      </c>
      <c r="AI1124" s="122">
        <v>45377</v>
      </c>
      <c r="AJ1124" s="122">
        <v>45742</v>
      </c>
      <c r="AK1124" s="123">
        <f ca="1">IFERROR(IF(BASE[[#This Row],[FECHA DE RENOVACION ]]&gt;TODAY(), DATEDIF(TODAY(),BASE[[#This Row],[FECHA DE RENOVACION ]],"M"), -DATEDIF(BASE[[#This Row],[FECHA DE RENOVACION ]],TODAY(),"M")), "Sin fecha")</f>
        <v>-11</v>
      </c>
      <c r="AL1124" s="83">
        <v>18799000</v>
      </c>
      <c r="AM1124" s="123"/>
      <c r="AN1124" s="20" t="s">
        <v>99</v>
      </c>
      <c r="AP1124" s="20" t="s">
        <v>84</v>
      </c>
      <c r="AQ1124" s="20" t="s">
        <v>100</v>
      </c>
    </row>
    <row r="1125" spans="1:43" ht="16">
      <c r="A1125" s="20">
        <v>7712205960</v>
      </c>
      <c r="B1125" s="21">
        <v>990027</v>
      </c>
      <c r="C1125" s="20" t="s">
        <v>5059</v>
      </c>
      <c r="D1125" s="20" t="s">
        <v>376</v>
      </c>
      <c r="E1125" s="20" t="s">
        <v>462</v>
      </c>
      <c r="F1125" s="20" t="s">
        <v>5060</v>
      </c>
      <c r="G1125" s="20" t="s">
        <v>5060</v>
      </c>
      <c r="H1125" s="20" t="s">
        <v>48</v>
      </c>
      <c r="I1125" s="20" t="s">
        <v>5060</v>
      </c>
      <c r="J1125" s="22" t="s">
        <v>5061</v>
      </c>
      <c r="K1125" s="22" t="s">
        <v>5061</v>
      </c>
      <c r="L1125" s="23" t="s">
        <v>5007</v>
      </c>
      <c r="M1125" s="24" t="s">
        <v>7752</v>
      </c>
      <c r="N1125" s="23">
        <v>18799000</v>
      </c>
      <c r="O1125" s="25" t="s">
        <v>52</v>
      </c>
      <c r="P1125" s="25" t="s">
        <v>53</v>
      </c>
      <c r="Q1125" s="20" t="s">
        <v>5062</v>
      </c>
      <c r="R1125" s="20">
        <v>90348599</v>
      </c>
      <c r="S1125" s="25" t="s">
        <v>5063</v>
      </c>
      <c r="T1125" s="26" t="s">
        <v>77</v>
      </c>
      <c r="U1125" s="23">
        <v>351307357703192</v>
      </c>
      <c r="V1125" s="27" t="s">
        <v>78</v>
      </c>
      <c r="W1125" s="20" t="s">
        <v>79</v>
      </c>
      <c r="X1125" s="20" t="s">
        <v>79</v>
      </c>
      <c r="Y1125" s="20" t="s">
        <v>79</v>
      </c>
      <c r="Z1125" s="20" t="s">
        <v>167</v>
      </c>
      <c r="AA1125" s="20" t="s">
        <v>168</v>
      </c>
      <c r="AB1125" s="20" t="s">
        <v>82</v>
      </c>
      <c r="AC1125" s="28">
        <v>559.48</v>
      </c>
      <c r="AD1125" s="28">
        <f>SUM(BASE[[#This Row],[MONTO DE RENTA ]]*1.16)</f>
        <v>648.99680000000001</v>
      </c>
      <c r="AE1125" s="28" t="s">
        <v>83</v>
      </c>
      <c r="AF1125" s="28">
        <v>559.48275862068965</v>
      </c>
      <c r="AG1125" s="28">
        <v>649</v>
      </c>
      <c r="AH1125" s="22" t="s">
        <v>64</v>
      </c>
      <c r="AI1125" s="63">
        <v>45703</v>
      </c>
      <c r="AJ1125" s="63">
        <v>46433</v>
      </c>
      <c r="AK11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5" s="30"/>
      <c r="AN1125" s="20" t="s">
        <v>65</v>
      </c>
      <c r="AP1125" s="20" t="s">
        <v>84</v>
      </c>
    </row>
    <row r="1126" spans="1:43" ht="15">
      <c r="A1126" s="20">
        <v>5625659089</v>
      </c>
      <c r="B1126">
        <v>1024419</v>
      </c>
      <c r="C1126" s="20" t="s">
        <v>5064</v>
      </c>
      <c r="D1126" s="20" t="s">
        <v>5065</v>
      </c>
      <c r="E1126" s="20" t="s">
        <v>947</v>
      </c>
      <c r="F1126" s="20" t="s">
        <v>5066</v>
      </c>
      <c r="G1126" s="20" t="s">
        <v>5066</v>
      </c>
      <c r="H1126" s="20" t="s">
        <v>48</v>
      </c>
      <c r="I1126" s="20" t="s">
        <v>5066</v>
      </c>
      <c r="J1126" s="22" t="s">
        <v>5067</v>
      </c>
      <c r="K1126" s="22" t="s">
        <v>5067</v>
      </c>
      <c r="L1126" s="23" t="s">
        <v>5007</v>
      </c>
      <c r="M1126" s="24" t="s">
        <v>7752</v>
      </c>
      <c r="N1126" s="23">
        <v>18799000</v>
      </c>
      <c r="O1126" s="25" t="s">
        <v>52</v>
      </c>
      <c r="P1126" s="25" t="s">
        <v>53</v>
      </c>
      <c r="Q1126" s="20" t="s">
        <v>5068</v>
      </c>
      <c r="R1126" s="20">
        <v>90159656</v>
      </c>
      <c r="S1126" s="25" t="s">
        <v>5069</v>
      </c>
      <c r="T1126" s="26" t="s">
        <v>57</v>
      </c>
      <c r="U1126" s="23">
        <v>860900062319504</v>
      </c>
      <c r="V1126" s="27" t="s">
        <v>57</v>
      </c>
      <c r="W1126" s="20" t="s">
        <v>58</v>
      </c>
      <c r="X1126" s="20" t="s">
        <v>59</v>
      </c>
      <c r="Y1126" s="20" t="s">
        <v>59</v>
      </c>
      <c r="Z1126" s="20" t="s">
        <v>167</v>
      </c>
      <c r="AA1126" s="20" t="s">
        <v>168</v>
      </c>
      <c r="AB1126" s="20" t="s">
        <v>96</v>
      </c>
      <c r="AC1126" s="28">
        <v>369.83</v>
      </c>
      <c r="AD1126" s="28">
        <f>SUM(BASE[[#This Row],[MONTO DE RENTA ]]*1.16)</f>
        <v>429.00279999999998</v>
      </c>
      <c r="AE1126" s="28" t="s">
        <v>63</v>
      </c>
      <c r="AF1126" s="28">
        <v>369.82758620689657</v>
      </c>
      <c r="AG1126" s="28">
        <v>429</v>
      </c>
      <c r="AH1126" s="22" t="s">
        <v>64</v>
      </c>
      <c r="AI1126" s="63">
        <v>45703</v>
      </c>
      <c r="AJ1126" s="63">
        <v>46433</v>
      </c>
      <c r="AK11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6" s="30"/>
      <c r="AN1126" s="20" t="s">
        <v>65</v>
      </c>
      <c r="AP1126" s="20" t="s">
        <v>84</v>
      </c>
    </row>
    <row r="1127" spans="1:43" ht="16">
      <c r="A1127" s="20">
        <v>7751209131</v>
      </c>
      <c r="B1127" s="21">
        <v>990037</v>
      </c>
      <c r="C1127" s="20" t="s">
        <v>998</v>
      </c>
      <c r="D1127" s="20" t="s">
        <v>2627</v>
      </c>
      <c r="E1127" s="20" t="s">
        <v>5070</v>
      </c>
      <c r="F1127" s="20" t="s">
        <v>1018</v>
      </c>
      <c r="G1127" s="20" t="s">
        <v>1018</v>
      </c>
      <c r="H1127" s="20" t="s">
        <v>48</v>
      </c>
      <c r="I1127" s="20" t="s">
        <v>1018</v>
      </c>
      <c r="J1127" s="22" t="s">
        <v>5071</v>
      </c>
      <c r="K1127" s="22" t="s">
        <v>5071</v>
      </c>
      <c r="L1127" s="23" t="s">
        <v>5007</v>
      </c>
      <c r="M1127" s="24" t="s">
        <v>7752</v>
      </c>
      <c r="N1127" s="23">
        <v>18799000</v>
      </c>
      <c r="O1127" s="25" t="s">
        <v>52</v>
      </c>
      <c r="P1127" s="25" t="s">
        <v>53</v>
      </c>
      <c r="Q1127" s="20" t="s">
        <v>5072</v>
      </c>
      <c r="R1127" s="20">
        <v>90227286</v>
      </c>
      <c r="S1127" s="25" t="s">
        <v>5073</v>
      </c>
      <c r="T1127" s="26" t="s">
        <v>57</v>
      </c>
      <c r="U1127" s="23">
        <v>860900062337571</v>
      </c>
      <c r="V1127" s="27" t="s">
        <v>57</v>
      </c>
      <c r="W1127" s="20" t="s">
        <v>58</v>
      </c>
      <c r="X1127" s="20" t="s">
        <v>59</v>
      </c>
      <c r="Y1127" s="20" t="s">
        <v>59</v>
      </c>
      <c r="Z1127" s="20" t="s">
        <v>167</v>
      </c>
      <c r="AA1127" s="20" t="s">
        <v>168</v>
      </c>
      <c r="AB1127" s="20" t="s">
        <v>96</v>
      </c>
      <c r="AC1127" s="28">
        <v>369.83</v>
      </c>
      <c r="AD1127" s="28">
        <f>SUM(BASE[[#This Row],[MONTO DE RENTA ]]*1.16)</f>
        <v>429.00279999999998</v>
      </c>
      <c r="AE1127" s="28" t="s">
        <v>63</v>
      </c>
      <c r="AF1127" s="28">
        <v>369.82758620689657</v>
      </c>
      <c r="AG1127" s="28">
        <v>429</v>
      </c>
      <c r="AH1127" s="22" t="s">
        <v>64</v>
      </c>
      <c r="AI1127" s="63">
        <v>45713</v>
      </c>
      <c r="AJ1127" s="63">
        <v>46433</v>
      </c>
      <c r="AK11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7" s="30"/>
      <c r="AN1127" s="20" t="s">
        <v>65</v>
      </c>
      <c r="AP1127" s="20" t="s">
        <v>84</v>
      </c>
    </row>
    <row r="1128" spans="1:43" ht="16">
      <c r="A1128" s="20">
        <v>7711000686</v>
      </c>
      <c r="B1128" s="21">
        <v>990063</v>
      </c>
      <c r="C1128" s="20" t="s">
        <v>5054</v>
      </c>
      <c r="D1128" s="20" t="s">
        <v>5055</v>
      </c>
      <c r="E1128" s="20" t="s">
        <v>5055</v>
      </c>
      <c r="F1128" s="20" t="s">
        <v>2023</v>
      </c>
      <c r="G1128" s="20" t="s">
        <v>2023</v>
      </c>
      <c r="H1128" s="20" t="s">
        <v>48</v>
      </c>
      <c r="I1128" s="20" t="s">
        <v>2023</v>
      </c>
      <c r="J1128" s="22" t="s">
        <v>5071</v>
      </c>
      <c r="K1128" s="22" t="s">
        <v>5071</v>
      </c>
      <c r="L1128" s="23" t="s">
        <v>5007</v>
      </c>
      <c r="M1128" s="24" t="s">
        <v>7752</v>
      </c>
      <c r="N1128" s="23">
        <v>18799000</v>
      </c>
      <c r="O1128" s="25" t="s">
        <v>52</v>
      </c>
      <c r="P1128" s="25" t="s">
        <v>53</v>
      </c>
      <c r="Q1128" s="20" t="s">
        <v>5074</v>
      </c>
      <c r="R1128" s="20">
        <v>90182658</v>
      </c>
      <c r="S1128" s="25" t="s">
        <v>5075</v>
      </c>
      <c r="T1128" s="26" t="s">
        <v>57</v>
      </c>
      <c r="U1128" s="23">
        <v>860900062337571</v>
      </c>
      <c r="V1128" s="27" t="s">
        <v>57</v>
      </c>
      <c r="W1128" s="20" t="s">
        <v>58</v>
      </c>
      <c r="X1128" s="20" t="s">
        <v>59</v>
      </c>
      <c r="Y1128" s="20" t="s">
        <v>59</v>
      </c>
      <c r="Z1128" s="20" t="s">
        <v>167</v>
      </c>
      <c r="AA1128" s="20" t="s">
        <v>168</v>
      </c>
      <c r="AB1128" s="20" t="s">
        <v>96</v>
      </c>
      <c r="AC1128" s="28">
        <v>369.83</v>
      </c>
      <c r="AD1128" s="28">
        <f>SUM(BASE[[#This Row],[MONTO DE RENTA ]]*1.16)</f>
        <v>429.00279999999998</v>
      </c>
      <c r="AE1128" s="28" t="s">
        <v>63</v>
      </c>
      <c r="AF1128" s="28">
        <v>369.82758620689657</v>
      </c>
      <c r="AG1128" s="28">
        <v>429</v>
      </c>
      <c r="AH1128" s="22" t="s">
        <v>64</v>
      </c>
      <c r="AI1128" s="63">
        <v>45713</v>
      </c>
      <c r="AJ1128" s="63">
        <v>46433</v>
      </c>
      <c r="AK11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8" s="30"/>
      <c r="AN1128" s="20" t="s">
        <v>65</v>
      </c>
      <c r="AP1128" s="20" t="s">
        <v>84</v>
      </c>
    </row>
    <row r="1129" spans="1:43" ht="16">
      <c r="A1129" s="20">
        <v>7712325045</v>
      </c>
      <c r="B1129" s="21">
        <v>990003</v>
      </c>
      <c r="C1129" s="20" t="s">
        <v>4212</v>
      </c>
      <c r="D1129" s="20" t="s">
        <v>4271</v>
      </c>
      <c r="E1129" s="20" t="s">
        <v>306</v>
      </c>
      <c r="F1129" s="20" t="s">
        <v>1296</v>
      </c>
      <c r="G1129" s="20" t="s">
        <v>1296</v>
      </c>
      <c r="H1129" s="20" t="s">
        <v>48</v>
      </c>
      <c r="I1129" s="20" t="s">
        <v>1296</v>
      </c>
      <c r="J1129" s="32" t="s">
        <v>5071</v>
      </c>
      <c r="K1129" s="32" t="s">
        <v>5071</v>
      </c>
      <c r="L1129" s="23" t="s">
        <v>5007</v>
      </c>
      <c r="M1129" s="24" t="s">
        <v>7752</v>
      </c>
      <c r="N1129" s="23">
        <v>18799000</v>
      </c>
      <c r="O1129" s="25" t="s">
        <v>52</v>
      </c>
      <c r="P1129" s="25" t="s">
        <v>53</v>
      </c>
      <c r="Q1129" s="20" t="s">
        <v>5076</v>
      </c>
      <c r="R1129" s="20">
        <v>90159773</v>
      </c>
      <c r="S1129" s="25" t="s">
        <v>5077</v>
      </c>
      <c r="T1129" s="26" t="s">
        <v>57</v>
      </c>
      <c r="U1129" s="23">
        <v>860900062337571</v>
      </c>
      <c r="V1129" s="27" t="s">
        <v>57</v>
      </c>
      <c r="W1129" s="20" t="s">
        <v>58</v>
      </c>
      <c r="X1129" s="20" t="s">
        <v>59</v>
      </c>
      <c r="Y1129" s="20" t="s">
        <v>59</v>
      </c>
      <c r="Z1129" s="20" t="s">
        <v>167</v>
      </c>
      <c r="AA1129" s="20" t="s">
        <v>168</v>
      </c>
      <c r="AB1129" s="20" t="s">
        <v>96</v>
      </c>
      <c r="AC1129" s="28">
        <v>369.83</v>
      </c>
      <c r="AD1129" s="28">
        <f>SUM(BASE[[#This Row],[MONTO DE RENTA ]]*1.16)</f>
        <v>429.00279999999998</v>
      </c>
      <c r="AE1129" s="28" t="s">
        <v>63</v>
      </c>
      <c r="AF1129" s="28">
        <v>369.82758620689657</v>
      </c>
      <c r="AG1129" s="28">
        <v>429</v>
      </c>
      <c r="AH1129" s="22" t="s">
        <v>64</v>
      </c>
      <c r="AI1129" s="63">
        <v>45703</v>
      </c>
      <c r="AJ1129" s="63">
        <v>46433</v>
      </c>
      <c r="AK112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29" s="30"/>
      <c r="AN1129" s="20" t="s">
        <v>65</v>
      </c>
      <c r="AP1129" s="20" t="s">
        <v>84</v>
      </c>
    </row>
    <row r="1130" spans="1:43" ht="16">
      <c r="A1130" s="20">
        <v>7711687387</v>
      </c>
      <c r="B1130" s="21">
        <v>1006521</v>
      </c>
      <c r="C1130" s="20" t="s">
        <v>5078</v>
      </c>
      <c r="D1130" s="20" t="s">
        <v>711</v>
      </c>
      <c r="E1130" s="20" t="s">
        <v>3004</v>
      </c>
      <c r="F1130" s="20" t="s">
        <v>5079</v>
      </c>
      <c r="G1130" s="20" t="s">
        <v>5079</v>
      </c>
      <c r="H1130" s="20" t="s">
        <v>48</v>
      </c>
      <c r="I1130" s="20" t="s">
        <v>5079</v>
      </c>
      <c r="J1130" s="22" t="s">
        <v>5071</v>
      </c>
      <c r="K1130" s="22" t="s">
        <v>5071</v>
      </c>
      <c r="L1130" s="23" t="s">
        <v>5007</v>
      </c>
      <c r="M1130" s="24" t="s">
        <v>7752</v>
      </c>
      <c r="N1130" s="23">
        <v>18799000</v>
      </c>
      <c r="O1130" s="25" t="s">
        <v>52</v>
      </c>
      <c r="P1130" s="25" t="s">
        <v>53</v>
      </c>
      <c r="Q1130" s="20" t="s">
        <v>5080</v>
      </c>
      <c r="R1130" s="20">
        <v>90182636</v>
      </c>
      <c r="S1130" s="25" t="s">
        <v>5081</v>
      </c>
      <c r="T1130" s="26" t="s">
        <v>57</v>
      </c>
      <c r="U1130" s="23">
        <v>860900062337571</v>
      </c>
      <c r="V1130" s="27" t="s">
        <v>57</v>
      </c>
      <c r="W1130" s="20" t="s">
        <v>58</v>
      </c>
      <c r="X1130" s="20" t="s">
        <v>59</v>
      </c>
      <c r="Y1130" s="20" t="s">
        <v>59</v>
      </c>
      <c r="Z1130" s="20" t="s">
        <v>60</v>
      </c>
      <c r="AA1130" s="20" t="s">
        <v>61</v>
      </c>
      <c r="AB1130" s="20" t="s">
        <v>96</v>
      </c>
      <c r="AC1130" s="28">
        <v>369.83</v>
      </c>
      <c r="AD1130" s="28">
        <f>SUM(BASE[[#This Row],[MONTO DE RENTA ]]*1.16)</f>
        <v>429.00279999999998</v>
      </c>
      <c r="AE1130" s="28" t="s">
        <v>63</v>
      </c>
      <c r="AF1130" s="28">
        <v>369.82758620689657</v>
      </c>
      <c r="AG1130" s="28">
        <v>429</v>
      </c>
      <c r="AH1130" s="22" t="s">
        <v>64</v>
      </c>
      <c r="AI1130" s="63">
        <v>45703</v>
      </c>
      <c r="AJ1130" s="63">
        <v>46433</v>
      </c>
      <c r="AK113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0" s="30"/>
      <c r="AN1130" s="20" t="s">
        <v>65</v>
      </c>
      <c r="AP1130" s="20" t="s">
        <v>84</v>
      </c>
    </row>
    <row r="1131" spans="1:43" ht="16">
      <c r="A1131" s="20">
        <v>7712325050</v>
      </c>
      <c r="B1131" s="21">
        <v>1004515</v>
      </c>
      <c r="C1131" s="20" t="s">
        <v>1494</v>
      </c>
      <c r="D1131" s="20" t="s">
        <v>143</v>
      </c>
      <c r="E1131" s="20" t="s">
        <v>3206</v>
      </c>
      <c r="F1131" s="20" t="s">
        <v>530</v>
      </c>
      <c r="G1131" s="20" t="s">
        <v>530</v>
      </c>
      <c r="H1131" s="20" t="s">
        <v>48</v>
      </c>
      <c r="I1131" s="20" t="s">
        <v>530</v>
      </c>
      <c r="J1131" s="22" t="s">
        <v>5082</v>
      </c>
      <c r="K1131" s="54" t="s">
        <v>5082</v>
      </c>
      <c r="L1131" s="23" t="s">
        <v>5007</v>
      </c>
      <c r="M1131" s="24" t="s">
        <v>7752</v>
      </c>
      <c r="N1131" s="23">
        <v>18799000</v>
      </c>
      <c r="O1131" s="25" t="s">
        <v>52</v>
      </c>
      <c r="P1131" s="25" t="s">
        <v>53</v>
      </c>
      <c r="Q1131" s="20" t="s">
        <v>5083</v>
      </c>
      <c r="R1131" s="20">
        <v>90159594</v>
      </c>
      <c r="S1131" s="25" t="s">
        <v>5084</v>
      </c>
      <c r="T1131" s="65" t="s">
        <v>57</v>
      </c>
      <c r="U1131" s="23">
        <v>860900062337019</v>
      </c>
      <c r="V1131" s="27" t="s">
        <v>57</v>
      </c>
      <c r="W1131" s="20" t="s">
        <v>58</v>
      </c>
      <c r="X1131" s="20" t="s">
        <v>59</v>
      </c>
      <c r="Y1131" s="20" t="s">
        <v>59</v>
      </c>
      <c r="Z1131" s="20" t="s">
        <v>167</v>
      </c>
      <c r="AA1131" s="20" t="s">
        <v>168</v>
      </c>
      <c r="AB1131" s="20" t="s">
        <v>96</v>
      </c>
      <c r="AC1131" s="28">
        <v>369.83</v>
      </c>
      <c r="AD1131" s="28">
        <f>SUM(BASE[[#This Row],[MONTO DE RENTA ]]*1.16)</f>
        <v>429.00279999999998</v>
      </c>
      <c r="AE1131" s="28" t="s">
        <v>63</v>
      </c>
      <c r="AF1131" s="28">
        <v>369.82758620689657</v>
      </c>
      <c r="AG1131" s="28">
        <v>429</v>
      </c>
      <c r="AH1131" s="22" t="s">
        <v>116</v>
      </c>
      <c r="AI1131" s="63">
        <v>45710</v>
      </c>
      <c r="AJ1131" s="63">
        <v>46402</v>
      </c>
      <c r="AK1131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131" s="63">
        <v>46200</v>
      </c>
      <c r="AM1131" s="30"/>
      <c r="AN1131" s="20" t="s">
        <v>65</v>
      </c>
      <c r="AP1131" s="20" t="s">
        <v>84</v>
      </c>
    </row>
    <row r="1132" spans="1:43" ht="16">
      <c r="A1132" s="20">
        <v>7712325042</v>
      </c>
      <c r="B1132" s="21">
        <v>1004515</v>
      </c>
      <c r="C1132" s="20" t="s">
        <v>1494</v>
      </c>
      <c r="D1132" s="20" t="s">
        <v>143</v>
      </c>
      <c r="E1132" s="20" t="s">
        <v>3206</v>
      </c>
      <c r="F1132" s="20" t="s">
        <v>530</v>
      </c>
      <c r="G1132" s="20" t="s">
        <v>530</v>
      </c>
      <c r="H1132" s="20" t="s">
        <v>48</v>
      </c>
      <c r="I1132" s="20" t="s">
        <v>530</v>
      </c>
      <c r="J1132" s="22" t="s">
        <v>5085</v>
      </c>
      <c r="K1132" s="22" t="s">
        <v>5085</v>
      </c>
      <c r="L1132" s="23" t="s">
        <v>5007</v>
      </c>
      <c r="M1132" s="24" t="s">
        <v>7752</v>
      </c>
      <c r="N1132" s="23">
        <v>18799000</v>
      </c>
      <c r="O1132" s="25" t="s">
        <v>52</v>
      </c>
      <c r="P1132" s="25" t="s">
        <v>53</v>
      </c>
      <c r="Q1132" s="20" t="s">
        <v>5086</v>
      </c>
      <c r="R1132" s="20">
        <v>90159736</v>
      </c>
      <c r="S1132" s="25" t="s">
        <v>5087</v>
      </c>
      <c r="T1132" s="26" t="s">
        <v>57</v>
      </c>
      <c r="U1132" s="23">
        <v>860900062319066</v>
      </c>
      <c r="V1132" s="27" t="s">
        <v>57</v>
      </c>
      <c r="W1132" s="20" t="s">
        <v>58</v>
      </c>
      <c r="X1132" s="20" t="s">
        <v>59</v>
      </c>
      <c r="Y1132" s="20" t="s">
        <v>59</v>
      </c>
      <c r="Z1132" s="20" t="s">
        <v>167</v>
      </c>
      <c r="AA1132" s="20" t="s">
        <v>168</v>
      </c>
      <c r="AB1132" s="20" t="s">
        <v>96</v>
      </c>
      <c r="AC1132" s="28">
        <v>369.83</v>
      </c>
      <c r="AD1132" s="28">
        <f>SUM(BASE[[#This Row],[MONTO DE RENTA ]]*1.16)</f>
        <v>429.00279999999998</v>
      </c>
      <c r="AE1132" s="28" t="s">
        <v>63</v>
      </c>
      <c r="AF1132" s="28">
        <v>369.82758620689657</v>
      </c>
      <c r="AG1132" s="28">
        <v>429</v>
      </c>
      <c r="AH1132" s="22" t="s">
        <v>64</v>
      </c>
      <c r="AI1132" s="63">
        <v>45703</v>
      </c>
      <c r="AJ1132" s="63">
        <v>46433</v>
      </c>
      <c r="AK11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2" s="30"/>
      <c r="AN1132" s="20" t="s">
        <v>65</v>
      </c>
      <c r="AP1132" s="20" t="s">
        <v>84</v>
      </c>
    </row>
    <row r="1133" spans="1:43" ht="16">
      <c r="A1133" s="88">
        <v>5531216679</v>
      </c>
      <c r="B1133" s="89">
        <v>1042042</v>
      </c>
      <c r="C1133" s="20" t="s">
        <v>1209</v>
      </c>
      <c r="D1133" s="20" t="s">
        <v>1942</v>
      </c>
      <c r="E1133" s="20" t="s">
        <v>358</v>
      </c>
      <c r="F1133" s="20" t="s">
        <v>1353</v>
      </c>
      <c r="G1133" s="20" t="s">
        <v>1353</v>
      </c>
      <c r="H1133" s="20" t="s">
        <v>48</v>
      </c>
      <c r="I1133" s="20" t="s">
        <v>1353</v>
      </c>
      <c r="J1133" s="92" t="s">
        <v>5088</v>
      </c>
      <c r="K1133" s="90" t="s">
        <v>5089</v>
      </c>
      <c r="L1133" s="23" t="s">
        <v>5007</v>
      </c>
      <c r="M1133" s="24" t="s">
        <v>7752</v>
      </c>
      <c r="N1133" s="23">
        <v>18799000</v>
      </c>
      <c r="O1133" s="25" t="s">
        <v>52</v>
      </c>
      <c r="P1133" s="25" t="s">
        <v>53</v>
      </c>
      <c r="Q1133" s="20" t="s">
        <v>5090</v>
      </c>
      <c r="R1133" s="20">
        <v>9662738</v>
      </c>
      <c r="S1133" s="25" t="s">
        <v>55</v>
      </c>
      <c r="T1133" s="67" t="s">
        <v>56</v>
      </c>
      <c r="U1133" s="23">
        <v>865356065670457</v>
      </c>
      <c r="V1133" s="27" t="s">
        <v>183</v>
      </c>
      <c r="W1133" s="20" t="s">
        <v>129</v>
      </c>
      <c r="X1133" s="20" t="s">
        <v>130</v>
      </c>
      <c r="Y1133" s="20" t="s">
        <v>130</v>
      </c>
      <c r="Z1133" s="20" t="s">
        <v>60</v>
      </c>
      <c r="AA1133" s="20" t="s">
        <v>61</v>
      </c>
      <c r="AB1133" s="20" t="s">
        <v>96</v>
      </c>
      <c r="AC1133" s="28">
        <v>369.83</v>
      </c>
      <c r="AD1133" s="28">
        <f>SUM(BASE[[#This Row],[MONTO DE RENTA ]]*1.16)</f>
        <v>429.00279999999998</v>
      </c>
      <c r="AE1133" s="28" t="s">
        <v>63</v>
      </c>
      <c r="AF1133" s="28">
        <v>369.82758620689657</v>
      </c>
      <c r="AG1133" s="28">
        <v>429</v>
      </c>
      <c r="AH1133" s="36" t="s">
        <v>64</v>
      </c>
      <c r="AI1133" s="84">
        <v>45323</v>
      </c>
      <c r="AJ1133" s="84">
        <v>46054</v>
      </c>
      <c r="AK113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133" s="88"/>
      <c r="AM1133" s="93"/>
      <c r="AN1133" s="20" t="s">
        <v>99</v>
      </c>
      <c r="AP1133" s="20" t="s">
        <v>84</v>
      </c>
      <c r="AQ1133" s="20" t="s">
        <v>100</v>
      </c>
    </row>
    <row r="1134" spans="1:43" ht="16">
      <c r="A1134" s="20">
        <v>5580253369</v>
      </c>
      <c r="B1134" s="21">
        <v>990071</v>
      </c>
      <c r="C1134" s="20" t="s">
        <v>5020</v>
      </c>
      <c r="D1134" s="20" t="s">
        <v>442</v>
      </c>
      <c r="E1134" s="20" t="s">
        <v>626</v>
      </c>
      <c r="F1134" s="20" t="s">
        <v>5021</v>
      </c>
      <c r="G1134" s="20" t="s">
        <v>5021</v>
      </c>
      <c r="H1134" s="20" t="s">
        <v>48</v>
      </c>
      <c r="I1134" s="20" t="s">
        <v>5021</v>
      </c>
      <c r="J1134" s="22" t="s">
        <v>5091</v>
      </c>
      <c r="K1134" s="22" t="s">
        <v>5091</v>
      </c>
      <c r="L1134" s="23" t="s">
        <v>5007</v>
      </c>
      <c r="M1134" s="24" t="s">
        <v>7752</v>
      </c>
      <c r="N1134" s="23">
        <v>18799000</v>
      </c>
      <c r="O1134" s="25" t="s">
        <v>52</v>
      </c>
      <c r="P1134" s="25" t="s">
        <v>53</v>
      </c>
      <c r="Q1134" s="20" t="s">
        <v>5092</v>
      </c>
      <c r="R1134" s="20">
        <v>90502684</v>
      </c>
      <c r="S1134" s="25" t="s">
        <v>5093</v>
      </c>
      <c r="T1134" s="26" t="s">
        <v>57</v>
      </c>
      <c r="U1134" s="23">
        <v>860900062337316</v>
      </c>
      <c r="V1134" s="27" t="s">
        <v>57</v>
      </c>
      <c r="W1134" s="20" t="s">
        <v>58</v>
      </c>
      <c r="X1134" s="20" t="s">
        <v>59</v>
      </c>
      <c r="Y1134" s="20" t="s">
        <v>59</v>
      </c>
      <c r="Z1134" s="20" t="s">
        <v>167</v>
      </c>
      <c r="AA1134" s="20" t="s">
        <v>168</v>
      </c>
      <c r="AB1134" s="20" t="s">
        <v>96</v>
      </c>
      <c r="AC1134" s="28">
        <v>369.83</v>
      </c>
      <c r="AD1134" s="28">
        <f>SUM(BASE[[#This Row],[MONTO DE RENTA ]]*1.16)</f>
        <v>429.00279999999998</v>
      </c>
      <c r="AE1134" s="28" t="s">
        <v>63</v>
      </c>
      <c r="AF1134" s="28">
        <v>369.82758620689657</v>
      </c>
      <c r="AG1134" s="28">
        <v>429</v>
      </c>
      <c r="AH1134" s="22" t="s">
        <v>64</v>
      </c>
      <c r="AI1134" s="63">
        <v>45713</v>
      </c>
      <c r="AJ1134" s="63">
        <v>46433</v>
      </c>
      <c r="AK11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4" s="30"/>
      <c r="AN1134" s="20" t="s">
        <v>65</v>
      </c>
      <c r="AP1134" s="20" t="s">
        <v>84</v>
      </c>
    </row>
    <row r="1135" spans="1:43" ht="16">
      <c r="A1135" s="20">
        <v>5535498923</v>
      </c>
      <c r="B1135" s="49">
        <v>1007695</v>
      </c>
      <c r="C1135" s="20" t="s">
        <v>5094</v>
      </c>
      <c r="D1135" s="20" t="s">
        <v>186</v>
      </c>
      <c r="E1135" s="20" t="s">
        <v>1351</v>
      </c>
      <c r="F1135" s="20" t="s">
        <v>1394</v>
      </c>
      <c r="G1135" s="20" t="s">
        <v>1394</v>
      </c>
      <c r="H1135" s="20" t="s">
        <v>48</v>
      </c>
      <c r="I1135" s="20" t="s">
        <v>1394</v>
      </c>
      <c r="J1135" s="54" t="s">
        <v>5095</v>
      </c>
      <c r="K1135" s="54" t="s">
        <v>5095</v>
      </c>
      <c r="L1135" s="23" t="s">
        <v>5007</v>
      </c>
      <c r="M1135" s="24" t="s">
        <v>7752</v>
      </c>
      <c r="N1135" s="23">
        <v>18799000</v>
      </c>
      <c r="O1135" s="25" t="s">
        <v>52</v>
      </c>
      <c r="P1135" s="25" t="s">
        <v>53</v>
      </c>
      <c r="Q1135" s="20" t="s">
        <v>5096</v>
      </c>
      <c r="R1135" s="20">
        <v>98935643</v>
      </c>
      <c r="S1135" s="25" t="s">
        <v>5097</v>
      </c>
      <c r="T1135" s="65" t="s">
        <v>57</v>
      </c>
      <c r="U1135" s="23">
        <v>865356065689523</v>
      </c>
      <c r="V1135" s="27" t="s">
        <v>183</v>
      </c>
      <c r="W1135" s="20" t="s">
        <v>129</v>
      </c>
      <c r="X1135" s="20" t="s">
        <v>130</v>
      </c>
      <c r="Y1135" s="20" t="s">
        <v>130</v>
      </c>
      <c r="Z1135" s="20" t="s">
        <v>167</v>
      </c>
      <c r="AA1135" s="20" t="s">
        <v>168</v>
      </c>
      <c r="AB1135" s="20" t="s">
        <v>96</v>
      </c>
      <c r="AC1135" s="28">
        <v>369.83</v>
      </c>
      <c r="AD1135" s="28">
        <f>SUM(BASE[[#This Row],[MONTO DE RENTA ]]*1.16)</f>
        <v>429.00279999999998</v>
      </c>
      <c r="AE1135" s="28" t="s">
        <v>63</v>
      </c>
      <c r="AF1135" s="28">
        <v>369.82758620689657</v>
      </c>
      <c r="AG1135" s="28">
        <v>429</v>
      </c>
      <c r="AH1135" s="22" t="s">
        <v>116</v>
      </c>
      <c r="AI1135" s="63">
        <v>45321</v>
      </c>
      <c r="AJ1135" s="63">
        <v>46040</v>
      </c>
      <c r="AK113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35" s="30"/>
      <c r="AN1135" s="20" t="s">
        <v>99</v>
      </c>
      <c r="AP1135" s="20" t="s">
        <v>84</v>
      </c>
      <c r="AQ1135" s="20" t="s">
        <v>100</v>
      </c>
    </row>
    <row r="1136" spans="1:43" ht="16">
      <c r="A1136" s="20">
        <v>5535499094</v>
      </c>
      <c r="B1136" s="48">
        <v>1024407</v>
      </c>
      <c r="C1136" s="20" t="s">
        <v>5098</v>
      </c>
      <c r="D1136" s="20" t="s">
        <v>598</v>
      </c>
      <c r="E1136" s="20" t="s">
        <v>657</v>
      </c>
      <c r="F1136" s="20" t="s">
        <v>1394</v>
      </c>
      <c r="G1136" s="20" t="s">
        <v>1394</v>
      </c>
      <c r="H1136" s="20" t="s">
        <v>48</v>
      </c>
      <c r="I1136" s="20" t="s">
        <v>1394</v>
      </c>
      <c r="J1136" s="54" t="s">
        <v>5099</v>
      </c>
      <c r="K1136" s="54" t="s">
        <v>5099</v>
      </c>
      <c r="L1136" s="23" t="s">
        <v>5007</v>
      </c>
      <c r="M1136" s="24" t="s">
        <v>7752</v>
      </c>
      <c r="N1136" s="23">
        <v>18799000</v>
      </c>
      <c r="O1136" s="25" t="s">
        <v>52</v>
      </c>
      <c r="P1136" s="25" t="s">
        <v>53</v>
      </c>
      <c r="Q1136" s="20" t="s">
        <v>5100</v>
      </c>
      <c r="R1136" s="20">
        <v>98935729</v>
      </c>
      <c r="S1136" s="25" t="s">
        <v>55</v>
      </c>
      <c r="T1136" s="65" t="s">
        <v>56</v>
      </c>
      <c r="U1136" s="23">
        <v>865356065672859</v>
      </c>
      <c r="V1136" s="27" t="s">
        <v>183</v>
      </c>
      <c r="W1136" s="20" t="s">
        <v>129</v>
      </c>
      <c r="X1136" s="20" t="s">
        <v>130</v>
      </c>
      <c r="Y1136" s="20" t="s">
        <v>130</v>
      </c>
      <c r="Z1136" s="20" t="s">
        <v>60</v>
      </c>
      <c r="AA1136" s="20" t="s">
        <v>61</v>
      </c>
      <c r="AB1136" s="20" t="s">
        <v>96</v>
      </c>
      <c r="AC1136" s="28">
        <v>369.83</v>
      </c>
      <c r="AD1136" s="28">
        <f>SUM(BASE[[#This Row],[MONTO DE RENTA ]]*1.16)</f>
        <v>429.00279999999998</v>
      </c>
      <c r="AE1136" s="28" t="s">
        <v>63</v>
      </c>
      <c r="AF1136" s="28">
        <v>369.82758620689657</v>
      </c>
      <c r="AG1136" s="28">
        <v>429</v>
      </c>
      <c r="AH1136" s="22" t="s">
        <v>116</v>
      </c>
      <c r="AI1136" s="63">
        <v>45321</v>
      </c>
      <c r="AJ1136" s="63">
        <v>46040</v>
      </c>
      <c r="AK11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36" s="30"/>
      <c r="AN1136" s="20" t="s">
        <v>99</v>
      </c>
      <c r="AP1136" s="20" t="s">
        <v>84</v>
      </c>
      <c r="AQ1136" s="20" t="s">
        <v>100</v>
      </c>
    </row>
    <row r="1137" spans="1:43" ht="16">
      <c r="A1137" s="20">
        <v>7712325060</v>
      </c>
      <c r="B1137" s="21">
        <v>1033673</v>
      </c>
      <c r="C1137" s="20" t="s">
        <v>5101</v>
      </c>
      <c r="D1137" s="20" t="s">
        <v>1104</v>
      </c>
      <c r="E1137" s="20" t="s">
        <v>5102</v>
      </c>
      <c r="F1137" s="20" t="s">
        <v>1388</v>
      </c>
      <c r="G1137" s="20" t="s">
        <v>1388</v>
      </c>
      <c r="H1137" s="20" t="s">
        <v>48</v>
      </c>
      <c r="I1137" s="20" t="s">
        <v>1388</v>
      </c>
      <c r="J1137" s="22" t="s">
        <v>706</v>
      </c>
      <c r="K1137" s="22" t="s">
        <v>706</v>
      </c>
      <c r="L1137" s="23" t="s">
        <v>5007</v>
      </c>
      <c r="M1137" s="24" t="s">
        <v>7752</v>
      </c>
      <c r="N1137" s="23">
        <v>18799000</v>
      </c>
      <c r="O1137" s="25" t="s">
        <v>52</v>
      </c>
      <c r="P1137" s="25" t="s">
        <v>53</v>
      </c>
      <c r="Q1137" s="20" t="s">
        <v>5103</v>
      </c>
      <c r="R1137" s="20">
        <v>90159564</v>
      </c>
      <c r="S1137" s="25" t="s">
        <v>5104</v>
      </c>
      <c r="T1137" s="26" t="s">
        <v>57</v>
      </c>
      <c r="U1137" s="23">
        <v>860900062337191</v>
      </c>
      <c r="V1137" s="27" t="s">
        <v>57</v>
      </c>
      <c r="W1137" s="20" t="s">
        <v>58</v>
      </c>
      <c r="X1137" s="20" t="s">
        <v>59</v>
      </c>
      <c r="Y1137" s="20" t="s">
        <v>59</v>
      </c>
      <c r="Z1137" s="20" t="s">
        <v>167</v>
      </c>
      <c r="AA1137" s="20" t="s">
        <v>168</v>
      </c>
      <c r="AB1137" s="20" t="s">
        <v>96</v>
      </c>
      <c r="AC1137" s="28">
        <v>369.83</v>
      </c>
      <c r="AD1137" s="28">
        <f>SUM(BASE[[#This Row],[MONTO DE RENTA ]]*1.16)</f>
        <v>429.00279999999998</v>
      </c>
      <c r="AE1137" s="28" t="s">
        <v>63</v>
      </c>
      <c r="AF1137" s="28">
        <v>369.82758620689657</v>
      </c>
      <c r="AG1137" s="28">
        <v>429</v>
      </c>
      <c r="AH1137" s="22" t="s">
        <v>64</v>
      </c>
      <c r="AI1137" s="63">
        <v>45703</v>
      </c>
      <c r="AJ1137" s="63">
        <v>46433</v>
      </c>
      <c r="AK11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7" s="30"/>
      <c r="AN1137" s="20" t="s">
        <v>65</v>
      </c>
      <c r="AP1137" s="20" t="s">
        <v>84</v>
      </c>
    </row>
    <row r="1138" spans="1:43" ht="16">
      <c r="A1138" s="20">
        <v>7731298228</v>
      </c>
      <c r="B1138" s="21">
        <v>705101</v>
      </c>
      <c r="C1138" s="20" t="s">
        <v>1855</v>
      </c>
      <c r="D1138" s="20" t="s">
        <v>657</v>
      </c>
      <c r="E1138" s="20" t="s">
        <v>383</v>
      </c>
      <c r="F1138" s="20" t="s">
        <v>5105</v>
      </c>
      <c r="G1138" s="20" t="s">
        <v>5105</v>
      </c>
      <c r="H1138" s="20" t="s">
        <v>48</v>
      </c>
      <c r="I1138" s="20" t="s">
        <v>5105</v>
      </c>
      <c r="J1138" s="22" t="s">
        <v>5106</v>
      </c>
      <c r="K1138" s="22" t="s">
        <v>5106</v>
      </c>
      <c r="L1138" s="23" t="s">
        <v>5007</v>
      </c>
      <c r="M1138" s="24" t="s">
        <v>7752</v>
      </c>
      <c r="N1138" s="23">
        <v>18799000</v>
      </c>
      <c r="O1138" s="25" t="s">
        <v>52</v>
      </c>
      <c r="P1138" s="25" t="s">
        <v>53</v>
      </c>
      <c r="Q1138" s="20" t="s">
        <v>5107</v>
      </c>
      <c r="R1138" s="20">
        <v>96572408</v>
      </c>
      <c r="S1138" s="25" t="s">
        <v>5108</v>
      </c>
      <c r="T1138" s="26" t="s">
        <v>57</v>
      </c>
      <c r="U1138" s="23">
        <v>860900062337175</v>
      </c>
      <c r="V1138" s="27" t="s">
        <v>57</v>
      </c>
      <c r="W1138" s="20" t="s">
        <v>58</v>
      </c>
      <c r="X1138" s="20" t="s">
        <v>59</v>
      </c>
      <c r="Y1138" s="20" t="s">
        <v>59</v>
      </c>
      <c r="Z1138" s="20" t="s">
        <v>167</v>
      </c>
      <c r="AA1138" s="20" t="s">
        <v>168</v>
      </c>
      <c r="AB1138" s="20" t="s">
        <v>96</v>
      </c>
      <c r="AC1138" s="28">
        <v>369.83</v>
      </c>
      <c r="AD1138" s="28">
        <f>SUM(BASE[[#This Row],[MONTO DE RENTA ]]*1.16)</f>
        <v>429.00279999999998</v>
      </c>
      <c r="AE1138" s="28" t="s">
        <v>63</v>
      </c>
      <c r="AF1138" s="28">
        <v>369.82758620689657</v>
      </c>
      <c r="AG1138" s="28">
        <v>429</v>
      </c>
      <c r="AH1138" s="22" t="s">
        <v>64</v>
      </c>
      <c r="AI1138" s="63">
        <v>45703</v>
      </c>
      <c r="AJ1138" s="63">
        <v>46433</v>
      </c>
      <c r="AK11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8" s="30"/>
      <c r="AN1138" s="20" t="s">
        <v>65</v>
      </c>
      <c r="AP1138" s="20" t="s">
        <v>84</v>
      </c>
    </row>
    <row r="1139" spans="1:43" ht="16">
      <c r="A1139" s="20">
        <v>7712325054</v>
      </c>
      <c r="B1139" s="21">
        <v>990037</v>
      </c>
      <c r="C1139" s="20" t="s">
        <v>998</v>
      </c>
      <c r="D1139" s="20" t="s">
        <v>2627</v>
      </c>
      <c r="E1139" s="20" t="s">
        <v>5070</v>
      </c>
      <c r="F1139" s="20" t="s">
        <v>1018</v>
      </c>
      <c r="G1139" s="20" t="s">
        <v>1018</v>
      </c>
      <c r="H1139" s="20" t="s">
        <v>48</v>
      </c>
      <c r="I1139" s="20" t="s">
        <v>1018</v>
      </c>
      <c r="J1139" s="22" t="s">
        <v>5109</v>
      </c>
      <c r="K1139" s="22" t="s">
        <v>5109</v>
      </c>
      <c r="L1139" s="23" t="s">
        <v>5007</v>
      </c>
      <c r="M1139" s="24" t="s">
        <v>7752</v>
      </c>
      <c r="N1139" s="23">
        <v>18799000</v>
      </c>
      <c r="O1139" s="25" t="s">
        <v>52</v>
      </c>
      <c r="P1139" s="25" t="s">
        <v>53</v>
      </c>
      <c r="Q1139" s="20" t="s">
        <v>5110</v>
      </c>
      <c r="R1139" s="20">
        <v>90159563</v>
      </c>
      <c r="S1139" s="25" t="s">
        <v>5111</v>
      </c>
      <c r="T1139" s="26" t="s">
        <v>57</v>
      </c>
      <c r="U1139" s="23">
        <v>860900062331145</v>
      </c>
      <c r="V1139" s="27" t="s">
        <v>57</v>
      </c>
      <c r="W1139" s="20" t="s">
        <v>58</v>
      </c>
      <c r="X1139" s="20" t="s">
        <v>59</v>
      </c>
      <c r="Y1139" s="20" t="s">
        <v>59</v>
      </c>
      <c r="Z1139" s="20" t="s">
        <v>167</v>
      </c>
      <c r="AA1139" s="20" t="s">
        <v>168</v>
      </c>
      <c r="AB1139" s="20" t="s">
        <v>96</v>
      </c>
      <c r="AC1139" s="28">
        <v>369.83</v>
      </c>
      <c r="AD1139" s="28">
        <f>SUM(BASE[[#This Row],[MONTO DE RENTA ]]*1.16)</f>
        <v>429.00279999999998</v>
      </c>
      <c r="AE1139" s="28" t="s">
        <v>63</v>
      </c>
      <c r="AF1139" s="28">
        <v>369.82758620689657</v>
      </c>
      <c r="AG1139" s="28">
        <v>429</v>
      </c>
      <c r="AH1139" s="22" t="s">
        <v>64</v>
      </c>
      <c r="AI1139" s="63">
        <v>45713</v>
      </c>
      <c r="AJ1139" s="63">
        <v>46433</v>
      </c>
      <c r="AK11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39" s="30"/>
      <c r="AN1139" s="20" t="s">
        <v>65</v>
      </c>
      <c r="AP1139" s="20" t="s">
        <v>84</v>
      </c>
    </row>
    <row r="1140" spans="1:43" ht="16">
      <c r="A1140" s="20">
        <v>7712325051</v>
      </c>
      <c r="B1140" s="21">
        <v>1050109</v>
      </c>
      <c r="C1140" s="20" t="s">
        <v>5112</v>
      </c>
      <c r="D1140" s="20" t="s">
        <v>1182</v>
      </c>
      <c r="E1140" s="20" t="s">
        <v>657</v>
      </c>
      <c r="F1140" s="20" t="s">
        <v>1424</v>
      </c>
      <c r="G1140" s="20" t="s">
        <v>1424</v>
      </c>
      <c r="H1140" s="20" t="s">
        <v>48</v>
      </c>
      <c r="I1140" s="20" t="s">
        <v>1424</v>
      </c>
      <c r="J1140" s="22" t="s">
        <v>5113</v>
      </c>
      <c r="K1140" s="22" t="s">
        <v>5113</v>
      </c>
      <c r="L1140" s="23" t="s">
        <v>5007</v>
      </c>
      <c r="M1140" s="24" t="s">
        <v>7752</v>
      </c>
      <c r="N1140" s="23">
        <v>18799000</v>
      </c>
      <c r="O1140" s="25" t="s">
        <v>52</v>
      </c>
      <c r="P1140" s="25" t="s">
        <v>53</v>
      </c>
      <c r="Q1140" s="20" t="s">
        <v>5114</v>
      </c>
      <c r="R1140" s="20">
        <v>90159558</v>
      </c>
      <c r="S1140" s="25" t="s">
        <v>5115</v>
      </c>
      <c r="T1140" s="26" t="s">
        <v>57</v>
      </c>
      <c r="U1140" s="23">
        <v>860900062337548</v>
      </c>
      <c r="V1140" s="27" t="s">
        <v>57</v>
      </c>
      <c r="W1140" s="20" t="s">
        <v>58</v>
      </c>
      <c r="X1140" s="20" t="s">
        <v>59</v>
      </c>
      <c r="Y1140" s="20" t="s">
        <v>59</v>
      </c>
      <c r="Z1140" s="20" t="s">
        <v>167</v>
      </c>
      <c r="AA1140" s="20" t="s">
        <v>168</v>
      </c>
      <c r="AB1140" s="20" t="s">
        <v>96</v>
      </c>
      <c r="AC1140" s="28">
        <v>369.83</v>
      </c>
      <c r="AD1140" s="28">
        <f>SUM(BASE[[#This Row],[MONTO DE RENTA ]]*1.16)</f>
        <v>429.00279999999998</v>
      </c>
      <c r="AE1140" s="28" t="s">
        <v>63</v>
      </c>
      <c r="AF1140" s="28">
        <v>369.82758620689657</v>
      </c>
      <c r="AG1140" s="28">
        <v>429</v>
      </c>
      <c r="AH1140" s="22" t="s">
        <v>64</v>
      </c>
      <c r="AI1140" s="63">
        <v>45703</v>
      </c>
      <c r="AJ1140" s="63">
        <v>46433</v>
      </c>
      <c r="AK11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0" s="30"/>
      <c r="AN1140" s="20" t="s">
        <v>65</v>
      </c>
      <c r="AP1140" s="20" t="s">
        <v>84</v>
      </c>
    </row>
    <row r="1141" spans="1:43" ht="16">
      <c r="A1141" s="20">
        <v>7712325053</v>
      </c>
      <c r="B1141" s="21">
        <v>1038266</v>
      </c>
      <c r="C1141" s="20" t="s">
        <v>5116</v>
      </c>
      <c r="D1141" s="20" t="s">
        <v>172</v>
      </c>
      <c r="E1141" s="20" t="s">
        <v>507</v>
      </c>
      <c r="F1141" s="20" t="s">
        <v>5117</v>
      </c>
      <c r="G1141" s="20" t="s">
        <v>5117</v>
      </c>
      <c r="H1141" s="20" t="s">
        <v>48</v>
      </c>
      <c r="I1141" s="20" t="s">
        <v>5117</v>
      </c>
      <c r="J1141" s="22" t="s">
        <v>5118</v>
      </c>
      <c r="K1141" s="22" t="s">
        <v>5118</v>
      </c>
      <c r="L1141" s="23" t="s">
        <v>5007</v>
      </c>
      <c r="M1141" s="24" t="s">
        <v>7752</v>
      </c>
      <c r="N1141" s="23">
        <v>18799000</v>
      </c>
      <c r="O1141" s="25" t="s">
        <v>52</v>
      </c>
      <c r="P1141" s="25" t="s">
        <v>53</v>
      </c>
      <c r="Q1141" s="20" t="s">
        <v>5119</v>
      </c>
      <c r="R1141" s="20">
        <v>9992982</v>
      </c>
      <c r="S1141" s="25" t="s">
        <v>5120</v>
      </c>
      <c r="T1141" s="26" t="s">
        <v>57</v>
      </c>
      <c r="U1141" s="23" t="s">
        <v>193</v>
      </c>
      <c r="V1141" s="27" t="s">
        <v>57</v>
      </c>
      <c r="W1141" s="20" t="s">
        <v>194</v>
      </c>
      <c r="X1141" s="20" t="s">
        <v>194</v>
      </c>
      <c r="Y1141" s="20" t="s">
        <v>194</v>
      </c>
      <c r="Z1141" s="20" t="s">
        <v>167</v>
      </c>
      <c r="AA1141" s="20" t="s">
        <v>168</v>
      </c>
      <c r="AB1141" s="20" t="s">
        <v>96</v>
      </c>
      <c r="AC1141" s="28">
        <v>369.83</v>
      </c>
      <c r="AD1141" s="28">
        <f>SUM(BASE[[#This Row],[MONTO DE RENTA ]]*1.16)</f>
        <v>429.00279999999998</v>
      </c>
      <c r="AE1141" s="28" t="s">
        <v>63</v>
      </c>
      <c r="AF1141" s="28">
        <v>369.82758620689657</v>
      </c>
      <c r="AG1141" s="28">
        <v>429</v>
      </c>
      <c r="AI1141" s="29">
        <v>44937</v>
      </c>
      <c r="AJ1141" s="46">
        <v>46681</v>
      </c>
      <c r="AK1141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141" s="30"/>
      <c r="AN1141" s="20" t="s">
        <v>65</v>
      </c>
      <c r="AP1141" s="20" t="s">
        <v>84</v>
      </c>
    </row>
    <row r="1142" spans="1:43" ht="16">
      <c r="A1142" s="20">
        <v>7712325043</v>
      </c>
      <c r="B1142" s="21">
        <v>6164</v>
      </c>
      <c r="C1142" s="20" t="s">
        <v>1319</v>
      </c>
      <c r="D1142" s="20" t="s">
        <v>5121</v>
      </c>
      <c r="E1142" s="20" t="s">
        <v>357</v>
      </c>
      <c r="F1142" s="20" t="s">
        <v>1320</v>
      </c>
      <c r="G1142" s="20" t="s">
        <v>1320</v>
      </c>
      <c r="H1142" s="20" t="s">
        <v>48</v>
      </c>
      <c r="I1142" s="20" t="s">
        <v>1320</v>
      </c>
      <c r="J1142" s="22" t="s">
        <v>5122</v>
      </c>
      <c r="K1142" s="22" t="s">
        <v>5122</v>
      </c>
      <c r="L1142" s="23" t="s">
        <v>5007</v>
      </c>
      <c r="M1142" s="24" t="s">
        <v>7752</v>
      </c>
      <c r="N1142" s="23">
        <v>18799000</v>
      </c>
      <c r="O1142" s="25" t="s">
        <v>52</v>
      </c>
      <c r="P1142" s="25" t="s">
        <v>53</v>
      </c>
      <c r="Q1142" s="20" t="s">
        <v>5123</v>
      </c>
      <c r="R1142" s="20">
        <v>90159744</v>
      </c>
      <c r="S1142" s="25" t="s">
        <v>5124</v>
      </c>
      <c r="T1142" s="26" t="s">
        <v>57</v>
      </c>
      <c r="U1142" s="23">
        <v>860900062335872</v>
      </c>
      <c r="V1142" s="27" t="s">
        <v>57</v>
      </c>
      <c r="W1142" s="20" t="s">
        <v>58</v>
      </c>
      <c r="X1142" s="20" t="s">
        <v>59</v>
      </c>
      <c r="Y1142" s="20" t="s">
        <v>59</v>
      </c>
      <c r="Z1142" s="20" t="s">
        <v>167</v>
      </c>
      <c r="AA1142" s="20" t="s">
        <v>168</v>
      </c>
      <c r="AB1142" s="20" t="s">
        <v>96</v>
      </c>
      <c r="AC1142" s="28">
        <v>369.83</v>
      </c>
      <c r="AD1142" s="28">
        <f>SUM(BASE[[#This Row],[MONTO DE RENTA ]]*1.16)</f>
        <v>429.00279999999998</v>
      </c>
      <c r="AE1142" s="28" t="s">
        <v>63</v>
      </c>
      <c r="AF1142" s="28">
        <v>369.82758620689657</v>
      </c>
      <c r="AG1142" s="28">
        <v>429</v>
      </c>
      <c r="AH1142" s="22" t="s">
        <v>64</v>
      </c>
      <c r="AI1142" s="29">
        <v>45703</v>
      </c>
      <c r="AJ1142" s="29">
        <v>46433</v>
      </c>
      <c r="AK11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2" s="30"/>
      <c r="AN1142" s="20" t="s">
        <v>65</v>
      </c>
      <c r="AP1142" s="20" t="s">
        <v>84</v>
      </c>
    </row>
    <row r="1143" spans="1:43" ht="16">
      <c r="A1143" s="20">
        <v>7712287544</v>
      </c>
      <c r="B1143" s="21">
        <v>990057</v>
      </c>
      <c r="C1143" s="20" t="s">
        <v>4503</v>
      </c>
      <c r="D1143" s="20" t="s">
        <v>965</v>
      </c>
      <c r="E1143" s="20" t="s">
        <v>2741</v>
      </c>
      <c r="F1143" s="20" t="s">
        <v>1315</v>
      </c>
      <c r="G1143" s="20" t="s">
        <v>1315</v>
      </c>
      <c r="H1143" s="20" t="s">
        <v>48</v>
      </c>
      <c r="I1143" s="20" t="s">
        <v>1315</v>
      </c>
      <c r="J1143" s="22" t="s">
        <v>5125</v>
      </c>
      <c r="K1143" s="22" t="s">
        <v>5125</v>
      </c>
      <c r="L1143" s="23" t="s">
        <v>5007</v>
      </c>
      <c r="M1143" s="24" t="s">
        <v>7752</v>
      </c>
      <c r="N1143" s="23">
        <v>18799000</v>
      </c>
      <c r="O1143" s="25" t="s">
        <v>52</v>
      </c>
      <c r="P1143" s="25" t="s">
        <v>53</v>
      </c>
      <c r="Q1143" s="20" t="s">
        <v>5126</v>
      </c>
      <c r="R1143" s="20">
        <v>9992992</v>
      </c>
      <c r="S1143" s="25" t="s">
        <v>5127</v>
      </c>
      <c r="T1143" s="26" t="s">
        <v>57</v>
      </c>
      <c r="U1143" s="23">
        <v>860982060886239</v>
      </c>
      <c r="V1143" s="27" t="s">
        <v>183</v>
      </c>
      <c r="W1143" s="20" t="s">
        <v>129</v>
      </c>
      <c r="X1143" s="20" t="s">
        <v>130</v>
      </c>
      <c r="Y1143" s="20" t="s">
        <v>130</v>
      </c>
      <c r="Z1143" s="20" t="s">
        <v>167</v>
      </c>
      <c r="AA1143" s="20" t="s">
        <v>168</v>
      </c>
      <c r="AB1143" s="20" t="s">
        <v>96</v>
      </c>
      <c r="AC1143" s="28">
        <v>369.83</v>
      </c>
      <c r="AD1143" s="28">
        <f>SUM(BASE[[#This Row],[MONTO DE RENTA ]]*1.16)</f>
        <v>429.00279999999998</v>
      </c>
      <c r="AE1143" s="28" t="s">
        <v>63</v>
      </c>
      <c r="AF1143" s="28">
        <v>369.82758620689657</v>
      </c>
      <c r="AG1143" s="28">
        <v>429</v>
      </c>
      <c r="AI1143" s="63">
        <v>44937</v>
      </c>
      <c r="AJ1143" s="84">
        <v>46054</v>
      </c>
      <c r="AK11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43" s="30"/>
      <c r="AN1143" s="20" t="s">
        <v>99</v>
      </c>
      <c r="AP1143" s="20" t="s">
        <v>84</v>
      </c>
      <c r="AQ1143" s="20" t="s">
        <v>100</v>
      </c>
    </row>
    <row r="1144" spans="1:43" ht="16">
      <c r="A1144" s="20">
        <v>7712325052</v>
      </c>
      <c r="B1144" s="21">
        <v>1016096</v>
      </c>
      <c r="C1144" s="20" t="s">
        <v>5128</v>
      </c>
      <c r="D1144" s="20" t="s">
        <v>5129</v>
      </c>
      <c r="E1144" s="20" t="s">
        <v>247</v>
      </c>
      <c r="F1144" s="20" t="s">
        <v>5117</v>
      </c>
      <c r="G1144" s="20" t="s">
        <v>5117</v>
      </c>
      <c r="H1144" s="20" t="s">
        <v>48</v>
      </c>
      <c r="I1144" s="20" t="s">
        <v>5117</v>
      </c>
      <c r="J1144" s="22" t="s">
        <v>5130</v>
      </c>
      <c r="K1144" s="22" t="s">
        <v>5130</v>
      </c>
      <c r="L1144" s="23" t="s">
        <v>5007</v>
      </c>
      <c r="M1144" s="24" t="s">
        <v>7752</v>
      </c>
      <c r="N1144" s="23">
        <v>18799000</v>
      </c>
      <c r="O1144" s="25" t="s">
        <v>52</v>
      </c>
      <c r="P1144" s="25" t="s">
        <v>53</v>
      </c>
      <c r="Q1144" s="20" t="s">
        <v>5131</v>
      </c>
      <c r="R1144" s="20">
        <v>90159561</v>
      </c>
      <c r="S1144" s="25" t="s">
        <v>5132</v>
      </c>
      <c r="T1144" s="26" t="s">
        <v>57</v>
      </c>
      <c r="U1144" s="23">
        <v>860900062337365</v>
      </c>
      <c r="V1144" s="27" t="s">
        <v>57</v>
      </c>
      <c r="W1144" s="20" t="s">
        <v>58</v>
      </c>
      <c r="X1144" s="20" t="s">
        <v>59</v>
      </c>
      <c r="Y1144" s="20" t="s">
        <v>59</v>
      </c>
      <c r="Z1144" s="20" t="s">
        <v>167</v>
      </c>
      <c r="AA1144" s="20" t="s">
        <v>168</v>
      </c>
      <c r="AB1144" s="20" t="s">
        <v>96</v>
      </c>
      <c r="AC1144" s="28">
        <v>369.83</v>
      </c>
      <c r="AD1144" s="28">
        <f>SUM(BASE[[#This Row],[MONTO DE RENTA ]]*1.16)</f>
        <v>429.00279999999998</v>
      </c>
      <c r="AE1144" s="28" t="s">
        <v>63</v>
      </c>
      <c r="AF1144" s="28">
        <v>369.82758620689657</v>
      </c>
      <c r="AG1144" s="28">
        <v>429</v>
      </c>
      <c r="AH1144" s="22" t="s">
        <v>64</v>
      </c>
      <c r="AI1144" s="63">
        <v>45703</v>
      </c>
      <c r="AJ1144" s="63">
        <v>46433</v>
      </c>
      <c r="AK114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4" s="30"/>
      <c r="AN1144" s="20" t="s">
        <v>65</v>
      </c>
      <c r="AP1144" s="20" t="s">
        <v>84</v>
      </c>
    </row>
    <row r="1145" spans="1:43" ht="17">
      <c r="A1145" s="20">
        <v>7751279167</v>
      </c>
      <c r="B1145" s="21">
        <v>705635</v>
      </c>
      <c r="C1145" s="20" t="s">
        <v>5133</v>
      </c>
      <c r="D1145" s="20" t="s">
        <v>946</v>
      </c>
      <c r="E1145" s="20" t="s">
        <v>657</v>
      </c>
      <c r="F1145" s="20" t="s">
        <v>1434</v>
      </c>
      <c r="G1145" s="239" t="s">
        <v>1434</v>
      </c>
      <c r="H1145" s="20" t="s">
        <v>48</v>
      </c>
      <c r="I1145" s="20" t="s">
        <v>1434</v>
      </c>
      <c r="J1145" s="22" t="s">
        <v>5134</v>
      </c>
      <c r="K1145" s="22" t="s">
        <v>5134</v>
      </c>
      <c r="L1145" s="23" t="s">
        <v>5007</v>
      </c>
      <c r="M1145" s="24" t="s">
        <v>7752</v>
      </c>
      <c r="N1145" s="23">
        <v>18799000</v>
      </c>
      <c r="O1145" s="25" t="s">
        <v>52</v>
      </c>
      <c r="P1145" s="25" t="s">
        <v>53</v>
      </c>
      <c r="Q1145" s="20" t="s">
        <v>5135</v>
      </c>
      <c r="R1145" s="20">
        <v>90227289</v>
      </c>
      <c r="S1145" s="25" t="s">
        <v>5136</v>
      </c>
      <c r="T1145" s="44" t="s">
        <v>57</v>
      </c>
      <c r="U1145" s="23">
        <v>860900062330956</v>
      </c>
      <c r="V1145" s="27" t="s">
        <v>57</v>
      </c>
      <c r="W1145" s="20" t="s">
        <v>58</v>
      </c>
      <c r="X1145" s="20" t="s">
        <v>59</v>
      </c>
      <c r="Y1145" s="20" t="s">
        <v>59</v>
      </c>
      <c r="Z1145" s="20" t="s">
        <v>167</v>
      </c>
      <c r="AA1145" s="20" t="s">
        <v>168</v>
      </c>
      <c r="AB1145" s="20" t="s">
        <v>96</v>
      </c>
      <c r="AC1145" s="28">
        <v>369.83</v>
      </c>
      <c r="AD1145" s="28">
        <f>SUM(BASE[[#This Row],[MONTO DE RENTA ]]*1.16)</f>
        <v>429.00279999999998</v>
      </c>
      <c r="AE1145" s="28" t="s">
        <v>63</v>
      </c>
      <c r="AF1145" s="28">
        <v>369.82758620689657</v>
      </c>
      <c r="AG1145" s="28">
        <v>429</v>
      </c>
      <c r="AH1145" s="22" t="s">
        <v>64</v>
      </c>
      <c r="AI1145" s="63">
        <v>45703</v>
      </c>
      <c r="AJ1145" s="63">
        <v>46433</v>
      </c>
      <c r="AK11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5" s="30" t="s">
        <v>5137</v>
      </c>
      <c r="AN1145" s="20" t="s">
        <v>65</v>
      </c>
      <c r="AP1145" s="20" t="s">
        <v>84</v>
      </c>
    </row>
    <row r="1146" spans="1:43" ht="16">
      <c r="A1146" s="20">
        <v>3121155363</v>
      </c>
      <c r="B1146" s="21">
        <v>520167</v>
      </c>
      <c r="C1146" s="20" t="s">
        <v>5138</v>
      </c>
      <c r="D1146" s="20" t="s">
        <v>5139</v>
      </c>
      <c r="E1146" s="20" t="s">
        <v>1295</v>
      </c>
      <c r="F1146" s="20" t="s">
        <v>47</v>
      </c>
      <c r="G1146" s="20" t="s">
        <v>47</v>
      </c>
      <c r="H1146" s="20" t="s">
        <v>48</v>
      </c>
      <c r="I1146" s="20" t="s">
        <v>47</v>
      </c>
      <c r="J1146" s="22" t="s">
        <v>5140</v>
      </c>
      <c r="K1146" s="22" t="s">
        <v>5140</v>
      </c>
      <c r="L1146" s="23" t="s">
        <v>5141</v>
      </c>
      <c r="M1146" s="24" t="s">
        <v>7746</v>
      </c>
      <c r="N1146" s="23">
        <v>18852000</v>
      </c>
      <c r="O1146" s="25" t="s">
        <v>677</v>
      </c>
      <c r="P1146" s="25" t="s">
        <v>53</v>
      </c>
      <c r="Q1146" s="20" t="s">
        <v>5142</v>
      </c>
      <c r="R1146" s="20">
        <v>53354181</v>
      </c>
      <c r="S1146" s="25" t="s">
        <v>5143</v>
      </c>
      <c r="T1146" s="26" t="s">
        <v>57</v>
      </c>
      <c r="U1146" s="23">
        <v>860900062254487</v>
      </c>
      <c r="V1146" s="27" t="s">
        <v>57</v>
      </c>
      <c r="W1146" s="20" t="s">
        <v>58</v>
      </c>
      <c r="X1146" s="20" t="s">
        <v>59</v>
      </c>
      <c r="Y1146" s="20" t="s">
        <v>59</v>
      </c>
      <c r="Z1146" s="20" t="s">
        <v>80</v>
      </c>
      <c r="AA1146" s="20" t="s">
        <v>81</v>
      </c>
      <c r="AB1146" s="20" t="s">
        <v>96</v>
      </c>
      <c r="AC1146" s="28">
        <v>369.83</v>
      </c>
      <c r="AD1146" s="28">
        <f>SUM(BASE[[#This Row],[MONTO DE RENTA ]]*1.16)</f>
        <v>429.00279999999998</v>
      </c>
      <c r="AE1146" s="28" t="s">
        <v>63</v>
      </c>
      <c r="AF1146" s="28">
        <v>369.82758620689657</v>
      </c>
      <c r="AG1146" s="28">
        <v>429</v>
      </c>
      <c r="AH1146" s="22" t="s">
        <v>64</v>
      </c>
      <c r="AI1146" s="63">
        <v>45703</v>
      </c>
      <c r="AJ1146" s="63">
        <v>46433</v>
      </c>
      <c r="AK11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6" s="30"/>
      <c r="AN1146" s="20" t="s">
        <v>65</v>
      </c>
      <c r="AP1146" s="20" t="s">
        <v>84</v>
      </c>
    </row>
    <row r="1147" spans="1:43" ht="16">
      <c r="A1147" s="20">
        <v>3121156954</v>
      </c>
      <c r="B1147" s="21">
        <v>995968</v>
      </c>
      <c r="C1147" s="20" t="s">
        <v>4658</v>
      </c>
      <c r="D1147" s="20" t="s">
        <v>5144</v>
      </c>
      <c r="E1147" s="20" t="s">
        <v>143</v>
      </c>
      <c r="F1147" s="20" t="s">
        <v>46</v>
      </c>
      <c r="G1147" s="20" t="s">
        <v>248</v>
      </c>
      <c r="H1147" s="20" t="s">
        <v>48</v>
      </c>
      <c r="I1147" s="20" t="s">
        <v>46</v>
      </c>
      <c r="J1147" s="22" t="s">
        <v>5145</v>
      </c>
      <c r="K1147" s="22" t="s">
        <v>5145</v>
      </c>
      <c r="L1147" s="23" t="s">
        <v>5141</v>
      </c>
      <c r="M1147" s="24" t="s">
        <v>7746</v>
      </c>
      <c r="N1147" s="23">
        <v>18852000</v>
      </c>
      <c r="O1147" s="25" t="s">
        <v>677</v>
      </c>
      <c r="P1147" s="25" t="s">
        <v>53</v>
      </c>
      <c r="Q1147" s="20" t="s">
        <v>5146</v>
      </c>
      <c r="R1147" s="20">
        <v>53335804</v>
      </c>
      <c r="S1147" s="25" t="s">
        <v>5147</v>
      </c>
      <c r="T1147" s="26" t="s">
        <v>57</v>
      </c>
      <c r="U1147" s="23">
        <v>860900062238795</v>
      </c>
      <c r="V1147" s="27" t="s">
        <v>57</v>
      </c>
      <c r="W1147" s="20" t="s">
        <v>58</v>
      </c>
      <c r="X1147" s="20" t="s">
        <v>59</v>
      </c>
      <c r="Y1147" s="20" t="s">
        <v>59</v>
      </c>
      <c r="Z1147" s="20" t="s">
        <v>80</v>
      </c>
      <c r="AA1147" s="20" t="s">
        <v>81</v>
      </c>
      <c r="AB1147" s="20" t="s">
        <v>96</v>
      </c>
      <c r="AC1147" s="28">
        <v>369.83</v>
      </c>
      <c r="AD1147" s="28">
        <f>SUM(BASE[[#This Row],[MONTO DE RENTA ]]*1.16)</f>
        <v>429.00279999999998</v>
      </c>
      <c r="AE1147" s="28" t="s">
        <v>63</v>
      </c>
      <c r="AF1147" s="28">
        <v>369.82758620689657</v>
      </c>
      <c r="AG1147" s="28">
        <v>429</v>
      </c>
      <c r="AH1147" s="22" t="s">
        <v>64</v>
      </c>
      <c r="AI1147" s="63">
        <v>45703</v>
      </c>
      <c r="AJ1147" s="63">
        <v>46433</v>
      </c>
      <c r="AK114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7" s="30"/>
      <c r="AN1147" s="20" t="s">
        <v>65</v>
      </c>
      <c r="AP1147" s="20" t="s">
        <v>84</v>
      </c>
    </row>
    <row r="1148" spans="1:43" ht="22">
      <c r="A1148" s="20">
        <v>8117789052</v>
      </c>
      <c r="B1148" s="240">
        <v>1078968</v>
      </c>
      <c r="C1148" s="20" t="s">
        <v>5148</v>
      </c>
      <c r="D1148" s="20" t="s">
        <v>172</v>
      </c>
      <c r="E1148" s="20" t="s">
        <v>5139</v>
      </c>
      <c r="F1148" s="20" t="s">
        <v>5149</v>
      </c>
      <c r="G1148" s="20" t="s">
        <v>1656</v>
      </c>
      <c r="H1148" s="20" t="s">
        <v>48</v>
      </c>
      <c r="I1148" s="20" t="s">
        <v>5149</v>
      </c>
      <c r="J1148" s="32" t="s">
        <v>5150</v>
      </c>
      <c r="K1148" s="193" t="s">
        <v>5150</v>
      </c>
      <c r="L1148" s="23" t="s">
        <v>5007</v>
      </c>
      <c r="M1148" s="24" t="s">
        <v>7752</v>
      </c>
      <c r="N1148" s="23">
        <v>18799000</v>
      </c>
      <c r="O1148" s="25" t="s">
        <v>74</v>
      </c>
      <c r="P1148" s="25" t="s">
        <v>53</v>
      </c>
      <c r="Q1148" s="20" t="s">
        <v>5151</v>
      </c>
      <c r="R1148" s="20">
        <v>43200980</v>
      </c>
      <c r="S1148" s="25" t="s">
        <v>5152</v>
      </c>
      <c r="T1148" s="26" t="s">
        <v>57</v>
      </c>
      <c r="U1148" s="23">
        <v>860900062338157</v>
      </c>
      <c r="V1148" s="27" t="s">
        <v>57</v>
      </c>
      <c r="W1148" s="20" t="s">
        <v>58</v>
      </c>
      <c r="X1148" s="20" t="s">
        <v>59</v>
      </c>
      <c r="Y1148" s="20" t="s">
        <v>59</v>
      </c>
      <c r="Z1148" s="20" t="s">
        <v>167</v>
      </c>
      <c r="AA1148" s="20" t="s">
        <v>168</v>
      </c>
      <c r="AB1148" s="20" t="s">
        <v>96</v>
      </c>
      <c r="AC1148" s="28">
        <v>369.83</v>
      </c>
      <c r="AD1148" s="28">
        <f>SUM(BASE[[#This Row],[MONTO DE RENTA ]]*1.16)</f>
        <v>429.00279999999998</v>
      </c>
      <c r="AE1148" s="28" t="s">
        <v>63</v>
      </c>
      <c r="AF1148" s="28">
        <v>369.82758620689657</v>
      </c>
      <c r="AG1148" s="28">
        <v>429</v>
      </c>
      <c r="AH1148" s="22" t="s">
        <v>64</v>
      </c>
      <c r="AI1148" s="29">
        <v>45703</v>
      </c>
      <c r="AJ1148" s="29">
        <v>46433</v>
      </c>
      <c r="AK11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48" s="30"/>
      <c r="AN1148" s="20" t="s">
        <v>65</v>
      </c>
      <c r="AP1148" s="20" t="s">
        <v>84</v>
      </c>
    </row>
    <row r="1149" spans="1:43" ht="16">
      <c r="A1149" s="20">
        <v>3121559446</v>
      </c>
      <c r="B1149" s="49">
        <v>520455</v>
      </c>
      <c r="C1149" s="20" t="s">
        <v>5153</v>
      </c>
      <c r="D1149" s="20" t="s">
        <v>477</v>
      </c>
      <c r="E1149" s="20" t="s">
        <v>311</v>
      </c>
      <c r="F1149" s="20" t="s">
        <v>257</v>
      </c>
      <c r="G1149" s="20" t="s">
        <v>104</v>
      </c>
      <c r="H1149" s="20" t="s">
        <v>48</v>
      </c>
      <c r="I1149" s="20" t="s">
        <v>257</v>
      </c>
      <c r="J1149" s="22" t="s">
        <v>5154</v>
      </c>
      <c r="K1149" s="22" t="s">
        <v>5154</v>
      </c>
      <c r="L1149" s="23" t="s">
        <v>5141</v>
      </c>
      <c r="M1149" s="24" t="s">
        <v>7746</v>
      </c>
      <c r="N1149" s="23">
        <v>18852000</v>
      </c>
      <c r="O1149" s="25" t="s">
        <v>677</v>
      </c>
      <c r="P1149" s="25" t="s">
        <v>53</v>
      </c>
      <c r="Q1149" s="20" t="s">
        <v>5155</v>
      </c>
      <c r="R1149" s="20">
        <v>53836413</v>
      </c>
      <c r="S1149" s="25" t="s">
        <v>55</v>
      </c>
      <c r="T1149" s="67" t="s">
        <v>56</v>
      </c>
      <c r="U1149" s="23">
        <v>867353050210785</v>
      </c>
      <c r="V1149" s="45" t="s">
        <v>110</v>
      </c>
      <c r="W1149" s="20" t="s">
        <v>149</v>
      </c>
      <c r="X1149" s="20" t="s">
        <v>150</v>
      </c>
      <c r="Y1149" s="20" t="s">
        <v>150</v>
      </c>
      <c r="Z1149" s="20" t="s">
        <v>60</v>
      </c>
      <c r="AA1149" s="20" t="s">
        <v>61</v>
      </c>
      <c r="AB1149" s="20" t="s">
        <v>96</v>
      </c>
      <c r="AC1149" s="28">
        <v>369.83</v>
      </c>
      <c r="AD1149" s="28">
        <f>SUM(BASE[[#This Row],[MONTO DE RENTA ]]*1.16)</f>
        <v>429.00279999999998</v>
      </c>
      <c r="AE1149" s="28" t="s">
        <v>97</v>
      </c>
      <c r="AF1149" s="28">
        <v>473.27586206896552</v>
      </c>
      <c r="AG1149" s="28">
        <v>549</v>
      </c>
      <c r="AI1149" s="63">
        <v>45940</v>
      </c>
      <c r="AJ1149" s="68">
        <v>46024</v>
      </c>
      <c r="AK1149" s="30">
        <f ca="1">IFERROR(IF(BASE[[#This Row],[FECHA DE RENOVACION ]]&gt;TODAY(), DATEDIF(TODAY(),BASE[[#This Row],[FECHA DE RENOVACION ]],"M"), -DATEDIF(BASE[[#This Row],[FECHA DE RENOVACION ]],TODAY(),"M")), "Sin fecha")</f>
        <v>-2</v>
      </c>
      <c r="AM1149" s="30"/>
      <c r="AN1149" s="20" t="s">
        <v>99</v>
      </c>
      <c r="AP1149" s="20" t="s">
        <v>66</v>
      </c>
      <c r="AQ1149" s="20" t="s">
        <v>100</v>
      </c>
    </row>
    <row r="1150" spans="1:43" ht="16">
      <c r="A1150" s="20">
        <v>3121264174</v>
      </c>
      <c r="B1150" s="21">
        <v>997992</v>
      </c>
      <c r="C1150" s="20" t="s">
        <v>5156</v>
      </c>
      <c r="D1150" s="20" t="s">
        <v>1000</v>
      </c>
      <c r="E1150" s="20" t="s">
        <v>376</v>
      </c>
      <c r="F1150" s="20" t="s">
        <v>104</v>
      </c>
      <c r="G1150" s="20" t="s">
        <v>104</v>
      </c>
      <c r="H1150" s="20" t="s">
        <v>48</v>
      </c>
      <c r="I1150" s="20" t="s">
        <v>104</v>
      </c>
      <c r="J1150" s="22" t="s">
        <v>5157</v>
      </c>
      <c r="K1150" s="22" t="s">
        <v>5157</v>
      </c>
      <c r="L1150" s="23" t="s">
        <v>5141</v>
      </c>
      <c r="M1150" s="24" t="s">
        <v>7746</v>
      </c>
      <c r="N1150" s="23">
        <v>18852000</v>
      </c>
      <c r="O1150" s="25" t="s">
        <v>677</v>
      </c>
      <c r="P1150" s="25" t="s">
        <v>53</v>
      </c>
      <c r="Q1150" s="20" t="s">
        <v>5158</v>
      </c>
      <c r="R1150" s="20">
        <v>53345544</v>
      </c>
      <c r="S1150" s="25" t="s">
        <v>5159</v>
      </c>
      <c r="T1150" s="26" t="s">
        <v>57</v>
      </c>
      <c r="U1150" s="23">
        <v>860478063778515</v>
      </c>
      <c r="V1150" s="45" t="s">
        <v>110</v>
      </c>
      <c r="W1150" s="20" t="s">
        <v>302</v>
      </c>
      <c r="X1150" s="20" t="s">
        <v>303</v>
      </c>
      <c r="Y1150" s="20" t="s">
        <v>303</v>
      </c>
      <c r="Z1150" s="20" t="s">
        <v>80</v>
      </c>
      <c r="AA1150" s="20" t="s">
        <v>81</v>
      </c>
      <c r="AB1150" s="20" t="s">
        <v>82</v>
      </c>
      <c r="AC1150" s="28">
        <v>559.48</v>
      </c>
      <c r="AD1150" s="28">
        <f>SUM(BASE[[#This Row],[MONTO DE RENTA ]]*1.16)</f>
        <v>648.99680000000001</v>
      </c>
      <c r="AE1150" s="28" t="s">
        <v>83</v>
      </c>
      <c r="AF1150" s="28">
        <v>559.48275862068965</v>
      </c>
      <c r="AG1150" s="28">
        <v>649</v>
      </c>
      <c r="AH1150" s="22" t="s">
        <v>64</v>
      </c>
      <c r="AI1150" s="63">
        <v>45703</v>
      </c>
      <c r="AJ1150" s="63">
        <v>46433</v>
      </c>
      <c r="AK115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0" s="30"/>
      <c r="AN1150" s="20" t="s">
        <v>65</v>
      </c>
      <c r="AP1150" s="20" t="s">
        <v>84</v>
      </c>
    </row>
    <row r="1151" spans="1:43" ht="16">
      <c r="A1151" s="20">
        <v>3121251781</v>
      </c>
      <c r="B1151" s="21">
        <v>1029376</v>
      </c>
      <c r="C1151" s="20" t="s">
        <v>5160</v>
      </c>
      <c r="D1151" s="20" t="s">
        <v>5161</v>
      </c>
      <c r="E1151" s="20" t="s">
        <v>358</v>
      </c>
      <c r="F1151" s="20" t="s">
        <v>384</v>
      </c>
      <c r="G1151" s="20" t="s">
        <v>122</v>
      </c>
      <c r="H1151" s="20" t="s">
        <v>48</v>
      </c>
      <c r="I1151" s="20" t="s">
        <v>384</v>
      </c>
      <c r="J1151" s="22" t="s">
        <v>5162</v>
      </c>
      <c r="K1151" s="22" t="s">
        <v>5162</v>
      </c>
      <c r="L1151" s="23" t="s">
        <v>5141</v>
      </c>
      <c r="M1151" s="24" t="s">
        <v>7746</v>
      </c>
      <c r="N1151" s="23">
        <v>18852000</v>
      </c>
      <c r="O1151" s="25" t="s">
        <v>677</v>
      </c>
      <c r="P1151" s="25" t="s">
        <v>53</v>
      </c>
      <c r="Q1151" s="20" t="s">
        <v>5163</v>
      </c>
      <c r="R1151" s="20">
        <v>53345249</v>
      </c>
      <c r="S1151" s="25" t="s">
        <v>5164</v>
      </c>
      <c r="T1151" s="26" t="s">
        <v>57</v>
      </c>
      <c r="U1151" s="23">
        <v>860900062254073</v>
      </c>
      <c r="V1151" s="27" t="s">
        <v>57</v>
      </c>
      <c r="W1151" s="20" t="s">
        <v>58</v>
      </c>
      <c r="X1151" s="20" t="s">
        <v>59</v>
      </c>
      <c r="Y1151" s="20" t="s">
        <v>59</v>
      </c>
      <c r="Z1151" s="20" t="s">
        <v>80</v>
      </c>
      <c r="AA1151" s="20" t="s">
        <v>81</v>
      </c>
      <c r="AB1151" s="20" t="s">
        <v>96</v>
      </c>
      <c r="AC1151" s="28">
        <v>369.83</v>
      </c>
      <c r="AD1151" s="28">
        <f>SUM(BASE[[#This Row],[MONTO DE RENTA ]]*1.16)</f>
        <v>429.00279999999998</v>
      </c>
      <c r="AE1151" s="28" t="s">
        <v>63</v>
      </c>
      <c r="AF1151" s="28">
        <v>369.82758620689657</v>
      </c>
      <c r="AG1151" s="28">
        <v>429</v>
      </c>
      <c r="AH1151" s="22" t="s">
        <v>64</v>
      </c>
      <c r="AI1151" s="63">
        <v>45703</v>
      </c>
      <c r="AJ1151" s="63">
        <v>46433</v>
      </c>
      <c r="AK11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1" s="30"/>
      <c r="AN1151" s="20" t="s">
        <v>65</v>
      </c>
      <c r="AP1151" s="20" t="s">
        <v>84</v>
      </c>
    </row>
    <row r="1152" spans="1:43" ht="16">
      <c r="A1152" s="20">
        <v>3121251558</v>
      </c>
      <c r="B1152" s="49">
        <v>360331</v>
      </c>
      <c r="C1152" s="20" t="s">
        <v>5165</v>
      </c>
      <c r="D1152" s="20" t="s">
        <v>1432</v>
      </c>
      <c r="E1152" s="20" t="s">
        <v>5166</v>
      </c>
      <c r="F1152" s="20" t="s">
        <v>70</v>
      </c>
      <c r="G1152" s="20" t="s">
        <v>70</v>
      </c>
      <c r="H1152" s="20" t="s">
        <v>48</v>
      </c>
      <c r="I1152" s="20" t="s">
        <v>70</v>
      </c>
      <c r="J1152" s="22" t="s">
        <v>5167</v>
      </c>
      <c r="K1152" s="22" t="s">
        <v>5167</v>
      </c>
      <c r="L1152" s="23" t="s">
        <v>5141</v>
      </c>
      <c r="M1152" s="24" t="s">
        <v>7746</v>
      </c>
      <c r="N1152" s="23">
        <v>18852000</v>
      </c>
      <c r="O1152" s="25" t="s">
        <v>677</v>
      </c>
      <c r="P1152" s="25" t="s">
        <v>53</v>
      </c>
      <c r="Q1152" s="20" t="s">
        <v>5168</v>
      </c>
      <c r="R1152" s="20">
        <v>53162336</v>
      </c>
      <c r="S1152" s="25" t="s">
        <v>55</v>
      </c>
      <c r="T1152" s="26" t="s">
        <v>56</v>
      </c>
      <c r="U1152" s="23">
        <v>357654178242957</v>
      </c>
      <c r="V1152" s="27" t="s">
        <v>78</v>
      </c>
      <c r="W1152" s="20" t="s">
        <v>95</v>
      </c>
      <c r="X1152" s="20" t="s">
        <v>95</v>
      </c>
      <c r="Y1152" s="20" t="s">
        <v>95</v>
      </c>
      <c r="Z1152" s="20" t="s">
        <v>60</v>
      </c>
      <c r="AA1152" s="20" t="s">
        <v>61</v>
      </c>
      <c r="AB1152" s="20" t="s">
        <v>82</v>
      </c>
      <c r="AC1152" s="28">
        <v>559.48</v>
      </c>
      <c r="AD1152" s="28">
        <f>SUM(BASE[[#This Row],[MONTO DE RENTA ]]*1.16)</f>
        <v>648.99680000000001</v>
      </c>
      <c r="AE1152" s="28" t="s">
        <v>83</v>
      </c>
      <c r="AF1152" s="28">
        <v>559.48275862068965</v>
      </c>
      <c r="AG1152" s="28">
        <v>649</v>
      </c>
      <c r="AI1152" s="63">
        <v>44937</v>
      </c>
      <c r="AJ1152" s="73">
        <v>46043</v>
      </c>
      <c r="AK11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52" s="30"/>
      <c r="AN1152" s="20" t="s">
        <v>99</v>
      </c>
      <c r="AP1152" s="20" t="s">
        <v>84</v>
      </c>
      <c r="AQ1152" s="20" t="s">
        <v>100</v>
      </c>
    </row>
    <row r="1153" spans="1:43" ht="16">
      <c r="A1153" s="20">
        <v>6642523064</v>
      </c>
      <c r="B1153" s="21">
        <v>1022798</v>
      </c>
      <c r="C1153" s="20" t="s">
        <v>5169</v>
      </c>
      <c r="D1153" s="20" t="s">
        <v>376</v>
      </c>
      <c r="E1153" s="20" t="s">
        <v>5170</v>
      </c>
      <c r="F1153" s="20" t="s">
        <v>418</v>
      </c>
      <c r="G1153" s="20" t="s">
        <v>47</v>
      </c>
      <c r="H1153" s="20" t="s">
        <v>48</v>
      </c>
      <c r="I1153" s="20" t="s">
        <v>418</v>
      </c>
      <c r="J1153" s="22" t="s">
        <v>5171</v>
      </c>
      <c r="K1153" s="22" t="s">
        <v>5172</v>
      </c>
      <c r="L1153" s="23" t="s">
        <v>5173</v>
      </c>
      <c r="M1153" s="24" t="s">
        <v>7745</v>
      </c>
      <c r="N1153" s="23">
        <v>18854000</v>
      </c>
      <c r="O1153" s="25" t="s">
        <v>126</v>
      </c>
      <c r="P1153" s="25" t="s">
        <v>53</v>
      </c>
      <c r="Q1153" s="20" t="s">
        <v>5174</v>
      </c>
      <c r="R1153" s="20">
        <v>11595658</v>
      </c>
      <c r="S1153" s="25" t="s">
        <v>5175</v>
      </c>
      <c r="T1153" s="26" t="s">
        <v>57</v>
      </c>
      <c r="U1153" s="23">
        <v>865356065672446</v>
      </c>
      <c r="V1153" s="27" t="s">
        <v>183</v>
      </c>
      <c r="W1153" s="20" t="s">
        <v>129</v>
      </c>
      <c r="X1153" s="20" t="s">
        <v>130</v>
      </c>
      <c r="Y1153" s="20" t="s">
        <v>130</v>
      </c>
      <c r="Z1153" s="20" t="s">
        <v>131</v>
      </c>
      <c r="AA1153" s="20" t="s">
        <v>132</v>
      </c>
      <c r="AB1153" s="20" t="s">
        <v>96</v>
      </c>
      <c r="AC1153" s="28">
        <v>369.83</v>
      </c>
      <c r="AD1153" s="28">
        <f>SUM(BASE[[#This Row],[MONTO DE RENTA ]]*1.16)</f>
        <v>429.00279999999998</v>
      </c>
      <c r="AE1153" s="28" t="s">
        <v>63</v>
      </c>
      <c r="AF1153" s="28">
        <v>369.82758620689657</v>
      </c>
      <c r="AG1153" s="28">
        <v>429</v>
      </c>
      <c r="AI1153" s="63">
        <v>44937</v>
      </c>
      <c r="AJ1153" s="84">
        <v>46054</v>
      </c>
      <c r="AK115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53" s="30"/>
      <c r="AN1153" s="20" t="s">
        <v>99</v>
      </c>
      <c r="AP1153" s="20" t="s">
        <v>84</v>
      </c>
      <c r="AQ1153" s="20" t="s">
        <v>100</v>
      </c>
    </row>
    <row r="1154" spans="1:43" ht="16">
      <c r="A1154" s="20">
        <v>6644926637</v>
      </c>
      <c r="B1154" s="49">
        <v>60033</v>
      </c>
      <c r="C1154" s="20" t="s">
        <v>279</v>
      </c>
      <c r="D1154" s="20" t="s">
        <v>627</v>
      </c>
      <c r="E1154" s="20" t="s">
        <v>519</v>
      </c>
      <c r="F1154" s="20" t="s">
        <v>1004</v>
      </c>
      <c r="G1154" s="20" t="s">
        <v>47</v>
      </c>
      <c r="H1154" s="20" t="s">
        <v>48</v>
      </c>
      <c r="I1154" s="20" t="s">
        <v>1004</v>
      </c>
      <c r="J1154" s="22" t="s">
        <v>5171</v>
      </c>
      <c r="K1154" s="22" t="s">
        <v>5172</v>
      </c>
      <c r="L1154" s="23" t="s">
        <v>5173</v>
      </c>
      <c r="M1154" s="24" t="s">
        <v>7745</v>
      </c>
      <c r="N1154" s="23">
        <v>18854000</v>
      </c>
      <c r="O1154" s="25" t="s">
        <v>126</v>
      </c>
      <c r="P1154" s="25" t="s">
        <v>53</v>
      </c>
      <c r="Q1154" s="20" t="s">
        <v>5176</v>
      </c>
      <c r="R1154" s="20">
        <v>11812986</v>
      </c>
      <c r="S1154" s="25" t="s">
        <v>55</v>
      </c>
      <c r="T1154" s="26" t="s">
        <v>56</v>
      </c>
      <c r="U1154" s="23">
        <v>865356065672446</v>
      </c>
      <c r="V1154" s="27" t="s">
        <v>183</v>
      </c>
      <c r="W1154" s="20" t="s">
        <v>129</v>
      </c>
      <c r="X1154" s="20" t="s">
        <v>130</v>
      </c>
      <c r="Y1154" s="20" t="s">
        <v>130</v>
      </c>
      <c r="Z1154" s="20" t="s">
        <v>60</v>
      </c>
      <c r="AA1154" s="20" t="s">
        <v>61</v>
      </c>
      <c r="AB1154" s="20" t="s">
        <v>96</v>
      </c>
      <c r="AC1154" s="28">
        <v>369.83</v>
      </c>
      <c r="AD1154" s="28">
        <f>SUM(BASE[[#This Row],[MONTO DE RENTA ]]*1.16)</f>
        <v>429.00279999999998</v>
      </c>
      <c r="AE1154" s="28" t="s">
        <v>63</v>
      </c>
      <c r="AF1154" s="28">
        <v>369.82758620689657</v>
      </c>
      <c r="AG1154" s="28">
        <v>429</v>
      </c>
      <c r="AH1154" s="36" t="s">
        <v>64</v>
      </c>
      <c r="AI1154" s="84">
        <v>45323</v>
      </c>
      <c r="AJ1154" s="84">
        <v>46054</v>
      </c>
      <c r="AK115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54" s="30"/>
      <c r="AN1154" s="20" t="s">
        <v>99</v>
      </c>
      <c r="AP1154" s="20" t="s">
        <v>84</v>
      </c>
      <c r="AQ1154" s="20" t="s">
        <v>100</v>
      </c>
    </row>
    <row r="1155" spans="1:43" s="51" customFormat="1" ht="16">
      <c r="A1155" s="20">
        <v>6643313765</v>
      </c>
      <c r="B1155" s="21">
        <v>1038567</v>
      </c>
      <c r="C1155" s="20" t="s">
        <v>5177</v>
      </c>
      <c r="D1155" s="20" t="s">
        <v>507</v>
      </c>
      <c r="E1155" s="20" t="s">
        <v>5178</v>
      </c>
      <c r="F1155" s="20" t="s">
        <v>463</v>
      </c>
      <c r="G1155" s="20" t="s">
        <v>463</v>
      </c>
      <c r="H1155" s="20" t="s">
        <v>48</v>
      </c>
      <c r="I1155" s="20" t="s">
        <v>463</v>
      </c>
      <c r="J1155" s="32" t="s">
        <v>5179</v>
      </c>
      <c r="K1155" s="22" t="s">
        <v>5179</v>
      </c>
      <c r="L1155" s="23" t="s">
        <v>5173</v>
      </c>
      <c r="M1155" s="24" t="s">
        <v>7745</v>
      </c>
      <c r="N1155" s="23">
        <v>18771000</v>
      </c>
      <c r="O1155" s="25" t="s">
        <v>126</v>
      </c>
      <c r="P1155" s="25" t="s">
        <v>53</v>
      </c>
      <c r="Q1155" s="20" t="s">
        <v>5180</v>
      </c>
      <c r="R1155" s="20">
        <v>12074488</v>
      </c>
      <c r="S1155" s="25" t="s">
        <v>5181</v>
      </c>
      <c r="T1155" s="26" t="s">
        <v>57</v>
      </c>
      <c r="U1155" s="23">
        <v>860900062337324</v>
      </c>
      <c r="V1155" s="27" t="s">
        <v>57</v>
      </c>
      <c r="W1155" s="20" t="s">
        <v>58</v>
      </c>
      <c r="X1155" s="20" t="s">
        <v>59</v>
      </c>
      <c r="Y1155" s="20" t="s">
        <v>59</v>
      </c>
      <c r="Z1155" s="20" t="s">
        <v>60</v>
      </c>
      <c r="AA1155" s="20" t="s">
        <v>61</v>
      </c>
      <c r="AB1155" s="20" t="s">
        <v>96</v>
      </c>
      <c r="AC1155" s="28">
        <v>369.83</v>
      </c>
      <c r="AD1155" s="28">
        <f>SUM(BASE[[#This Row],[MONTO DE RENTA ]]*1.16)</f>
        <v>429.00279999999998</v>
      </c>
      <c r="AE1155" s="28" t="s">
        <v>63</v>
      </c>
      <c r="AF1155" s="28">
        <v>369.82758620689657</v>
      </c>
      <c r="AG1155" s="28">
        <v>429</v>
      </c>
      <c r="AH1155" s="22" t="s">
        <v>64</v>
      </c>
      <c r="AI1155" s="29">
        <v>45703</v>
      </c>
      <c r="AJ1155" s="29">
        <v>46433</v>
      </c>
      <c r="AK11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55" s="20"/>
      <c r="AM1155" s="30"/>
      <c r="AN1155" s="20" t="s">
        <v>65</v>
      </c>
      <c r="AO1155" s="20"/>
      <c r="AP1155" s="20" t="s">
        <v>84</v>
      </c>
      <c r="AQ1155" s="20"/>
    </row>
    <row r="1156" spans="1:43" ht="16">
      <c r="A1156" s="20">
        <v>6642510051</v>
      </c>
      <c r="B1156" s="21">
        <v>540323</v>
      </c>
      <c r="C1156" s="20" t="s">
        <v>5182</v>
      </c>
      <c r="D1156" s="20" t="s">
        <v>383</v>
      </c>
      <c r="E1156" s="20" t="s">
        <v>5183</v>
      </c>
      <c r="F1156" s="20" t="s">
        <v>248</v>
      </c>
      <c r="G1156" s="20" t="s">
        <v>248</v>
      </c>
      <c r="H1156" s="20" t="s">
        <v>48</v>
      </c>
      <c r="I1156" s="20" t="s">
        <v>248</v>
      </c>
      <c r="J1156" s="22" t="s">
        <v>5184</v>
      </c>
      <c r="K1156" s="22" t="s">
        <v>5184</v>
      </c>
      <c r="L1156" s="23" t="s">
        <v>5173</v>
      </c>
      <c r="M1156" s="24" t="s">
        <v>7745</v>
      </c>
      <c r="N1156" s="23">
        <v>18854000</v>
      </c>
      <c r="O1156" s="25" t="s">
        <v>126</v>
      </c>
      <c r="P1156" s="25" t="s">
        <v>53</v>
      </c>
      <c r="Q1156" s="20" t="s">
        <v>5185</v>
      </c>
      <c r="R1156" s="20">
        <v>11587067</v>
      </c>
      <c r="S1156" s="25" t="s">
        <v>5186</v>
      </c>
      <c r="T1156" s="26" t="s">
        <v>57</v>
      </c>
      <c r="U1156" s="23">
        <v>860900062337043</v>
      </c>
      <c r="V1156" s="27" t="s">
        <v>57</v>
      </c>
      <c r="W1156" s="20" t="s">
        <v>58</v>
      </c>
      <c r="X1156" s="20" t="s">
        <v>59</v>
      </c>
      <c r="Y1156" s="20" t="s">
        <v>59</v>
      </c>
      <c r="Z1156" s="20" t="s">
        <v>60</v>
      </c>
      <c r="AA1156" s="20" t="s">
        <v>61</v>
      </c>
      <c r="AB1156" s="20" t="s">
        <v>96</v>
      </c>
      <c r="AC1156" s="28">
        <v>369.83</v>
      </c>
      <c r="AD1156" s="28">
        <f>SUM(BASE[[#This Row],[MONTO DE RENTA ]]*1.16)</f>
        <v>429.00279999999998</v>
      </c>
      <c r="AE1156" s="28" t="s">
        <v>63</v>
      </c>
      <c r="AF1156" s="28">
        <v>369.82758620689657</v>
      </c>
      <c r="AG1156" s="28">
        <v>429</v>
      </c>
      <c r="AH1156" s="22" t="s">
        <v>64</v>
      </c>
      <c r="AI1156" s="63">
        <v>45703</v>
      </c>
      <c r="AJ1156" s="63">
        <v>46433</v>
      </c>
      <c r="AK115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6" s="30"/>
      <c r="AN1156" s="20" t="s">
        <v>65</v>
      </c>
      <c r="AP1156" s="20" t="s">
        <v>84</v>
      </c>
    </row>
    <row r="1157" spans="1:43" ht="16">
      <c r="A1157" s="20">
        <v>6642542355</v>
      </c>
      <c r="B1157" s="21">
        <v>60275</v>
      </c>
      <c r="C1157" s="20" t="s">
        <v>5187</v>
      </c>
      <c r="D1157" s="20" t="s">
        <v>983</v>
      </c>
      <c r="E1157" s="20" t="s">
        <v>442</v>
      </c>
      <c r="F1157" s="20" t="s">
        <v>257</v>
      </c>
      <c r="G1157" s="20" t="s">
        <v>257</v>
      </c>
      <c r="H1157" s="20" t="s">
        <v>48</v>
      </c>
      <c r="I1157" s="20" t="s">
        <v>257</v>
      </c>
      <c r="J1157" s="22" t="s">
        <v>5188</v>
      </c>
      <c r="K1157" s="22" t="s">
        <v>5188</v>
      </c>
      <c r="L1157" s="23" t="s">
        <v>5173</v>
      </c>
      <c r="M1157" s="24" t="s">
        <v>7745</v>
      </c>
      <c r="N1157" s="23">
        <v>18854000</v>
      </c>
      <c r="O1157" s="25" t="s">
        <v>126</v>
      </c>
      <c r="P1157" s="25" t="s">
        <v>53</v>
      </c>
      <c r="Q1157" s="20" t="s">
        <v>5189</v>
      </c>
      <c r="R1157" s="20">
        <v>11560906</v>
      </c>
      <c r="S1157" s="25" t="s">
        <v>5190</v>
      </c>
      <c r="T1157" s="26" t="s">
        <v>57</v>
      </c>
      <c r="U1157" s="23">
        <v>860478064952689</v>
      </c>
      <c r="V1157" s="45" t="s">
        <v>110</v>
      </c>
      <c r="W1157" s="20" t="s">
        <v>302</v>
      </c>
      <c r="X1157" s="20" t="s">
        <v>303</v>
      </c>
      <c r="Y1157" s="20" t="s">
        <v>303</v>
      </c>
      <c r="Z1157" s="20" t="s">
        <v>80</v>
      </c>
      <c r="AA1157" s="20" t="s">
        <v>81</v>
      </c>
      <c r="AB1157" s="20" t="s">
        <v>82</v>
      </c>
      <c r="AC1157" s="28">
        <v>559.48</v>
      </c>
      <c r="AD1157" s="28">
        <f>SUM(BASE[[#This Row],[MONTO DE RENTA ]]*1.16)</f>
        <v>648.99680000000001</v>
      </c>
      <c r="AE1157" s="28" t="s">
        <v>83</v>
      </c>
      <c r="AF1157" s="28">
        <v>559.48275862068965</v>
      </c>
      <c r="AG1157" s="28">
        <v>649</v>
      </c>
      <c r="AH1157" s="22" t="s">
        <v>64</v>
      </c>
      <c r="AI1157" s="29">
        <v>45703</v>
      </c>
      <c r="AJ1157" s="29">
        <v>46433</v>
      </c>
      <c r="AK115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7" s="30"/>
      <c r="AN1157" s="20" t="s">
        <v>65</v>
      </c>
      <c r="AP1157" s="20" t="s">
        <v>84</v>
      </c>
    </row>
    <row r="1158" spans="1:43" ht="16">
      <c r="A1158" s="20">
        <v>6642540392</v>
      </c>
      <c r="B1158" s="21">
        <v>540161</v>
      </c>
      <c r="C1158" s="20" t="s">
        <v>2990</v>
      </c>
      <c r="D1158" s="20" t="s">
        <v>5191</v>
      </c>
      <c r="E1158" s="20" t="s">
        <v>1245</v>
      </c>
      <c r="F1158" s="20" t="s">
        <v>104</v>
      </c>
      <c r="G1158" s="20" t="s">
        <v>104</v>
      </c>
      <c r="H1158" s="20" t="s">
        <v>48</v>
      </c>
      <c r="I1158" s="20" t="s">
        <v>104</v>
      </c>
      <c r="J1158" s="32" t="s">
        <v>5192</v>
      </c>
      <c r="K1158" s="32" t="s">
        <v>5192</v>
      </c>
      <c r="L1158" s="23" t="s">
        <v>5173</v>
      </c>
      <c r="M1158" s="24" t="s">
        <v>7745</v>
      </c>
      <c r="N1158" s="23">
        <v>18854000</v>
      </c>
      <c r="O1158" s="25" t="s">
        <v>126</v>
      </c>
      <c r="P1158" s="25" t="s">
        <v>53</v>
      </c>
      <c r="Q1158" s="20" t="s">
        <v>5193</v>
      </c>
      <c r="R1158" s="20">
        <v>11560899</v>
      </c>
      <c r="S1158" s="25" t="s">
        <v>5194</v>
      </c>
      <c r="T1158" s="26" t="s">
        <v>57</v>
      </c>
      <c r="U1158" s="23">
        <v>860478064862508</v>
      </c>
      <c r="V1158" s="45" t="s">
        <v>110</v>
      </c>
      <c r="W1158" s="20" t="s">
        <v>302</v>
      </c>
      <c r="X1158" s="20" t="s">
        <v>303</v>
      </c>
      <c r="Y1158" s="20" t="s">
        <v>303</v>
      </c>
      <c r="Z1158" s="20" t="s">
        <v>80</v>
      </c>
      <c r="AA1158" s="20" t="s">
        <v>81</v>
      </c>
      <c r="AB1158" s="20" t="s">
        <v>82</v>
      </c>
      <c r="AC1158" s="28">
        <v>559.48</v>
      </c>
      <c r="AD1158" s="28">
        <f>SUM(BASE[[#This Row],[MONTO DE RENTA ]]*1.16)</f>
        <v>648.99680000000001</v>
      </c>
      <c r="AE1158" s="28" t="s">
        <v>83</v>
      </c>
      <c r="AF1158" s="28">
        <v>559.48275862068965</v>
      </c>
      <c r="AG1158" s="28">
        <v>649</v>
      </c>
      <c r="AH1158" s="22" t="s">
        <v>64</v>
      </c>
      <c r="AI1158" s="63">
        <v>45703</v>
      </c>
      <c r="AJ1158" s="63">
        <v>46433</v>
      </c>
      <c r="AK11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8" s="30"/>
      <c r="AN1158" s="20" t="s">
        <v>65</v>
      </c>
      <c r="AP1158" s="20" t="s">
        <v>84</v>
      </c>
    </row>
    <row r="1159" spans="1:43" ht="16">
      <c r="A1159" s="20">
        <v>6642540971</v>
      </c>
      <c r="B1159" s="21">
        <v>540390</v>
      </c>
      <c r="C1159" s="20" t="s">
        <v>3295</v>
      </c>
      <c r="D1159" s="20" t="s">
        <v>5195</v>
      </c>
      <c r="E1159" s="20" t="s">
        <v>143</v>
      </c>
      <c r="F1159" s="20" t="s">
        <v>104</v>
      </c>
      <c r="G1159" s="20" t="s">
        <v>104</v>
      </c>
      <c r="H1159" s="20" t="s">
        <v>48</v>
      </c>
      <c r="I1159" s="20" t="s">
        <v>104</v>
      </c>
      <c r="J1159" s="22" t="s">
        <v>5196</v>
      </c>
      <c r="K1159" s="22" t="s">
        <v>5196</v>
      </c>
      <c r="L1159" s="23" t="s">
        <v>5173</v>
      </c>
      <c r="M1159" s="24" t="s">
        <v>7745</v>
      </c>
      <c r="N1159" s="23">
        <v>18854000</v>
      </c>
      <c r="O1159" s="25" t="s">
        <v>126</v>
      </c>
      <c r="P1159" s="25" t="s">
        <v>53</v>
      </c>
      <c r="Q1159" s="20" t="s">
        <v>5197</v>
      </c>
      <c r="R1159" s="20">
        <v>11560902</v>
      </c>
      <c r="S1159" s="25" t="s">
        <v>5198</v>
      </c>
      <c r="T1159" s="26" t="s">
        <v>57</v>
      </c>
      <c r="U1159" s="23">
        <v>860478064951442</v>
      </c>
      <c r="V1159" s="45" t="s">
        <v>110</v>
      </c>
      <c r="W1159" s="20" t="s">
        <v>302</v>
      </c>
      <c r="X1159" s="20" t="s">
        <v>303</v>
      </c>
      <c r="Y1159" s="20" t="s">
        <v>303</v>
      </c>
      <c r="Z1159" s="20" t="s">
        <v>80</v>
      </c>
      <c r="AA1159" s="20" t="s">
        <v>81</v>
      </c>
      <c r="AB1159" s="20" t="s">
        <v>82</v>
      </c>
      <c r="AC1159" s="28">
        <v>559.48</v>
      </c>
      <c r="AD1159" s="28">
        <f>SUM(BASE[[#This Row],[MONTO DE RENTA ]]*1.16)</f>
        <v>648.99680000000001</v>
      </c>
      <c r="AE1159" s="28" t="s">
        <v>83</v>
      </c>
      <c r="AF1159" s="28">
        <v>559.48275862068965</v>
      </c>
      <c r="AG1159" s="28">
        <v>649</v>
      </c>
      <c r="AH1159" s="22" t="s">
        <v>64</v>
      </c>
      <c r="AI1159" s="63">
        <v>45703</v>
      </c>
      <c r="AJ1159" s="63">
        <v>46433</v>
      </c>
      <c r="AK11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59" s="30"/>
      <c r="AN1159" s="20" t="s">
        <v>65</v>
      </c>
      <c r="AP1159" s="20" t="s">
        <v>84</v>
      </c>
    </row>
    <row r="1160" spans="1:43" ht="16">
      <c r="A1160" s="20">
        <v>6643863811</v>
      </c>
      <c r="B1160" s="49">
        <v>260504</v>
      </c>
      <c r="C1160" s="20" t="s">
        <v>5199</v>
      </c>
      <c r="D1160" s="20" t="s">
        <v>5200</v>
      </c>
      <c r="E1160" s="20" t="s">
        <v>461</v>
      </c>
      <c r="F1160" s="20" t="s">
        <v>122</v>
      </c>
      <c r="G1160" s="20" t="s">
        <v>122</v>
      </c>
      <c r="H1160" s="20" t="s">
        <v>48</v>
      </c>
      <c r="I1160" s="20" t="s">
        <v>122</v>
      </c>
      <c r="J1160" s="22" t="s">
        <v>5201</v>
      </c>
      <c r="K1160" s="22" t="s">
        <v>5201</v>
      </c>
      <c r="L1160" s="23" t="s">
        <v>5173</v>
      </c>
      <c r="M1160" s="24" t="s">
        <v>7745</v>
      </c>
      <c r="N1160" s="23">
        <v>18854000</v>
      </c>
      <c r="O1160" s="25" t="s">
        <v>126</v>
      </c>
      <c r="P1160" s="25" t="s">
        <v>53</v>
      </c>
      <c r="Q1160" s="20" t="s">
        <v>5202</v>
      </c>
      <c r="R1160" s="20">
        <v>11771515</v>
      </c>
      <c r="S1160" s="25" t="s">
        <v>55</v>
      </c>
      <c r="T1160" s="26" t="s">
        <v>56</v>
      </c>
      <c r="U1160" s="23">
        <v>865356065671513</v>
      </c>
      <c r="V1160" s="27" t="s">
        <v>183</v>
      </c>
      <c r="W1160" s="20" t="s">
        <v>129</v>
      </c>
      <c r="X1160" s="20" t="s">
        <v>130</v>
      </c>
      <c r="Y1160" s="20" t="s">
        <v>130</v>
      </c>
      <c r="Z1160" s="20" t="s">
        <v>60</v>
      </c>
      <c r="AA1160" s="20" t="s">
        <v>61</v>
      </c>
      <c r="AB1160" s="20" t="s">
        <v>96</v>
      </c>
      <c r="AC1160" s="28">
        <v>369.83</v>
      </c>
      <c r="AD1160" s="28">
        <f>SUM(BASE[[#This Row],[MONTO DE RENTA ]]*1.16)</f>
        <v>429.00279999999998</v>
      </c>
      <c r="AE1160" s="28" t="s">
        <v>63</v>
      </c>
      <c r="AF1160" s="28">
        <v>369.82758620689657</v>
      </c>
      <c r="AG1160" s="28">
        <v>429</v>
      </c>
      <c r="AI1160" s="29">
        <v>44937</v>
      </c>
      <c r="AJ1160" s="50">
        <v>46043</v>
      </c>
      <c r="AK116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0" s="30"/>
      <c r="AN1160" s="20" t="s">
        <v>99</v>
      </c>
      <c r="AP1160" s="20" t="s">
        <v>84</v>
      </c>
      <c r="AQ1160" s="20" t="s">
        <v>100</v>
      </c>
    </row>
    <row r="1161" spans="1:43" ht="16">
      <c r="A1161" s="20">
        <v>6642512701</v>
      </c>
      <c r="B1161" s="49">
        <v>10474</v>
      </c>
      <c r="C1161" s="20" t="s">
        <v>2220</v>
      </c>
      <c r="D1161" s="20" t="s">
        <v>442</v>
      </c>
      <c r="E1161" s="20" t="s">
        <v>778</v>
      </c>
      <c r="F1161" s="20" t="s">
        <v>70</v>
      </c>
      <c r="G1161" s="20" t="s">
        <v>70</v>
      </c>
      <c r="H1161" s="20" t="s">
        <v>48</v>
      </c>
      <c r="I1161" s="20" t="s">
        <v>70</v>
      </c>
      <c r="J1161" s="22" t="s">
        <v>5203</v>
      </c>
      <c r="K1161" s="22" t="s">
        <v>5203</v>
      </c>
      <c r="L1161" s="23" t="s">
        <v>5173</v>
      </c>
      <c r="M1161" s="24" t="s">
        <v>7745</v>
      </c>
      <c r="N1161" s="23">
        <v>18854000</v>
      </c>
      <c r="O1161" s="25" t="s">
        <v>126</v>
      </c>
      <c r="P1161" s="25" t="s">
        <v>53</v>
      </c>
      <c r="Q1161" s="20" t="s">
        <v>5204</v>
      </c>
      <c r="R1161" s="20">
        <v>11511501</v>
      </c>
      <c r="S1161" s="25" t="s">
        <v>55</v>
      </c>
      <c r="T1161" s="26" t="s">
        <v>56</v>
      </c>
      <c r="U1161" s="23">
        <v>357654177833665</v>
      </c>
      <c r="V1161" s="27" t="s">
        <v>78</v>
      </c>
      <c r="W1161" s="20" t="s">
        <v>95</v>
      </c>
      <c r="X1161" s="20" t="s">
        <v>95</v>
      </c>
      <c r="Y1161" s="20" t="s">
        <v>95</v>
      </c>
      <c r="Z1161" s="20" t="s">
        <v>60</v>
      </c>
      <c r="AA1161" s="20" t="s">
        <v>61</v>
      </c>
      <c r="AB1161" s="20" t="s">
        <v>82</v>
      </c>
      <c r="AC1161" s="28">
        <v>559.48</v>
      </c>
      <c r="AD1161" s="28">
        <f>SUM(BASE[[#This Row],[MONTO DE RENTA ]]*1.16)</f>
        <v>648.99680000000001</v>
      </c>
      <c r="AE1161" s="28" t="s">
        <v>83</v>
      </c>
      <c r="AF1161" s="28">
        <v>559.48275862068965</v>
      </c>
      <c r="AG1161" s="28">
        <v>649</v>
      </c>
      <c r="AI1161" s="63">
        <v>44937</v>
      </c>
      <c r="AJ1161" s="73">
        <v>46043</v>
      </c>
      <c r="AK11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1" s="30"/>
      <c r="AN1161" s="20" t="s">
        <v>99</v>
      </c>
      <c r="AP1161" s="20" t="s">
        <v>84</v>
      </c>
      <c r="AQ1161" s="20" t="s">
        <v>100</v>
      </c>
    </row>
    <row r="1162" spans="1:43" ht="16">
      <c r="A1162" s="20">
        <v>7442101374</v>
      </c>
      <c r="B1162" s="21">
        <v>1000175</v>
      </c>
      <c r="C1162" s="20" t="s">
        <v>5205</v>
      </c>
      <c r="D1162" s="20" t="s">
        <v>5206</v>
      </c>
      <c r="E1162" s="20" t="s">
        <v>598</v>
      </c>
      <c r="F1162" s="20" t="s">
        <v>451</v>
      </c>
      <c r="G1162" s="20" t="s">
        <v>47</v>
      </c>
      <c r="H1162" s="20" t="s">
        <v>48</v>
      </c>
      <c r="I1162" s="20" t="s">
        <v>451</v>
      </c>
      <c r="J1162" s="22" t="s">
        <v>5207</v>
      </c>
      <c r="K1162" s="22" t="s">
        <v>5207</v>
      </c>
      <c r="L1162" s="23" t="s">
        <v>5208</v>
      </c>
      <c r="M1162" s="24" t="s">
        <v>7742</v>
      </c>
      <c r="N1162" s="23">
        <v>18857000</v>
      </c>
      <c r="O1162" s="25" t="s">
        <v>828</v>
      </c>
      <c r="P1162" s="25" t="s">
        <v>53</v>
      </c>
      <c r="Q1162" s="20" t="s">
        <v>5209</v>
      </c>
      <c r="R1162" s="20">
        <v>73085104</v>
      </c>
      <c r="S1162" s="25" t="s">
        <v>5210</v>
      </c>
      <c r="T1162" s="26" t="s">
        <v>57</v>
      </c>
      <c r="U1162" s="23">
        <v>860900062256334</v>
      </c>
      <c r="V1162" s="27" t="s">
        <v>57</v>
      </c>
      <c r="W1162" s="20" t="s">
        <v>58</v>
      </c>
      <c r="X1162" s="20" t="s">
        <v>59</v>
      </c>
      <c r="Y1162" s="20" t="s">
        <v>59</v>
      </c>
      <c r="Z1162" s="20" t="s">
        <v>131</v>
      </c>
      <c r="AA1162" s="20" t="s">
        <v>132</v>
      </c>
      <c r="AB1162" s="20" t="s">
        <v>96</v>
      </c>
      <c r="AC1162" s="28">
        <v>369.83</v>
      </c>
      <c r="AD1162" s="28">
        <f>SUM(BASE[[#This Row],[MONTO DE RENTA ]]*1.16)</f>
        <v>429.00279999999998</v>
      </c>
      <c r="AE1162" s="28" t="s">
        <v>63</v>
      </c>
      <c r="AF1162" s="28">
        <v>369.82758620689657</v>
      </c>
      <c r="AG1162" s="28">
        <v>429</v>
      </c>
      <c r="AH1162" s="22" t="s">
        <v>64</v>
      </c>
      <c r="AI1162" s="29">
        <v>45703</v>
      </c>
      <c r="AJ1162" s="29">
        <v>46433</v>
      </c>
      <c r="AK116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62" s="30"/>
      <c r="AN1162" s="20" t="s">
        <v>65</v>
      </c>
      <c r="AP1162" s="20" t="s">
        <v>84</v>
      </c>
    </row>
    <row r="1163" spans="1:43" ht="16">
      <c r="A1163" s="20">
        <v>3121256957</v>
      </c>
      <c r="B1163" s="21">
        <v>1024458</v>
      </c>
      <c r="C1163" s="20" t="s">
        <v>5211</v>
      </c>
      <c r="D1163" s="20" t="s">
        <v>5212</v>
      </c>
      <c r="E1163" s="20" t="s">
        <v>598</v>
      </c>
      <c r="F1163" s="20" t="s">
        <v>257</v>
      </c>
      <c r="G1163" s="20" t="s">
        <v>257</v>
      </c>
      <c r="H1163" s="20" t="s">
        <v>48</v>
      </c>
      <c r="I1163" s="20" t="s">
        <v>257</v>
      </c>
      <c r="J1163" s="22" t="s">
        <v>5213</v>
      </c>
      <c r="K1163" s="32" t="s">
        <v>5213</v>
      </c>
      <c r="L1163" s="23" t="s">
        <v>5141</v>
      </c>
      <c r="M1163" s="24" t="s">
        <v>7746</v>
      </c>
      <c r="N1163" s="23">
        <v>18727000</v>
      </c>
      <c r="O1163" s="25" t="s">
        <v>677</v>
      </c>
      <c r="P1163" s="25" t="s">
        <v>53</v>
      </c>
      <c r="Q1163" s="20" t="s">
        <v>5214</v>
      </c>
      <c r="R1163" s="20">
        <v>53345449</v>
      </c>
      <c r="S1163" s="25" t="s">
        <v>5215</v>
      </c>
      <c r="T1163" s="26" t="s">
        <v>57</v>
      </c>
      <c r="U1163" s="23">
        <v>860478064067140</v>
      </c>
      <c r="V1163" s="45" t="s">
        <v>110</v>
      </c>
      <c r="W1163" s="20" t="s">
        <v>302</v>
      </c>
      <c r="X1163" s="20" t="s">
        <v>303</v>
      </c>
      <c r="Y1163" s="20" t="s">
        <v>303</v>
      </c>
      <c r="Z1163" s="20" t="s">
        <v>80</v>
      </c>
      <c r="AA1163" s="20" t="s">
        <v>81</v>
      </c>
      <c r="AB1163" s="20" t="s">
        <v>82</v>
      </c>
      <c r="AC1163" s="28">
        <v>559.48</v>
      </c>
      <c r="AD1163" s="28">
        <f>SUM(BASE[[#This Row],[MONTO DE RENTA ]]*1.16)</f>
        <v>648.99680000000001</v>
      </c>
      <c r="AE1163" s="28" t="s">
        <v>83</v>
      </c>
      <c r="AF1163" s="28">
        <v>559.48275862068965</v>
      </c>
      <c r="AG1163" s="28">
        <v>649</v>
      </c>
      <c r="AH1163" s="22" t="s">
        <v>64</v>
      </c>
      <c r="AI1163" s="63">
        <v>45713</v>
      </c>
      <c r="AJ1163" s="63">
        <v>46433</v>
      </c>
      <c r="AK11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63" s="30"/>
      <c r="AN1163" s="20" t="s">
        <v>65</v>
      </c>
      <c r="AP1163" s="20" t="s">
        <v>84</v>
      </c>
    </row>
    <row r="1164" spans="1:43" s="69" customFormat="1" ht="16">
      <c r="A1164" s="20">
        <v>7442133358</v>
      </c>
      <c r="B1164" s="21">
        <v>570262</v>
      </c>
      <c r="C1164" s="20" t="s">
        <v>5216</v>
      </c>
      <c r="D1164" s="20" t="s">
        <v>417</v>
      </c>
      <c r="E1164" s="20" t="s">
        <v>607</v>
      </c>
      <c r="F1164" s="20" t="s">
        <v>257</v>
      </c>
      <c r="G1164" s="20" t="s">
        <v>257</v>
      </c>
      <c r="H1164" s="20" t="s">
        <v>48</v>
      </c>
      <c r="I1164" s="20" t="s">
        <v>257</v>
      </c>
      <c r="J1164" s="22" t="s">
        <v>5217</v>
      </c>
      <c r="K1164" s="22" t="s">
        <v>5217</v>
      </c>
      <c r="L1164" s="23" t="s">
        <v>5208</v>
      </c>
      <c r="M1164" s="24" t="s">
        <v>7742</v>
      </c>
      <c r="N1164" s="23">
        <v>18857000</v>
      </c>
      <c r="O1164" s="25" t="s">
        <v>828</v>
      </c>
      <c r="P1164" s="25" t="s">
        <v>53</v>
      </c>
      <c r="Q1164" s="20" t="s">
        <v>5218</v>
      </c>
      <c r="R1164" s="20">
        <v>73108891</v>
      </c>
      <c r="S1164" s="25" t="s">
        <v>5219</v>
      </c>
      <c r="T1164" s="26" t="s">
        <v>57</v>
      </c>
      <c r="U1164" s="23">
        <v>860478060204077</v>
      </c>
      <c r="V1164" s="45" t="s">
        <v>110</v>
      </c>
      <c r="W1164" s="20" t="s">
        <v>302</v>
      </c>
      <c r="X1164" s="20" t="s">
        <v>303</v>
      </c>
      <c r="Y1164" s="20" t="s">
        <v>303</v>
      </c>
      <c r="Z1164" s="20" t="s">
        <v>131</v>
      </c>
      <c r="AA1164" s="20" t="s">
        <v>132</v>
      </c>
      <c r="AB1164" s="20" t="s">
        <v>82</v>
      </c>
      <c r="AC1164" s="28">
        <v>559.48</v>
      </c>
      <c r="AD1164" s="28">
        <f>SUM(BASE[[#This Row],[MONTO DE RENTA ]]*1.16)</f>
        <v>648.99680000000001</v>
      </c>
      <c r="AE1164" s="28" t="s">
        <v>83</v>
      </c>
      <c r="AF1164" s="28">
        <v>559.48275862068965</v>
      </c>
      <c r="AG1164" s="28">
        <v>649</v>
      </c>
      <c r="AH1164" s="22" t="s">
        <v>64</v>
      </c>
      <c r="AI1164" s="63">
        <v>45703</v>
      </c>
      <c r="AJ1164" s="63">
        <v>46433</v>
      </c>
      <c r="AK11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64" s="20"/>
      <c r="AM1164" s="30"/>
      <c r="AN1164" s="20" t="s">
        <v>65</v>
      </c>
      <c r="AO1164" s="20"/>
      <c r="AP1164" s="20" t="s">
        <v>84</v>
      </c>
      <c r="AQ1164" s="20"/>
    </row>
    <row r="1165" spans="1:43" s="230" customFormat="1" ht="16">
      <c r="A1165" s="20">
        <v>7442133359</v>
      </c>
      <c r="B1165" s="21">
        <v>1024483</v>
      </c>
      <c r="C1165" s="20" t="s">
        <v>5220</v>
      </c>
      <c r="D1165" s="20" t="s">
        <v>172</v>
      </c>
      <c r="E1165" s="20" t="s">
        <v>657</v>
      </c>
      <c r="F1165" s="20" t="s">
        <v>104</v>
      </c>
      <c r="G1165" s="20" t="s">
        <v>104</v>
      </c>
      <c r="H1165" s="20" t="s">
        <v>48</v>
      </c>
      <c r="I1165" s="20" t="s">
        <v>104</v>
      </c>
      <c r="J1165" s="32" t="s">
        <v>5221</v>
      </c>
      <c r="K1165" s="32" t="s">
        <v>5221</v>
      </c>
      <c r="L1165" s="23" t="s">
        <v>5208</v>
      </c>
      <c r="M1165" s="24" t="s">
        <v>7742</v>
      </c>
      <c r="N1165" s="23">
        <v>18857000</v>
      </c>
      <c r="O1165" s="25" t="s">
        <v>828</v>
      </c>
      <c r="P1165" s="25" t="s">
        <v>53</v>
      </c>
      <c r="Q1165" s="20" t="s">
        <v>5222</v>
      </c>
      <c r="R1165" s="20">
        <v>73108892</v>
      </c>
      <c r="S1165" s="25" t="s">
        <v>5223</v>
      </c>
      <c r="T1165" s="26" t="s">
        <v>57</v>
      </c>
      <c r="U1165" s="23">
        <v>860478062333486</v>
      </c>
      <c r="V1165" s="45" t="s">
        <v>110</v>
      </c>
      <c r="W1165" s="20" t="s">
        <v>302</v>
      </c>
      <c r="X1165" s="20" t="s">
        <v>303</v>
      </c>
      <c r="Y1165" s="20" t="s">
        <v>303</v>
      </c>
      <c r="Z1165" s="20" t="s">
        <v>131</v>
      </c>
      <c r="AA1165" s="20" t="s">
        <v>132</v>
      </c>
      <c r="AB1165" s="20" t="s">
        <v>82</v>
      </c>
      <c r="AC1165" s="28">
        <v>559.48</v>
      </c>
      <c r="AD1165" s="28">
        <f>SUM(BASE[[#This Row],[MONTO DE RENTA ]]*1.16)</f>
        <v>648.99680000000001</v>
      </c>
      <c r="AE1165" s="28" t="s">
        <v>83</v>
      </c>
      <c r="AF1165" s="28">
        <v>559.48275862068965</v>
      </c>
      <c r="AG1165" s="28">
        <v>649</v>
      </c>
      <c r="AH1165" s="22" t="s">
        <v>64</v>
      </c>
      <c r="AI1165" s="63">
        <v>45703</v>
      </c>
      <c r="AJ1165" s="63">
        <v>46433</v>
      </c>
      <c r="AK116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65" s="20"/>
      <c r="AM1165" s="30"/>
      <c r="AN1165" s="20" t="s">
        <v>65</v>
      </c>
      <c r="AO1165" s="20"/>
      <c r="AP1165" s="20" t="s">
        <v>84</v>
      </c>
      <c r="AQ1165" s="20"/>
    </row>
    <row r="1166" spans="1:43" ht="16">
      <c r="A1166" s="20">
        <v>7441378089</v>
      </c>
      <c r="B1166" s="21">
        <v>1031382</v>
      </c>
      <c r="C1166" s="20" t="s">
        <v>5224</v>
      </c>
      <c r="D1166" s="20" t="s">
        <v>1582</v>
      </c>
      <c r="E1166" s="20" t="s">
        <v>5225</v>
      </c>
      <c r="F1166" s="20" t="s">
        <v>104</v>
      </c>
      <c r="G1166" s="20" t="s">
        <v>104</v>
      </c>
      <c r="H1166" s="20" t="s">
        <v>48</v>
      </c>
      <c r="I1166" s="20" t="s">
        <v>104</v>
      </c>
      <c r="J1166" s="32" t="s">
        <v>5226</v>
      </c>
      <c r="K1166" s="32" t="s">
        <v>5226</v>
      </c>
      <c r="L1166" s="23" t="s">
        <v>5208</v>
      </c>
      <c r="M1166" s="24" t="s">
        <v>7742</v>
      </c>
      <c r="N1166" s="23">
        <v>18857000</v>
      </c>
      <c r="O1166" s="25" t="s">
        <v>828</v>
      </c>
      <c r="P1166" s="25" t="s">
        <v>53</v>
      </c>
      <c r="Q1166" s="20" t="s">
        <v>5227</v>
      </c>
      <c r="R1166" s="20">
        <v>73108884</v>
      </c>
      <c r="S1166" s="25" t="s">
        <v>5228</v>
      </c>
      <c r="T1166" s="26" t="s">
        <v>57</v>
      </c>
      <c r="U1166" s="23">
        <v>860796063912952</v>
      </c>
      <c r="V1166" s="45" t="s">
        <v>110</v>
      </c>
      <c r="W1166" s="20" t="s">
        <v>353</v>
      </c>
      <c r="X1166" s="20" t="s">
        <v>354</v>
      </c>
      <c r="Y1166" s="20" t="s">
        <v>354</v>
      </c>
      <c r="Z1166" s="20" t="s">
        <v>131</v>
      </c>
      <c r="AA1166" s="20" t="s">
        <v>132</v>
      </c>
      <c r="AB1166" s="20" t="s">
        <v>82</v>
      </c>
      <c r="AC1166" s="28">
        <v>559.48</v>
      </c>
      <c r="AD1166" s="28">
        <f>SUM(BASE[[#This Row],[MONTO DE RENTA ]]*1.16)</f>
        <v>648.99680000000001</v>
      </c>
      <c r="AE1166" s="28" t="s">
        <v>83</v>
      </c>
      <c r="AF1166" s="28">
        <v>559.48275862068965</v>
      </c>
      <c r="AG1166" s="28">
        <v>649</v>
      </c>
      <c r="AI1166" s="63">
        <v>44937</v>
      </c>
      <c r="AJ1166" s="84">
        <v>46054</v>
      </c>
      <c r="AK116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6" s="30"/>
      <c r="AN1166" s="20" t="s">
        <v>99</v>
      </c>
      <c r="AP1166" s="20" t="s">
        <v>84</v>
      </c>
      <c r="AQ1166" s="20" t="s">
        <v>100</v>
      </c>
    </row>
    <row r="1167" spans="1:43" ht="16">
      <c r="A1167" s="20">
        <v>7442133360</v>
      </c>
      <c r="B1167" s="21">
        <v>1040034</v>
      </c>
      <c r="C1167" s="20" t="s">
        <v>5229</v>
      </c>
      <c r="D1167" s="20" t="s">
        <v>2538</v>
      </c>
      <c r="E1167" s="20" t="s">
        <v>143</v>
      </c>
      <c r="F1167" s="20" t="s">
        <v>104</v>
      </c>
      <c r="G1167" s="20" t="s">
        <v>104</v>
      </c>
      <c r="H1167" s="20" t="s">
        <v>48</v>
      </c>
      <c r="I1167" s="20" t="s">
        <v>104</v>
      </c>
      <c r="J1167" s="32" t="s">
        <v>5230</v>
      </c>
      <c r="K1167" s="32" t="s">
        <v>5230</v>
      </c>
      <c r="L1167" s="23" t="s">
        <v>5208</v>
      </c>
      <c r="M1167" s="24" t="s">
        <v>7742</v>
      </c>
      <c r="N1167" s="23">
        <v>18857000</v>
      </c>
      <c r="O1167" s="25" t="s">
        <v>828</v>
      </c>
      <c r="P1167" s="25" t="s">
        <v>53</v>
      </c>
      <c r="Q1167" s="20" t="s">
        <v>5231</v>
      </c>
      <c r="R1167" s="20">
        <v>73108893</v>
      </c>
      <c r="S1167" s="25" t="s">
        <v>5232</v>
      </c>
      <c r="T1167" s="26" t="s">
        <v>57</v>
      </c>
      <c r="U1167" s="23">
        <v>860478064810978</v>
      </c>
      <c r="V1167" s="45" t="s">
        <v>110</v>
      </c>
      <c r="W1167" s="20" t="s">
        <v>302</v>
      </c>
      <c r="X1167" s="20" t="s">
        <v>303</v>
      </c>
      <c r="Y1167" s="20" t="s">
        <v>303</v>
      </c>
      <c r="Z1167" s="20" t="s">
        <v>131</v>
      </c>
      <c r="AA1167" s="20" t="s">
        <v>132</v>
      </c>
      <c r="AB1167" s="20" t="s">
        <v>82</v>
      </c>
      <c r="AC1167" s="28">
        <v>559.48</v>
      </c>
      <c r="AD1167" s="28">
        <f>SUM(BASE[[#This Row],[MONTO DE RENTA ]]*1.16)</f>
        <v>648.99680000000001</v>
      </c>
      <c r="AE1167" s="28" t="s">
        <v>83</v>
      </c>
      <c r="AF1167" s="28">
        <v>559.48275862068965</v>
      </c>
      <c r="AG1167" s="28">
        <v>649</v>
      </c>
      <c r="AH1167" s="22" t="s">
        <v>64</v>
      </c>
      <c r="AI1167" s="63">
        <v>45703</v>
      </c>
      <c r="AJ1167" s="63">
        <v>46433</v>
      </c>
      <c r="AK11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67" s="30"/>
      <c r="AN1167" s="20" t="s">
        <v>65</v>
      </c>
      <c r="AP1167" s="20" t="s">
        <v>84</v>
      </c>
    </row>
    <row r="1168" spans="1:43" ht="16">
      <c r="A1168" s="20">
        <v>7442398560</v>
      </c>
      <c r="B1168" s="49">
        <v>360262</v>
      </c>
      <c r="C1168" s="20" t="s">
        <v>5059</v>
      </c>
      <c r="D1168" s="20" t="s">
        <v>187</v>
      </c>
      <c r="E1168" s="20" t="s">
        <v>347</v>
      </c>
      <c r="F1168" s="20" t="s">
        <v>1525</v>
      </c>
      <c r="G1168" s="20" t="s">
        <v>122</v>
      </c>
      <c r="H1168" s="20" t="s">
        <v>48</v>
      </c>
      <c r="I1168" s="20" t="s">
        <v>1525</v>
      </c>
      <c r="J1168" s="22" t="s">
        <v>5233</v>
      </c>
      <c r="K1168" s="22" t="s">
        <v>5233</v>
      </c>
      <c r="L1168" s="23" t="s">
        <v>5208</v>
      </c>
      <c r="M1168" s="24" t="s">
        <v>7742</v>
      </c>
      <c r="N1168" s="23">
        <v>11137000</v>
      </c>
      <c r="O1168" s="25" t="s">
        <v>828</v>
      </c>
      <c r="P1168" s="25" t="s">
        <v>53</v>
      </c>
      <c r="Q1168" s="20" t="s">
        <v>5234</v>
      </c>
      <c r="R1168" s="20">
        <v>73565262</v>
      </c>
      <c r="S1168" s="25" t="s">
        <v>55</v>
      </c>
      <c r="T1168" s="26" t="s">
        <v>56</v>
      </c>
      <c r="U1168" s="23">
        <v>865356065673626</v>
      </c>
      <c r="V1168" s="27" t="s">
        <v>183</v>
      </c>
      <c r="W1168" s="20" t="s">
        <v>129</v>
      </c>
      <c r="X1168" s="20" t="s">
        <v>130</v>
      </c>
      <c r="Y1168" s="20" t="s">
        <v>130</v>
      </c>
      <c r="Z1168" s="20" t="s">
        <v>60</v>
      </c>
      <c r="AA1168" s="20" t="s">
        <v>61</v>
      </c>
      <c r="AB1168" s="20" t="s">
        <v>96</v>
      </c>
      <c r="AC1168" s="28">
        <v>369.83</v>
      </c>
      <c r="AD1168" s="28">
        <f>SUM(BASE[[#This Row],[MONTO DE RENTA ]]*1.16)</f>
        <v>429.00279999999998</v>
      </c>
      <c r="AE1168" s="28" t="s">
        <v>63</v>
      </c>
      <c r="AF1168" s="28">
        <v>369.82758620689657</v>
      </c>
      <c r="AG1168" s="28">
        <v>429</v>
      </c>
      <c r="AI1168" s="63">
        <v>44937</v>
      </c>
      <c r="AJ1168" s="73">
        <v>46043</v>
      </c>
      <c r="AK11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8" s="30"/>
      <c r="AN1168" s="20" t="s">
        <v>99</v>
      </c>
      <c r="AP1168" s="20" t="s">
        <v>84</v>
      </c>
      <c r="AQ1168" s="20" t="s">
        <v>100</v>
      </c>
    </row>
    <row r="1169" spans="1:43" ht="16">
      <c r="A1169" s="20">
        <v>7442115204</v>
      </c>
      <c r="B1169" s="49">
        <v>440003</v>
      </c>
      <c r="C1169" s="20" t="s">
        <v>426</v>
      </c>
      <c r="D1169" s="20" t="s">
        <v>546</v>
      </c>
      <c r="E1169" s="20" t="s">
        <v>160</v>
      </c>
      <c r="F1169" s="20" t="s">
        <v>70</v>
      </c>
      <c r="G1169" s="20" t="s">
        <v>70</v>
      </c>
      <c r="H1169" s="20" t="s">
        <v>48</v>
      </c>
      <c r="I1169" s="20" t="s">
        <v>70</v>
      </c>
      <c r="J1169" s="22" t="s">
        <v>5235</v>
      </c>
      <c r="K1169" s="22" t="s">
        <v>5235</v>
      </c>
      <c r="L1169" s="23" t="s">
        <v>5208</v>
      </c>
      <c r="M1169" s="24" t="s">
        <v>7742</v>
      </c>
      <c r="N1169" s="23">
        <v>18857000</v>
      </c>
      <c r="O1169" s="25" t="s">
        <v>828</v>
      </c>
      <c r="P1169" s="25" t="s">
        <v>53</v>
      </c>
      <c r="Q1169" s="20" t="s">
        <v>5236</v>
      </c>
      <c r="R1169" s="20">
        <v>72922696</v>
      </c>
      <c r="S1169" s="25" t="s">
        <v>55</v>
      </c>
      <c r="T1169" s="26" t="s">
        <v>56</v>
      </c>
      <c r="U1169" s="23">
        <v>357654177923979</v>
      </c>
      <c r="V1169" s="27" t="s">
        <v>78</v>
      </c>
      <c r="W1169" s="20" t="s">
        <v>95</v>
      </c>
      <c r="X1169" s="20" t="s">
        <v>95</v>
      </c>
      <c r="Y1169" s="20" t="s">
        <v>95</v>
      </c>
      <c r="Z1169" s="20" t="s">
        <v>60</v>
      </c>
      <c r="AA1169" s="20" t="s">
        <v>61</v>
      </c>
      <c r="AB1169" s="20" t="s">
        <v>82</v>
      </c>
      <c r="AC1169" s="28">
        <v>559.48</v>
      </c>
      <c r="AD1169" s="28">
        <f>SUM(BASE[[#This Row],[MONTO DE RENTA ]]*1.16)</f>
        <v>648.99680000000001</v>
      </c>
      <c r="AE1169" s="28" t="s">
        <v>83</v>
      </c>
      <c r="AF1169" s="28">
        <v>559.48275862068965</v>
      </c>
      <c r="AG1169" s="28">
        <v>649</v>
      </c>
      <c r="AI1169" s="63">
        <v>44937</v>
      </c>
      <c r="AJ1169" s="73">
        <v>46043</v>
      </c>
      <c r="AK116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69" s="30"/>
      <c r="AN1169" s="20" t="s">
        <v>99</v>
      </c>
      <c r="AP1169" s="20" t="s">
        <v>84</v>
      </c>
      <c r="AQ1169" s="20" t="s">
        <v>100</v>
      </c>
    </row>
    <row r="1170" spans="1:43" ht="16">
      <c r="A1170" s="20">
        <v>5518825143</v>
      </c>
      <c r="B1170" s="21">
        <v>1004014</v>
      </c>
      <c r="C1170" s="20" t="s">
        <v>1648</v>
      </c>
      <c r="D1170" s="20" t="s">
        <v>102</v>
      </c>
      <c r="E1170" s="20" t="s">
        <v>5237</v>
      </c>
      <c r="F1170" s="20" t="s">
        <v>4593</v>
      </c>
      <c r="G1170" s="20" t="s">
        <v>47</v>
      </c>
      <c r="H1170" s="20" t="s">
        <v>48</v>
      </c>
      <c r="I1170" s="20" t="s">
        <v>4593</v>
      </c>
      <c r="J1170" s="22" t="s">
        <v>5238</v>
      </c>
      <c r="K1170" s="22" t="s">
        <v>5238</v>
      </c>
      <c r="L1170" s="23" t="s">
        <v>5239</v>
      </c>
      <c r="M1170" s="24" t="s">
        <v>7736</v>
      </c>
      <c r="N1170" s="23">
        <v>18860000</v>
      </c>
      <c r="O1170" s="25" t="s">
        <v>52</v>
      </c>
      <c r="P1170" s="25" t="s">
        <v>53</v>
      </c>
      <c r="Q1170" s="20" t="s">
        <v>5240</v>
      </c>
      <c r="R1170" s="20">
        <v>90182522</v>
      </c>
      <c r="S1170" s="25" t="s">
        <v>5241</v>
      </c>
      <c r="T1170" s="26" t="s">
        <v>57</v>
      </c>
      <c r="U1170" s="23">
        <v>860900062322227</v>
      </c>
      <c r="V1170" s="27" t="s">
        <v>57</v>
      </c>
      <c r="W1170" s="20" t="s">
        <v>58</v>
      </c>
      <c r="X1170" s="20" t="s">
        <v>59</v>
      </c>
      <c r="Y1170" s="20" t="s">
        <v>59</v>
      </c>
      <c r="Z1170" s="20" t="s">
        <v>60</v>
      </c>
      <c r="AA1170" s="20" t="s">
        <v>61</v>
      </c>
      <c r="AB1170" s="20" t="s">
        <v>96</v>
      </c>
      <c r="AC1170" s="28">
        <v>369.83</v>
      </c>
      <c r="AD1170" s="28">
        <f>SUM(BASE[[#This Row],[MONTO DE RENTA ]]*1.16)</f>
        <v>429.00279999999998</v>
      </c>
      <c r="AE1170" s="28" t="s">
        <v>63</v>
      </c>
      <c r="AF1170" s="28">
        <v>369.82758620689657</v>
      </c>
      <c r="AG1170" s="28">
        <v>429</v>
      </c>
      <c r="AH1170" s="22" t="s">
        <v>64</v>
      </c>
      <c r="AI1170" s="63">
        <v>45703</v>
      </c>
      <c r="AJ1170" s="63">
        <v>46433</v>
      </c>
      <c r="AK117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0" s="30"/>
      <c r="AN1170" s="20" t="s">
        <v>65</v>
      </c>
      <c r="AP1170" s="20" t="s">
        <v>84</v>
      </c>
    </row>
    <row r="1171" spans="1:43" ht="16">
      <c r="A1171" s="20">
        <v>5514163629</v>
      </c>
      <c r="B1171" s="21">
        <v>1007987</v>
      </c>
      <c r="C1171" s="20" t="s">
        <v>5242</v>
      </c>
      <c r="D1171" s="20" t="s">
        <v>357</v>
      </c>
      <c r="E1171" s="20" t="s">
        <v>358</v>
      </c>
      <c r="F1171" s="20" t="s">
        <v>248</v>
      </c>
      <c r="G1171" s="20" t="s">
        <v>248</v>
      </c>
      <c r="H1171" s="20" t="s">
        <v>48</v>
      </c>
      <c r="I1171" s="20" t="s">
        <v>248</v>
      </c>
      <c r="J1171" s="145" t="s">
        <v>5243</v>
      </c>
      <c r="K1171" s="145" t="s">
        <v>5243</v>
      </c>
      <c r="L1171" s="23" t="s">
        <v>5239</v>
      </c>
      <c r="M1171" s="24" t="s">
        <v>7736</v>
      </c>
      <c r="N1171" s="23">
        <v>18860000</v>
      </c>
      <c r="O1171" s="25" t="s">
        <v>52</v>
      </c>
      <c r="P1171" s="25" t="s">
        <v>53</v>
      </c>
      <c r="Q1171" s="20" t="s">
        <v>5244</v>
      </c>
      <c r="R1171" s="20">
        <v>90136476</v>
      </c>
      <c r="S1171" s="25" t="s">
        <v>5245</v>
      </c>
      <c r="T1171" s="26" t="s">
        <v>57</v>
      </c>
      <c r="U1171" s="23">
        <v>860900062319462</v>
      </c>
      <c r="V1171" s="27" t="s">
        <v>57</v>
      </c>
      <c r="W1171" s="20" t="s">
        <v>58</v>
      </c>
      <c r="X1171" s="20" t="s">
        <v>59</v>
      </c>
      <c r="Y1171" s="20" t="s">
        <v>59</v>
      </c>
      <c r="Z1171" s="20" t="s">
        <v>60</v>
      </c>
      <c r="AA1171" s="20" t="s">
        <v>61</v>
      </c>
      <c r="AB1171" s="20" t="s">
        <v>96</v>
      </c>
      <c r="AC1171" s="28">
        <v>369.83</v>
      </c>
      <c r="AD1171" s="28">
        <f>SUM(BASE[[#This Row],[MONTO DE RENTA ]]*1.16)</f>
        <v>429.00279999999998</v>
      </c>
      <c r="AE1171" s="28" t="s">
        <v>63</v>
      </c>
      <c r="AF1171" s="28">
        <v>369.82758620689657</v>
      </c>
      <c r="AG1171" s="28">
        <v>429</v>
      </c>
      <c r="AH1171" s="22" t="s">
        <v>64</v>
      </c>
      <c r="AI1171" s="63">
        <v>45703</v>
      </c>
      <c r="AJ1171" s="63">
        <v>46433</v>
      </c>
      <c r="AK117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1" s="30"/>
      <c r="AN1171" s="20" t="s">
        <v>65</v>
      </c>
      <c r="AP1171" s="20" t="s">
        <v>84</v>
      </c>
    </row>
    <row r="1172" spans="1:43" ht="16">
      <c r="A1172" s="20">
        <v>5561413491</v>
      </c>
      <c r="B1172" s="21">
        <v>600480</v>
      </c>
      <c r="C1172" s="20" t="s">
        <v>5246</v>
      </c>
      <c r="D1172" s="20" t="s">
        <v>994</v>
      </c>
      <c r="E1172" s="20" t="s">
        <v>2845</v>
      </c>
      <c r="F1172" s="20" t="s">
        <v>122</v>
      </c>
      <c r="G1172" s="20" t="s">
        <v>122</v>
      </c>
      <c r="H1172" s="20" t="s">
        <v>48</v>
      </c>
      <c r="I1172" s="20" t="s">
        <v>122</v>
      </c>
      <c r="J1172" s="22" t="s">
        <v>5247</v>
      </c>
      <c r="K1172" s="22" t="s">
        <v>5248</v>
      </c>
      <c r="L1172" s="23" t="s">
        <v>5239</v>
      </c>
      <c r="M1172" s="24" t="s">
        <v>7736</v>
      </c>
      <c r="N1172" s="23">
        <v>18860000</v>
      </c>
      <c r="O1172" s="25" t="s">
        <v>52</v>
      </c>
      <c r="P1172" s="25" t="s">
        <v>53</v>
      </c>
      <c r="Q1172" s="20" t="s">
        <v>5249</v>
      </c>
      <c r="R1172" s="20">
        <v>90475302</v>
      </c>
      <c r="S1172" s="25" t="s">
        <v>5250</v>
      </c>
      <c r="T1172" s="26" t="s">
        <v>57</v>
      </c>
      <c r="U1172" s="23">
        <v>860900062322094</v>
      </c>
      <c r="V1172" s="27" t="s">
        <v>57</v>
      </c>
      <c r="W1172" s="20" t="s">
        <v>58</v>
      </c>
      <c r="X1172" s="20" t="s">
        <v>59</v>
      </c>
      <c r="Y1172" s="20" t="s">
        <v>59</v>
      </c>
      <c r="Z1172" s="20" t="s">
        <v>60</v>
      </c>
      <c r="AA1172" s="20" t="s">
        <v>61</v>
      </c>
      <c r="AB1172" s="20" t="s">
        <v>96</v>
      </c>
      <c r="AC1172" s="28">
        <v>369.83</v>
      </c>
      <c r="AD1172" s="28">
        <f>SUM(BASE[[#This Row],[MONTO DE RENTA ]]*1.16)</f>
        <v>429.00279999999998</v>
      </c>
      <c r="AE1172" s="28" t="s">
        <v>63</v>
      </c>
      <c r="AF1172" s="28">
        <v>369.82758620689657</v>
      </c>
      <c r="AG1172" s="28">
        <v>429</v>
      </c>
      <c r="AH1172" s="22" t="s">
        <v>64</v>
      </c>
      <c r="AI1172" s="63">
        <v>45703</v>
      </c>
      <c r="AJ1172" s="63">
        <v>46433</v>
      </c>
      <c r="AK11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2" s="30"/>
      <c r="AN1172" s="20" t="s">
        <v>65</v>
      </c>
      <c r="AP1172" s="20" t="s">
        <v>84</v>
      </c>
    </row>
    <row r="1173" spans="1:43" ht="16">
      <c r="A1173" s="20">
        <v>5514391037</v>
      </c>
      <c r="B1173" s="21">
        <v>1001804</v>
      </c>
      <c r="C1173" s="20" t="s">
        <v>5251</v>
      </c>
      <c r="D1173" s="20" t="s">
        <v>87</v>
      </c>
      <c r="E1173" s="20" t="s">
        <v>45</v>
      </c>
      <c r="F1173" s="20" t="s">
        <v>257</v>
      </c>
      <c r="G1173" s="20" t="s">
        <v>257</v>
      </c>
      <c r="H1173" s="20" t="s">
        <v>48</v>
      </c>
      <c r="I1173" s="20" t="s">
        <v>257</v>
      </c>
      <c r="J1173" s="22" t="s">
        <v>5252</v>
      </c>
      <c r="K1173" s="22" t="s">
        <v>5252</v>
      </c>
      <c r="L1173" s="23" t="s">
        <v>5239</v>
      </c>
      <c r="M1173" s="24" t="s">
        <v>7736</v>
      </c>
      <c r="N1173" s="23">
        <v>18860000</v>
      </c>
      <c r="O1173" s="25" t="s">
        <v>52</v>
      </c>
      <c r="P1173" s="25" t="s">
        <v>53</v>
      </c>
      <c r="Q1173" s="20" t="s">
        <v>5253</v>
      </c>
      <c r="R1173" s="20">
        <v>90069617</v>
      </c>
      <c r="S1173" s="25" t="s">
        <v>5254</v>
      </c>
      <c r="T1173" s="26" t="s">
        <v>57</v>
      </c>
      <c r="U1173" s="23">
        <v>860478064952770</v>
      </c>
      <c r="V1173" s="45" t="s">
        <v>110</v>
      </c>
      <c r="W1173" s="20" t="s">
        <v>302</v>
      </c>
      <c r="X1173" s="20" t="s">
        <v>303</v>
      </c>
      <c r="Y1173" s="20" t="s">
        <v>303</v>
      </c>
      <c r="Z1173" s="20" t="s">
        <v>80</v>
      </c>
      <c r="AA1173" s="20" t="s">
        <v>81</v>
      </c>
      <c r="AB1173" s="20" t="s">
        <v>82</v>
      </c>
      <c r="AC1173" s="28">
        <v>559.48</v>
      </c>
      <c r="AD1173" s="28">
        <f>SUM(BASE[[#This Row],[MONTO DE RENTA ]]*1.16)</f>
        <v>648.99680000000001</v>
      </c>
      <c r="AE1173" s="28" t="s">
        <v>83</v>
      </c>
      <c r="AF1173" s="28">
        <v>559.48275862068965</v>
      </c>
      <c r="AG1173" s="28">
        <v>649</v>
      </c>
      <c r="AH1173" s="22" t="s">
        <v>64</v>
      </c>
      <c r="AI1173" s="63">
        <v>45703</v>
      </c>
      <c r="AJ1173" s="63">
        <v>46433</v>
      </c>
      <c r="AK11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3" s="30"/>
      <c r="AN1173" s="20" t="s">
        <v>65</v>
      </c>
      <c r="AP1173" s="20" t="s">
        <v>84</v>
      </c>
    </row>
    <row r="1174" spans="1:43" ht="16">
      <c r="A1174" s="20">
        <v>5514389641</v>
      </c>
      <c r="B1174" s="113">
        <v>440470</v>
      </c>
      <c r="C1174" s="20" t="s">
        <v>5255</v>
      </c>
      <c r="D1174" s="20" t="s">
        <v>5256</v>
      </c>
      <c r="E1174" s="20" t="s">
        <v>5257</v>
      </c>
      <c r="F1174" s="20" t="s">
        <v>104</v>
      </c>
      <c r="G1174" s="20" t="s">
        <v>104</v>
      </c>
      <c r="H1174" s="20" t="s">
        <v>48</v>
      </c>
      <c r="I1174" s="20" t="s">
        <v>104</v>
      </c>
      <c r="J1174" s="32" t="s">
        <v>5258</v>
      </c>
      <c r="K1174" s="32" t="s">
        <v>5258</v>
      </c>
      <c r="L1174" s="23" t="s">
        <v>5239</v>
      </c>
      <c r="M1174" s="24" t="s">
        <v>7736</v>
      </c>
      <c r="N1174" s="23">
        <v>18860000</v>
      </c>
      <c r="O1174" s="25" t="s">
        <v>52</v>
      </c>
      <c r="P1174" s="25" t="s">
        <v>53</v>
      </c>
      <c r="Q1174" s="20" t="s">
        <v>5259</v>
      </c>
      <c r="R1174" s="20">
        <v>90069612</v>
      </c>
      <c r="S1174" s="25" t="s">
        <v>5260</v>
      </c>
      <c r="T1174" s="26" t="s">
        <v>57</v>
      </c>
      <c r="U1174" s="23">
        <v>860478064165449</v>
      </c>
      <c r="V1174" s="45" t="s">
        <v>110</v>
      </c>
      <c r="W1174" s="20" t="s">
        <v>302</v>
      </c>
      <c r="X1174" s="20" t="s">
        <v>303</v>
      </c>
      <c r="Y1174" s="20" t="s">
        <v>303</v>
      </c>
      <c r="Z1174" s="20" t="s">
        <v>80</v>
      </c>
      <c r="AA1174" s="20" t="s">
        <v>81</v>
      </c>
      <c r="AB1174" s="20" t="s">
        <v>82</v>
      </c>
      <c r="AC1174" s="28">
        <v>559.48</v>
      </c>
      <c r="AD1174" s="28">
        <f>SUM(BASE[[#This Row],[MONTO DE RENTA ]]*1.16)</f>
        <v>648.99680000000001</v>
      </c>
      <c r="AE1174" s="28" t="s">
        <v>83</v>
      </c>
      <c r="AF1174" s="28">
        <v>559.48275862068965</v>
      </c>
      <c r="AG1174" s="28">
        <v>649</v>
      </c>
      <c r="AH1174" s="22" t="s">
        <v>64</v>
      </c>
      <c r="AI1174" s="63">
        <v>45713</v>
      </c>
      <c r="AJ1174" s="63">
        <v>46433</v>
      </c>
      <c r="AK11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4" s="30"/>
      <c r="AN1174" s="20" t="s">
        <v>65</v>
      </c>
      <c r="AP1174" s="20" t="s">
        <v>84</v>
      </c>
    </row>
    <row r="1175" spans="1:43" ht="16">
      <c r="A1175" s="20">
        <v>5514390890</v>
      </c>
      <c r="B1175" s="113">
        <v>600290</v>
      </c>
      <c r="C1175" s="20" t="s">
        <v>5261</v>
      </c>
      <c r="D1175" s="20" t="s">
        <v>5262</v>
      </c>
      <c r="E1175" s="20" t="s">
        <v>1524</v>
      </c>
      <c r="F1175" s="20" t="s">
        <v>104</v>
      </c>
      <c r="G1175" s="20" t="s">
        <v>104</v>
      </c>
      <c r="H1175" s="20" t="s">
        <v>48</v>
      </c>
      <c r="I1175" s="20" t="s">
        <v>104</v>
      </c>
      <c r="J1175" s="32" t="s">
        <v>5263</v>
      </c>
      <c r="K1175" s="32" t="s">
        <v>5263</v>
      </c>
      <c r="L1175" s="23" t="s">
        <v>5239</v>
      </c>
      <c r="M1175" s="24" t="s">
        <v>7736</v>
      </c>
      <c r="N1175" s="23">
        <v>18860000</v>
      </c>
      <c r="O1175" s="25" t="s">
        <v>52</v>
      </c>
      <c r="P1175" s="25" t="s">
        <v>53</v>
      </c>
      <c r="Q1175" s="20" t="s">
        <v>5264</v>
      </c>
      <c r="R1175" s="20">
        <v>90069618</v>
      </c>
      <c r="S1175" s="25" t="s">
        <v>5265</v>
      </c>
      <c r="T1175" s="26" t="s">
        <v>57</v>
      </c>
      <c r="U1175" s="23">
        <v>860478062408726</v>
      </c>
      <c r="V1175" s="45" t="s">
        <v>110</v>
      </c>
      <c r="W1175" s="20" t="s">
        <v>302</v>
      </c>
      <c r="X1175" s="20" t="s">
        <v>303</v>
      </c>
      <c r="Y1175" s="20" t="s">
        <v>303</v>
      </c>
      <c r="Z1175" s="20" t="s">
        <v>80</v>
      </c>
      <c r="AA1175" s="20" t="s">
        <v>81</v>
      </c>
      <c r="AB1175" s="20" t="s">
        <v>82</v>
      </c>
      <c r="AC1175" s="28">
        <v>559.48</v>
      </c>
      <c r="AD1175" s="28">
        <f>SUM(BASE[[#This Row],[MONTO DE RENTA ]]*1.16)</f>
        <v>648.99680000000001</v>
      </c>
      <c r="AE1175" s="28" t="s">
        <v>83</v>
      </c>
      <c r="AF1175" s="28">
        <v>559.48275862068965</v>
      </c>
      <c r="AG1175" s="28">
        <v>649</v>
      </c>
      <c r="AH1175" s="22" t="s">
        <v>64</v>
      </c>
      <c r="AI1175" s="63">
        <v>45713</v>
      </c>
      <c r="AJ1175" s="63">
        <v>46433</v>
      </c>
      <c r="AK11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5" s="30"/>
      <c r="AN1175" s="20" t="s">
        <v>65</v>
      </c>
      <c r="AP1175" s="20" t="s">
        <v>84</v>
      </c>
    </row>
    <row r="1176" spans="1:43" ht="16">
      <c r="A1176" s="20">
        <v>7441958592</v>
      </c>
      <c r="B1176" s="21">
        <v>570274</v>
      </c>
      <c r="C1176" s="20" t="s">
        <v>43</v>
      </c>
      <c r="D1176" s="20" t="s">
        <v>3651</v>
      </c>
      <c r="E1176" s="20" t="s">
        <v>2333</v>
      </c>
      <c r="F1176" s="20" t="s">
        <v>47</v>
      </c>
      <c r="G1176" s="20" t="s">
        <v>248</v>
      </c>
      <c r="H1176" s="20" t="s">
        <v>48</v>
      </c>
      <c r="I1176" s="20" t="s">
        <v>47</v>
      </c>
      <c r="J1176" s="22" t="s">
        <v>5266</v>
      </c>
      <c r="K1176" s="22" t="s">
        <v>5266</v>
      </c>
      <c r="L1176" s="23" t="s">
        <v>5208</v>
      </c>
      <c r="M1176" s="24" t="s">
        <v>7742</v>
      </c>
      <c r="N1176" s="23">
        <v>18736003</v>
      </c>
      <c r="O1176" s="25" t="s">
        <v>828</v>
      </c>
      <c r="P1176" s="25" t="s">
        <v>53</v>
      </c>
      <c r="Q1176" s="20" t="s">
        <v>5267</v>
      </c>
      <c r="R1176" s="20">
        <v>73065660</v>
      </c>
      <c r="S1176" s="25" t="s">
        <v>5268</v>
      </c>
      <c r="T1176" s="26" t="s">
        <v>57</v>
      </c>
      <c r="U1176" s="23">
        <v>860900062256326</v>
      </c>
      <c r="V1176" s="27" t="s">
        <v>57</v>
      </c>
      <c r="W1176" s="20" t="s">
        <v>58</v>
      </c>
      <c r="X1176" s="20" t="s">
        <v>59</v>
      </c>
      <c r="Y1176" s="20" t="s">
        <v>59</v>
      </c>
      <c r="Z1176" s="20" t="s">
        <v>131</v>
      </c>
      <c r="AA1176" s="20" t="s">
        <v>132</v>
      </c>
      <c r="AB1176" s="20" t="s">
        <v>96</v>
      </c>
      <c r="AC1176" s="28">
        <v>369.83</v>
      </c>
      <c r="AD1176" s="28">
        <f>SUM(BASE[[#This Row],[MONTO DE RENTA ]]*1.16)</f>
        <v>429.00279999999998</v>
      </c>
      <c r="AE1176" s="28" t="s">
        <v>63</v>
      </c>
      <c r="AF1176" s="28">
        <v>369.82758620689657</v>
      </c>
      <c r="AG1176" s="28">
        <v>429</v>
      </c>
      <c r="AH1176" s="22" t="s">
        <v>64</v>
      </c>
      <c r="AI1176" s="63">
        <v>45703</v>
      </c>
      <c r="AJ1176" s="63">
        <v>46433</v>
      </c>
      <c r="AK11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6" s="30"/>
      <c r="AN1176" s="20" t="s">
        <v>65</v>
      </c>
      <c r="AP1176" s="20" t="s">
        <v>84</v>
      </c>
    </row>
    <row r="1177" spans="1:43" ht="16">
      <c r="A1177" s="20">
        <v>5514391073</v>
      </c>
      <c r="B1177" s="21">
        <v>1031685</v>
      </c>
      <c r="C1177" s="20" t="s">
        <v>5269</v>
      </c>
      <c r="D1177" s="20" t="s">
        <v>4828</v>
      </c>
      <c r="E1177" s="20" t="s">
        <v>2125</v>
      </c>
      <c r="F1177" s="20" t="s">
        <v>104</v>
      </c>
      <c r="G1177" s="20" t="s">
        <v>104</v>
      </c>
      <c r="H1177" s="20" t="s">
        <v>48</v>
      </c>
      <c r="I1177" s="20" t="s">
        <v>104</v>
      </c>
      <c r="J1177" s="32" t="s">
        <v>5270</v>
      </c>
      <c r="K1177" s="241" t="s">
        <v>5270</v>
      </c>
      <c r="L1177" s="23" t="s">
        <v>5239</v>
      </c>
      <c r="M1177" s="24" t="s">
        <v>7736</v>
      </c>
      <c r="N1177" s="23">
        <v>18860000</v>
      </c>
      <c r="O1177" s="25" t="s">
        <v>52</v>
      </c>
      <c r="P1177" s="25" t="s">
        <v>53</v>
      </c>
      <c r="Q1177" s="20" t="s">
        <v>5271</v>
      </c>
      <c r="R1177" s="20">
        <v>90069619</v>
      </c>
      <c r="S1177" s="25" t="s">
        <v>5272</v>
      </c>
      <c r="T1177" s="26" t="s">
        <v>57</v>
      </c>
      <c r="U1177" s="23">
        <v>860478063560822</v>
      </c>
      <c r="V1177" s="45" t="s">
        <v>110</v>
      </c>
      <c r="W1177" s="20" t="s">
        <v>302</v>
      </c>
      <c r="X1177" s="20" t="s">
        <v>303</v>
      </c>
      <c r="Y1177" s="20" t="s">
        <v>303</v>
      </c>
      <c r="Z1177" s="20" t="s">
        <v>80</v>
      </c>
      <c r="AA1177" s="20" t="s">
        <v>81</v>
      </c>
      <c r="AB1177" s="20" t="s">
        <v>82</v>
      </c>
      <c r="AC1177" s="28">
        <v>559.48</v>
      </c>
      <c r="AD1177" s="28">
        <f>SUM(BASE[[#This Row],[MONTO DE RENTA ]]*1.16)</f>
        <v>648.99680000000001</v>
      </c>
      <c r="AE1177" s="28" t="s">
        <v>83</v>
      </c>
      <c r="AF1177" s="28">
        <v>559.48275862068965</v>
      </c>
      <c r="AG1177" s="28">
        <v>649</v>
      </c>
      <c r="AH1177" s="22" t="s">
        <v>64</v>
      </c>
      <c r="AI1177" s="63">
        <v>45713</v>
      </c>
      <c r="AJ1177" s="63">
        <v>46433</v>
      </c>
      <c r="AK11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7" s="30"/>
      <c r="AN1177" s="20" t="s">
        <v>65</v>
      </c>
      <c r="AP1177" s="20" t="s">
        <v>84</v>
      </c>
    </row>
    <row r="1178" spans="1:43" ht="16">
      <c r="A1178" s="20">
        <v>5513560841</v>
      </c>
      <c r="B1178" s="21">
        <v>1017388</v>
      </c>
      <c r="C1178" s="20" t="s">
        <v>5273</v>
      </c>
      <c r="D1178" s="20" t="s">
        <v>5274</v>
      </c>
      <c r="E1178" s="20" t="s">
        <v>598</v>
      </c>
      <c r="F1178" s="20" t="s">
        <v>122</v>
      </c>
      <c r="G1178" s="20" t="s">
        <v>122</v>
      </c>
      <c r="H1178" s="20" t="s">
        <v>48</v>
      </c>
      <c r="I1178" s="20" t="s">
        <v>122</v>
      </c>
      <c r="J1178" s="22" t="s">
        <v>5248</v>
      </c>
      <c r="K1178" s="22" t="s">
        <v>5248</v>
      </c>
      <c r="L1178" s="23" t="s">
        <v>5239</v>
      </c>
      <c r="M1178" s="24" t="s">
        <v>7736</v>
      </c>
      <c r="N1178" s="23">
        <v>18860000</v>
      </c>
      <c r="O1178" s="25" t="s">
        <v>52</v>
      </c>
      <c r="P1178" s="25" t="s">
        <v>53</v>
      </c>
      <c r="Q1178" s="20" t="s">
        <v>5275</v>
      </c>
      <c r="R1178" s="20">
        <v>96637543</v>
      </c>
      <c r="S1178" s="25" t="s">
        <v>5276</v>
      </c>
      <c r="T1178" s="26" t="s">
        <v>57</v>
      </c>
      <c r="U1178" s="23">
        <v>860900062322094</v>
      </c>
      <c r="V1178" s="27" t="s">
        <v>57</v>
      </c>
      <c r="W1178" s="20" t="s">
        <v>58</v>
      </c>
      <c r="X1178" s="20" t="s">
        <v>59</v>
      </c>
      <c r="Y1178" s="20" t="s">
        <v>59</v>
      </c>
      <c r="Z1178" s="20" t="s">
        <v>60</v>
      </c>
      <c r="AA1178" s="20" t="s">
        <v>61</v>
      </c>
      <c r="AB1178" s="20" t="s">
        <v>96</v>
      </c>
      <c r="AC1178" s="28">
        <v>369.83</v>
      </c>
      <c r="AD1178" s="28">
        <f>SUM(BASE[[#This Row],[MONTO DE RENTA ]]*1.16)</f>
        <v>429.00279999999998</v>
      </c>
      <c r="AE1178" s="28" t="s">
        <v>63</v>
      </c>
      <c r="AF1178" s="28">
        <v>369.82758620689657</v>
      </c>
      <c r="AG1178" s="28">
        <v>429</v>
      </c>
      <c r="AH1178" s="22" t="s">
        <v>64</v>
      </c>
      <c r="AI1178" s="63">
        <v>45703</v>
      </c>
      <c r="AJ1178" s="63">
        <v>46433</v>
      </c>
      <c r="AK11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78" s="30"/>
      <c r="AN1178" s="20" t="s">
        <v>65</v>
      </c>
      <c r="AP1178" s="20" t="s">
        <v>84</v>
      </c>
    </row>
    <row r="1179" spans="1:43" s="171" customFormat="1" ht="16">
      <c r="A1179" s="20">
        <v>5542680173</v>
      </c>
      <c r="B1179" s="49">
        <v>20025</v>
      </c>
      <c r="C1179" s="20" t="s">
        <v>5277</v>
      </c>
      <c r="D1179" s="20" t="s">
        <v>134</v>
      </c>
      <c r="E1179" s="20" t="s">
        <v>383</v>
      </c>
      <c r="F1179" s="20" t="s">
        <v>70</v>
      </c>
      <c r="G1179" s="20" t="s">
        <v>70</v>
      </c>
      <c r="H1179" s="20" t="s">
        <v>48</v>
      </c>
      <c r="I1179" s="20" t="s">
        <v>70</v>
      </c>
      <c r="J1179" s="22" t="s">
        <v>5278</v>
      </c>
      <c r="K1179" s="22" t="s">
        <v>5278</v>
      </c>
      <c r="L1179" s="23" t="s">
        <v>5239</v>
      </c>
      <c r="M1179" s="24" t="s">
        <v>7736</v>
      </c>
      <c r="N1179" s="23">
        <v>18860000</v>
      </c>
      <c r="O1179" s="25" t="s">
        <v>52</v>
      </c>
      <c r="P1179" s="25" t="s">
        <v>53</v>
      </c>
      <c r="Q1179" s="20" t="s">
        <v>5279</v>
      </c>
      <c r="R1179" s="20">
        <v>9808587</v>
      </c>
      <c r="S1179" s="25" t="s">
        <v>235</v>
      </c>
      <c r="T1179" s="26" t="s">
        <v>77</v>
      </c>
      <c r="U1179" s="23">
        <v>359928213887150</v>
      </c>
      <c r="V1179" s="27" t="s">
        <v>78</v>
      </c>
      <c r="W1179" s="20" t="s">
        <v>79</v>
      </c>
      <c r="X1179" s="20" t="s">
        <v>79</v>
      </c>
      <c r="Y1179" s="20" t="s">
        <v>79</v>
      </c>
      <c r="Z1179" s="20" t="s">
        <v>261</v>
      </c>
      <c r="AA1179" s="20" t="s">
        <v>473</v>
      </c>
      <c r="AB1179" s="20" t="s">
        <v>474</v>
      </c>
      <c r="AC1179" s="28">
        <v>559.48</v>
      </c>
      <c r="AD1179" s="28">
        <f>SUM(BASE[[#This Row],[MONTO DE RENTA ]]*1.16)</f>
        <v>648.99680000000001</v>
      </c>
      <c r="AE1179" s="28" t="s">
        <v>83</v>
      </c>
      <c r="AF1179" s="28">
        <v>559.48275862068965</v>
      </c>
      <c r="AG1179" s="28">
        <v>649</v>
      </c>
      <c r="AH1179" s="22"/>
      <c r="AI1179" s="63">
        <v>44937</v>
      </c>
      <c r="AJ1179" s="63">
        <v>46429</v>
      </c>
      <c r="AK11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79" s="20"/>
      <c r="AM1179" s="30"/>
      <c r="AN1179" s="20" t="s">
        <v>65</v>
      </c>
      <c r="AO1179" s="20"/>
      <c r="AP1179" s="20" t="s">
        <v>84</v>
      </c>
      <c r="AQ1179" s="20"/>
    </row>
    <row r="1180" spans="1:43" ht="16">
      <c r="A1180" s="20">
        <v>3317749224</v>
      </c>
      <c r="B1180" s="21">
        <v>230603</v>
      </c>
      <c r="C1180" s="20" t="s">
        <v>5280</v>
      </c>
      <c r="D1180" s="20" t="s">
        <v>4747</v>
      </c>
      <c r="E1180" s="20" t="s">
        <v>5281</v>
      </c>
      <c r="F1180" s="20" t="s">
        <v>5282</v>
      </c>
      <c r="G1180" s="20" t="s">
        <v>5282</v>
      </c>
      <c r="H1180" s="20" t="s">
        <v>155</v>
      </c>
      <c r="I1180" s="20" t="s">
        <v>5282</v>
      </c>
      <c r="J1180" s="32" t="s">
        <v>5283</v>
      </c>
      <c r="K1180" s="32" t="s">
        <v>5283</v>
      </c>
      <c r="L1180" s="23" t="s">
        <v>92</v>
      </c>
      <c r="M1180" s="24" t="s">
        <v>7738</v>
      </c>
      <c r="N1180" s="23">
        <v>18848080</v>
      </c>
      <c r="O1180" s="25" t="s">
        <v>677</v>
      </c>
      <c r="P1180" s="25" t="s">
        <v>53</v>
      </c>
      <c r="Q1180" s="20" t="s">
        <v>5284</v>
      </c>
      <c r="R1180" s="20">
        <v>55621714</v>
      </c>
      <c r="S1180" s="25" t="s">
        <v>5285</v>
      </c>
      <c r="T1180" s="26" t="s">
        <v>77</v>
      </c>
      <c r="U1180" s="23">
        <v>865356065673287</v>
      </c>
      <c r="V1180" s="27" t="s">
        <v>183</v>
      </c>
      <c r="W1180" s="20" t="s">
        <v>129</v>
      </c>
      <c r="X1180" s="20" t="s">
        <v>130</v>
      </c>
      <c r="Y1180" s="20" t="s">
        <v>130</v>
      </c>
      <c r="Z1180" s="20" t="s">
        <v>167</v>
      </c>
      <c r="AA1180" s="20" t="s">
        <v>168</v>
      </c>
      <c r="AB1180" s="20" t="s">
        <v>82</v>
      </c>
      <c r="AC1180" s="28">
        <v>559.48</v>
      </c>
      <c r="AD1180" s="28">
        <f>SUM(BASE[[#This Row],[MONTO DE RENTA ]]*1.16)</f>
        <v>648.99680000000001</v>
      </c>
      <c r="AE1180" s="28" t="s">
        <v>83</v>
      </c>
      <c r="AF1180" s="28">
        <v>559.48275862068965</v>
      </c>
      <c r="AG1180" s="28">
        <v>649</v>
      </c>
      <c r="AI1180" s="63">
        <v>44937</v>
      </c>
      <c r="AJ1180" s="84">
        <v>46054</v>
      </c>
      <c r="AK118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80" s="30"/>
      <c r="AN1180" s="20" t="s">
        <v>99</v>
      </c>
      <c r="AP1180" s="20" t="s">
        <v>84</v>
      </c>
      <c r="AQ1180" s="20" t="s">
        <v>100</v>
      </c>
    </row>
    <row r="1181" spans="1:43" ht="16">
      <c r="A1181" s="20">
        <v>2293569262</v>
      </c>
      <c r="B1181" s="21">
        <v>365102</v>
      </c>
      <c r="C1181" s="20" t="s">
        <v>5286</v>
      </c>
      <c r="D1181" s="20" t="s">
        <v>5287</v>
      </c>
      <c r="E1181" s="20" t="s">
        <v>4375</v>
      </c>
      <c r="F1181" s="20" t="s">
        <v>5288</v>
      </c>
      <c r="G1181" s="20" t="s">
        <v>5288</v>
      </c>
      <c r="H1181" s="20" t="s">
        <v>5289</v>
      </c>
      <c r="I1181" s="20" t="s">
        <v>5288</v>
      </c>
      <c r="J1181" s="22" t="s">
        <v>5290</v>
      </c>
      <c r="K1181" s="22" t="s">
        <v>5291</v>
      </c>
      <c r="L1181" s="23" t="s">
        <v>92</v>
      </c>
      <c r="M1181" s="24" t="s">
        <v>7738</v>
      </c>
      <c r="N1181" s="23">
        <v>18848028</v>
      </c>
      <c r="O1181" s="25" t="s">
        <v>828</v>
      </c>
      <c r="P1181" s="25" t="s">
        <v>53</v>
      </c>
      <c r="Q1181" s="20" t="s">
        <v>5292</v>
      </c>
      <c r="R1181" s="20">
        <v>73002463</v>
      </c>
      <c r="S1181" s="25" t="s">
        <v>5293</v>
      </c>
      <c r="T1181" s="26" t="s">
        <v>57</v>
      </c>
      <c r="U1181" s="23">
        <v>860900062337621</v>
      </c>
      <c r="V1181" s="27" t="s">
        <v>78</v>
      </c>
      <c r="W1181" s="20" t="s">
        <v>58</v>
      </c>
      <c r="X1181" s="20" t="s">
        <v>59</v>
      </c>
      <c r="Y1181" s="20" t="s">
        <v>59</v>
      </c>
      <c r="Z1181" s="20" t="s">
        <v>167</v>
      </c>
      <c r="AA1181" s="20" t="s">
        <v>168</v>
      </c>
      <c r="AB1181" s="20" t="s">
        <v>96</v>
      </c>
      <c r="AC1181" s="28">
        <v>369.83</v>
      </c>
      <c r="AD1181" s="28">
        <f>SUM(BASE[[#This Row],[MONTO DE RENTA ]]*1.16)</f>
        <v>429.00279999999998</v>
      </c>
      <c r="AE1181" s="28" t="s">
        <v>83</v>
      </c>
      <c r="AF1181" s="28">
        <v>559.48275862068965</v>
      </c>
      <c r="AG1181" s="28">
        <v>649</v>
      </c>
      <c r="AH1181" s="22" t="s">
        <v>64</v>
      </c>
      <c r="AI1181" s="63">
        <v>45703</v>
      </c>
      <c r="AJ1181" s="63">
        <v>46433</v>
      </c>
      <c r="AK11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81" s="30"/>
      <c r="AN1181" s="20" t="s">
        <v>99</v>
      </c>
      <c r="AP1181" s="20" t="s">
        <v>66</v>
      </c>
      <c r="AQ1181" s="20" t="s">
        <v>100</v>
      </c>
    </row>
    <row r="1182" spans="1:43" ht="16">
      <c r="A1182" s="20">
        <v>8113229546</v>
      </c>
      <c r="B1182" s="49">
        <v>6125</v>
      </c>
      <c r="C1182" s="20" t="s">
        <v>5294</v>
      </c>
      <c r="D1182" s="20" t="s">
        <v>358</v>
      </c>
      <c r="E1182" s="20" t="s">
        <v>4659</v>
      </c>
      <c r="F1182" s="20" t="s">
        <v>5295</v>
      </c>
      <c r="G1182" s="20" t="s">
        <v>5295</v>
      </c>
      <c r="H1182" s="20" t="s">
        <v>155</v>
      </c>
      <c r="I1182" s="20" t="s">
        <v>5295</v>
      </c>
      <c r="J1182" s="22" t="s">
        <v>5296</v>
      </c>
      <c r="K1182" s="22" t="s">
        <v>5297</v>
      </c>
      <c r="L1182" s="23" t="s">
        <v>92</v>
      </c>
      <c r="M1182" s="24" t="s">
        <v>7738</v>
      </c>
      <c r="N1182" s="23">
        <v>18848013</v>
      </c>
      <c r="O1182" s="25" t="s">
        <v>74</v>
      </c>
      <c r="P1182" s="25" t="s">
        <v>53</v>
      </c>
      <c r="Q1182" s="20" t="s">
        <v>5298</v>
      </c>
      <c r="R1182" s="20">
        <v>42896252</v>
      </c>
      <c r="S1182" s="25" t="s">
        <v>55</v>
      </c>
      <c r="T1182" s="26" t="s">
        <v>56</v>
      </c>
      <c r="U1182" s="23">
        <v>357654179706091</v>
      </c>
      <c r="V1182" s="27" t="s">
        <v>78</v>
      </c>
      <c r="W1182" s="20" t="s">
        <v>5299</v>
      </c>
      <c r="X1182" s="20" t="s">
        <v>5299</v>
      </c>
      <c r="Y1182" s="20" t="s">
        <v>5299</v>
      </c>
      <c r="Z1182" s="20" t="s">
        <v>60</v>
      </c>
      <c r="AA1182" s="20" t="s">
        <v>61</v>
      </c>
      <c r="AB1182" s="20" t="s">
        <v>82</v>
      </c>
      <c r="AC1182" s="28">
        <v>559.48</v>
      </c>
      <c r="AD1182" s="28">
        <f>SUM(BASE[[#This Row],[MONTO DE RENTA ]]*1.16)</f>
        <v>648.99680000000001</v>
      </c>
      <c r="AE1182" s="28" t="s">
        <v>83</v>
      </c>
      <c r="AF1182" s="28">
        <v>559.48275862068965</v>
      </c>
      <c r="AG1182" s="28">
        <v>649</v>
      </c>
      <c r="AI1182" s="63">
        <v>44937</v>
      </c>
      <c r="AJ1182" s="73">
        <v>46043</v>
      </c>
      <c r="AK11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82" s="30"/>
      <c r="AN1182" s="20" t="s">
        <v>99</v>
      </c>
      <c r="AP1182" s="20" t="s">
        <v>84</v>
      </c>
      <c r="AQ1182" s="20" t="s">
        <v>100</v>
      </c>
    </row>
    <row r="1183" spans="1:43" s="51" customFormat="1" ht="16">
      <c r="A1183" s="20">
        <v>7774298927</v>
      </c>
      <c r="B1183" s="21">
        <v>460195</v>
      </c>
      <c r="C1183" s="20" t="s">
        <v>5300</v>
      </c>
      <c r="D1183" s="20" t="s">
        <v>143</v>
      </c>
      <c r="E1183" s="20" t="s">
        <v>3753</v>
      </c>
      <c r="F1183" s="20" t="s">
        <v>88</v>
      </c>
      <c r="G1183" s="20" t="s">
        <v>88</v>
      </c>
      <c r="H1183" s="20" t="s">
        <v>89</v>
      </c>
      <c r="I1183" s="20" t="s">
        <v>88</v>
      </c>
      <c r="J1183" s="22" t="s">
        <v>5301</v>
      </c>
      <c r="K1183" s="22" t="s">
        <v>5301</v>
      </c>
      <c r="L1183" s="23" t="s">
        <v>92</v>
      </c>
      <c r="M1183" s="24" t="s">
        <v>7738</v>
      </c>
      <c r="N1183" s="23">
        <v>18848041</v>
      </c>
      <c r="O1183" s="25" t="s">
        <v>52</v>
      </c>
      <c r="P1183" s="25" t="s">
        <v>53</v>
      </c>
      <c r="Q1183" s="20" t="s">
        <v>5302</v>
      </c>
      <c r="R1183" s="20">
        <v>9897068</v>
      </c>
      <c r="S1183" s="25" t="s">
        <v>5303</v>
      </c>
      <c r="T1183" s="26" t="s">
        <v>77</v>
      </c>
      <c r="U1183" s="23" t="s">
        <v>5304</v>
      </c>
      <c r="V1183" s="27" t="s">
        <v>78</v>
      </c>
      <c r="W1183" s="20" t="s">
        <v>79</v>
      </c>
      <c r="X1183" s="20" t="s">
        <v>79</v>
      </c>
      <c r="Y1183" s="20" t="s">
        <v>79</v>
      </c>
      <c r="Z1183" s="20" t="s">
        <v>167</v>
      </c>
      <c r="AA1183" s="20" t="s">
        <v>168</v>
      </c>
      <c r="AB1183" s="20" t="s">
        <v>82</v>
      </c>
      <c r="AC1183" s="28">
        <v>559.48</v>
      </c>
      <c r="AD1183" s="28">
        <f>SUM(BASE[[#This Row],[MONTO DE RENTA ]]*1.16)</f>
        <v>648.99680000000001</v>
      </c>
      <c r="AE1183" s="28" t="s">
        <v>83</v>
      </c>
      <c r="AF1183" s="28">
        <v>559.48275862068965</v>
      </c>
      <c r="AG1183" s="28">
        <v>649</v>
      </c>
      <c r="AH1183" s="22" t="s">
        <v>64</v>
      </c>
      <c r="AI1183" s="63">
        <v>45703</v>
      </c>
      <c r="AJ1183" s="63">
        <v>46433</v>
      </c>
      <c r="AK11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183" s="20"/>
      <c r="AM1183" s="30"/>
      <c r="AN1183" s="20" t="s">
        <v>65</v>
      </c>
      <c r="AO1183" s="20"/>
      <c r="AP1183" s="20" t="s">
        <v>84</v>
      </c>
      <c r="AQ1183" s="20"/>
    </row>
    <row r="1184" spans="1:43" ht="16">
      <c r="A1184" s="20">
        <v>8113945863</v>
      </c>
      <c r="B1184" s="21">
        <v>960110</v>
      </c>
      <c r="C1184" s="20" t="s">
        <v>1124</v>
      </c>
      <c r="D1184" s="20" t="s">
        <v>5305</v>
      </c>
      <c r="E1184" s="20" t="s">
        <v>1235</v>
      </c>
      <c r="F1184" s="20" t="s">
        <v>3245</v>
      </c>
      <c r="G1184" s="20" t="s">
        <v>3245</v>
      </c>
      <c r="H1184" s="20" t="s">
        <v>48</v>
      </c>
      <c r="I1184" s="20" t="s">
        <v>3245</v>
      </c>
      <c r="J1184" s="22" t="s">
        <v>5306</v>
      </c>
      <c r="K1184" s="22" t="s">
        <v>5306</v>
      </c>
      <c r="L1184" s="23" t="s">
        <v>2754</v>
      </c>
      <c r="M1184" s="24" t="s">
        <v>7737</v>
      </c>
      <c r="N1184" s="23">
        <v>18701000</v>
      </c>
      <c r="O1184" s="25" t="s">
        <v>74</v>
      </c>
      <c r="P1184" s="25" t="s">
        <v>53</v>
      </c>
      <c r="Q1184" s="20" t="s">
        <v>5307</v>
      </c>
      <c r="R1184" s="20">
        <v>43132030</v>
      </c>
      <c r="S1184" s="25" t="s">
        <v>5308</v>
      </c>
      <c r="T1184" s="26" t="s">
        <v>57</v>
      </c>
      <c r="U1184" s="23" t="s">
        <v>193</v>
      </c>
      <c r="V1184" s="27" t="s">
        <v>57</v>
      </c>
      <c r="W1184" s="20" t="s">
        <v>194</v>
      </c>
      <c r="X1184" s="20" t="s">
        <v>194</v>
      </c>
      <c r="Y1184" s="20" t="s">
        <v>194</v>
      </c>
      <c r="Z1184" s="20" t="s">
        <v>167</v>
      </c>
      <c r="AA1184" s="20" t="s">
        <v>168</v>
      </c>
      <c r="AB1184" s="20" t="s">
        <v>96</v>
      </c>
      <c r="AC1184" s="28">
        <v>369.83</v>
      </c>
      <c r="AD1184" s="28">
        <f>SUM(BASE[[#This Row],[MONTO DE RENTA ]]*1.16)</f>
        <v>429.00279999999998</v>
      </c>
      <c r="AE1184" s="28" t="s">
        <v>63</v>
      </c>
      <c r="AF1184" s="28">
        <v>369.82758620689657</v>
      </c>
      <c r="AG1184" s="28">
        <v>429</v>
      </c>
      <c r="AI1184" s="63">
        <v>44937</v>
      </c>
      <c r="AJ1184" s="84">
        <v>46681</v>
      </c>
      <c r="AK118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184" s="30"/>
      <c r="AN1184" s="20" t="s">
        <v>65</v>
      </c>
      <c r="AP1184" s="20" t="s">
        <v>84</v>
      </c>
    </row>
    <row r="1185" spans="1:43" ht="16">
      <c r="A1185" s="20">
        <v>6644845028</v>
      </c>
      <c r="B1185" s="21">
        <v>545004</v>
      </c>
      <c r="C1185" s="20" t="s">
        <v>1264</v>
      </c>
      <c r="D1185" s="20" t="s">
        <v>818</v>
      </c>
      <c r="E1185" s="20" t="s">
        <v>1186</v>
      </c>
      <c r="F1185" s="20" t="s">
        <v>5288</v>
      </c>
      <c r="G1185" s="20" t="s">
        <v>5288</v>
      </c>
      <c r="H1185" s="20" t="s">
        <v>5289</v>
      </c>
      <c r="I1185" s="20" t="s">
        <v>5288</v>
      </c>
      <c r="J1185" s="22" t="s">
        <v>5309</v>
      </c>
      <c r="K1185" s="22" t="s">
        <v>5310</v>
      </c>
      <c r="L1185" s="23" t="s">
        <v>92</v>
      </c>
      <c r="M1185" s="24" t="s">
        <v>7738</v>
      </c>
      <c r="N1185" s="23">
        <v>18848028</v>
      </c>
      <c r="O1185" s="25" t="s">
        <v>126</v>
      </c>
      <c r="P1185" s="25" t="s">
        <v>53</v>
      </c>
      <c r="Q1185" s="20" t="s">
        <v>5311</v>
      </c>
      <c r="R1185" s="20">
        <v>12314049</v>
      </c>
      <c r="S1185" s="25" t="s">
        <v>5312</v>
      </c>
      <c r="T1185" s="26" t="s">
        <v>57</v>
      </c>
      <c r="U1185" s="23">
        <v>860900062337993</v>
      </c>
      <c r="V1185" s="27" t="s">
        <v>78</v>
      </c>
      <c r="W1185" s="20" t="s">
        <v>58</v>
      </c>
      <c r="X1185" s="20" t="s">
        <v>59</v>
      </c>
      <c r="Y1185" s="20" t="s">
        <v>59</v>
      </c>
      <c r="Z1185" s="20" t="s">
        <v>167</v>
      </c>
      <c r="AA1185" s="20" t="s">
        <v>168</v>
      </c>
      <c r="AB1185" s="20" t="s">
        <v>96</v>
      </c>
      <c r="AC1185" s="28">
        <v>369.83</v>
      </c>
      <c r="AD1185" s="28">
        <f>SUM(BASE[[#This Row],[MONTO DE RENTA ]]*1.16)</f>
        <v>429.00279999999998</v>
      </c>
      <c r="AE1185" s="28" t="s">
        <v>83</v>
      </c>
      <c r="AF1185" s="28">
        <v>559.48275862068965</v>
      </c>
      <c r="AG1185" s="28">
        <v>649</v>
      </c>
      <c r="AH1185" s="22" t="s">
        <v>64</v>
      </c>
      <c r="AI1185" s="63">
        <v>45703</v>
      </c>
      <c r="AJ1185" s="63">
        <v>46433</v>
      </c>
      <c r="AK11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85" s="30"/>
      <c r="AN1185" s="20" t="s">
        <v>99</v>
      </c>
      <c r="AP1185" s="20" t="s">
        <v>66</v>
      </c>
      <c r="AQ1185" s="20" t="s">
        <v>100</v>
      </c>
    </row>
    <row r="1186" spans="1:43" ht="16">
      <c r="A1186" s="20">
        <v>8122021572</v>
      </c>
      <c r="B1186" s="21">
        <v>1007469</v>
      </c>
      <c r="C1186" s="20" t="s">
        <v>4613</v>
      </c>
      <c r="D1186" s="20" t="s">
        <v>5313</v>
      </c>
      <c r="E1186" s="20" t="s">
        <v>172</v>
      </c>
      <c r="F1186" s="20" t="s">
        <v>5314</v>
      </c>
      <c r="G1186" s="20" t="s">
        <v>5314</v>
      </c>
      <c r="H1186" s="20" t="s">
        <v>5289</v>
      </c>
      <c r="I1186" s="20" t="s">
        <v>5314</v>
      </c>
      <c r="J1186" s="22" t="s">
        <v>5315</v>
      </c>
      <c r="K1186" s="22" t="s">
        <v>5315</v>
      </c>
      <c r="L1186" s="23" t="s">
        <v>92</v>
      </c>
      <c r="M1186" s="24" t="s">
        <v>7738</v>
      </c>
      <c r="N1186" s="23">
        <v>18848027</v>
      </c>
      <c r="O1186" s="25" t="s">
        <v>74</v>
      </c>
      <c r="P1186" s="25" t="s">
        <v>53</v>
      </c>
      <c r="Q1186" s="20" t="s">
        <v>5316</v>
      </c>
      <c r="R1186" s="20">
        <v>45142590</v>
      </c>
      <c r="S1186" s="25" t="s">
        <v>55</v>
      </c>
      <c r="T1186" s="26" t="s">
        <v>56</v>
      </c>
      <c r="U1186" s="23">
        <v>860900062735972</v>
      </c>
      <c r="V1186" s="27" t="s">
        <v>57</v>
      </c>
      <c r="W1186" s="20" t="s">
        <v>58</v>
      </c>
      <c r="X1186" s="20" t="s">
        <v>59</v>
      </c>
      <c r="Y1186" s="20" t="s">
        <v>59</v>
      </c>
      <c r="Z1186" s="20" t="s">
        <v>60</v>
      </c>
      <c r="AA1186" s="20" t="s">
        <v>61</v>
      </c>
      <c r="AB1186" s="20" t="s">
        <v>62</v>
      </c>
      <c r="AC1186" s="28">
        <v>197.41</v>
      </c>
      <c r="AD1186" s="28">
        <f>SUM(BASE[[#This Row],[MONTO DE RENTA ]]*1.16)</f>
        <v>228.99559999999997</v>
      </c>
      <c r="AE1186" s="28" t="s">
        <v>63</v>
      </c>
      <c r="AF1186" s="28">
        <v>369.82758620689657</v>
      </c>
      <c r="AG1186" s="28">
        <v>429</v>
      </c>
      <c r="AH1186" s="22" t="s">
        <v>64</v>
      </c>
      <c r="AI1186" s="29">
        <v>45703</v>
      </c>
      <c r="AJ1186" s="29">
        <v>46433</v>
      </c>
      <c r="AK118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86" s="30"/>
      <c r="AN1186" s="20" t="s">
        <v>65</v>
      </c>
      <c r="AP1186" s="20" t="s">
        <v>66</v>
      </c>
    </row>
    <row r="1187" spans="1:43" s="171" customFormat="1" ht="16">
      <c r="A1187" s="20">
        <v>8115557787</v>
      </c>
      <c r="B1187" s="21">
        <v>1077083</v>
      </c>
      <c r="C1187" s="20" t="s">
        <v>5317</v>
      </c>
      <c r="D1187" s="20" t="s">
        <v>376</v>
      </c>
      <c r="E1187" s="20" t="s">
        <v>5318</v>
      </c>
      <c r="F1187" s="20" t="s">
        <v>5319</v>
      </c>
      <c r="G1187" s="20" t="s">
        <v>5319</v>
      </c>
      <c r="H1187" s="20" t="s">
        <v>5320</v>
      </c>
      <c r="I1187" s="20" t="s">
        <v>5319</v>
      </c>
      <c r="J1187" s="54" t="s">
        <v>5321</v>
      </c>
      <c r="K1187" s="54" t="s">
        <v>5321</v>
      </c>
      <c r="L1187" s="23" t="s">
        <v>92</v>
      </c>
      <c r="M1187" s="24" t="s">
        <v>7738</v>
      </c>
      <c r="N1187" s="23">
        <v>18848107</v>
      </c>
      <c r="O1187" s="25" t="s">
        <v>74</v>
      </c>
      <c r="P1187" s="25" t="s">
        <v>53</v>
      </c>
      <c r="Q1187" s="20" t="s">
        <v>5322</v>
      </c>
      <c r="R1187" s="20">
        <v>45017372</v>
      </c>
      <c r="S1187" s="25" t="s">
        <v>5323</v>
      </c>
      <c r="T1187" s="44" t="s">
        <v>57</v>
      </c>
      <c r="U1187" s="23">
        <v>865356065729758</v>
      </c>
      <c r="V1187" s="27" t="s">
        <v>183</v>
      </c>
      <c r="W1187" s="20" t="s">
        <v>129</v>
      </c>
      <c r="X1187" s="20" t="s">
        <v>130</v>
      </c>
      <c r="Y1187" s="20" t="s">
        <v>130</v>
      </c>
      <c r="Z1187" s="20" t="s">
        <v>167</v>
      </c>
      <c r="AA1187" s="20" t="s">
        <v>168</v>
      </c>
      <c r="AB1187" s="20" t="s">
        <v>96</v>
      </c>
      <c r="AC1187" s="28">
        <v>369.83</v>
      </c>
      <c r="AD1187" s="28">
        <f>SUM(BASE[[#This Row],[MONTO DE RENTA ]]*1.16)</f>
        <v>429.00279999999998</v>
      </c>
      <c r="AE1187" s="28" t="s">
        <v>63</v>
      </c>
      <c r="AF1187" s="28">
        <v>369.82758620689657</v>
      </c>
      <c r="AG1187" s="28">
        <v>429</v>
      </c>
      <c r="AH1187" s="22" t="s">
        <v>98</v>
      </c>
      <c r="AI1187" s="63">
        <v>45434</v>
      </c>
      <c r="AJ1187" s="63">
        <v>46023</v>
      </c>
      <c r="AK1187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1187" s="20">
        <v>18848107</v>
      </c>
      <c r="AM1187" s="30" t="s">
        <v>5324</v>
      </c>
      <c r="AN1187" s="20" t="s">
        <v>99</v>
      </c>
      <c r="AO1187" s="20"/>
      <c r="AP1187" s="20" t="s">
        <v>84</v>
      </c>
      <c r="AQ1187" s="20" t="s">
        <v>100</v>
      </c>
    </row>
    <row r="1188" spans="1:43" ht="16">
      <c r="A1188" s="20">
        <v>8123511065</v>
      </c>
      <c r="B1188" s="49">
        <v>1066241</v>
      </c>
      <c r="C1188" s="20" t="s">
        <v>5160</v>
      </c>
      <c r="D1188" s="20" t="s">
        <v>5325</v>
      </c>
      <c r="E1188" s="20" t="s">
        <v>507</v>
      </c>
      <c r="F1188" s="20" t="s">
        <v>5326</v>
      </c>
      <c r="G1188" s="20" t="s">
        <v>5326</v>
      </c>
      <c r="H1188" s="20" t="s">
        <v>155</v>
      </c>
      <c r="I1188" s="20" t="s">
        <v>5326</v>
      </c>
      <c r="J1188" s="54" t="s">
        <v>5327</v>
      </c>
      <c r="K1188" s="54" t="s">
        <v>5327</v>
      </c>
      <c r="L1188" s="23" t="s">
        <v>92</v>
      </c>
      <c r="M1188" s="24" t="s">
        <v>7738</v>
      </c>
      <c r="N1188" s="23">
        <v>18848003</v>
      </c>
      <c r="O1188" s="25" t="s">
        <v>74</v>
      </c>
      <c r="P1188" s="25" t="s">
        <v>53</v>
      </c>
      <c r="Q1188" s="20" t="s">
        <v>5328</v>
      </c>
      <c r="R1188" s="20">
        <v>44114484</v>
      </c>
      <c r="S1188" s="25" t="s">
        <v>55</v>
      </c>
      <c r="T1188" s="65" t="s">
        <v>56</v>
      </c>
      <c r="U1188" s="23">
        <v>865356065730129</v>
      </c>
      <c r="V1188" s="27" t="s">
        <v>183</v>
      </c>
      <c r="W1188" s="20" t="s">
        <v>129</v>
      </c>
      <c r="X1188" s="20" t="s">
        <v>130</v>
      </c>
      <c r="Y1188" s="20" t="s">
        <v>130</v>
      </c>
      <c r="Z1188" s="20" t="s">
        <v>60</v>
      </c>
      <c r="AA1188" s="20" t="s">
        <v>61</v>
      </c>
      <c r="AB1188" s="20" t="s">
        <v>96</v>
      </c>
      <c r="AC1188" s="28">
        <v>369.83</v>
      </c>
      <c r="AD1188" s="28">
        <f>SUM(BASE[[#This Row],[MONTO DE RENTA ]]*1.16)</f>
        <v>429.00279999999998</v>
      </c>
      <c r="AE1188" s="28" t="s">
        <v>63</v>
      </c>
      <c r="AF1188" s="28">
        <v>369.82758620689657</v>
      </c>
      <c r="AG1188" s="28">
        <v>429</v>
      </c>
      <c r="AH1188" s="22" t="s">
        <v>116</v>
      </c>
      <c r="AI1188" s="63">
        <v>45392</v>
      </c>
      <c r="AJ1188" s="63">
        <v>46040</v>
      </c>
      <c r="AK11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88" s="30"/>
      <c r="AN1188" s="20" t="s">
        <v>99</v>
      </c>
      <c r="AP1188" s="20" t="s">
        <v>84</v>
      </c>
      <c r="AQ1188" s="20" t="s">
        <v>100</v>
      </c>
    </row>
    <row r="1189" spans="1:43" ht="16">
      <c r="A1189" s="20">
        <v>8135515205</v>
      </c>
      <c r="B1189" s="21">
        <v>1046669</v>
      </c>
      <c r="C1189" s="20" t="s">
        <v>701</v>
      </c>
      <c r="D1189" s="20" t="s">
        <v>756</v>
      </c>
      <c r="E1189" s="20" t="s">
        <v>187</v>
      </c>
      <c r="F1189" s="20" t="s">
        <v>5329</v>
      </c>
      <c r="G1189" s="20" t="s">
        <v>5329</v>
      </c>
      <c r="H1189" s="20" t="s">
        <v>155</v>
      </c>
      <c r="I1189" s="20" t="s">
        <v>5329</v>
      </c>
      <c r="J1189" s="22" t="s">
        <v>5330</v>
      </c>
      <c r="K1189" s="32" t="s">
        <v>5331</v>
      </c>
      <c r="L1189" s="23" t="s">
        <v>92</v>
      </c>
      <c r="M1189" s="24" t="s">
        <v>7738</v>
      </c>
      <c r="N1189" s="23">
        <v>18848013</v>
      </c>
      <c r="O1189" s="25" t="s">
        <v>74</v>
      </c>
      <c r="P1189" s="25" t="s">
        <v>53</v>
      </c>
      <c r="Q1189" s="20" t="s">
        <v>5332</v>
      </c>
      <c r="R1189" s="20">
        <v>44918837</v>
      </c>
      <c r="S1189" s="25" t="s">
        <v>5333</v>
      </c>
      <c r="T1189" s="26" t="s">
        <v>57</v>
      </c>
      <c r="U1189" s="23">
        <v>860900062337829</v>
      </c>
      <c r="V1189" s="27" t="s">
        <v>57</v>
      </c>
      <c r="W1189" s="20" t="s">
        <v>58</v>
      </c>
      <c r="X1189" s="20" t="s">
        <v>59</v>
      </c>
      <c r="Y1189" s="20" t="s">
        <v>59</v>
      </c>
      <c r="Z1189" s="20" t="s">
        <v>167</v>
      </c>
      <c r="AA1189" s="20" t="s">
        <v>168</v>
      </c>
      <c r="AB1189" s="20" t="s">
        <v>96</v>
      </c>
      <c r="AC1189" s="28">
        <v>369.83</v>
      </c>
      <c r="AD1189" s="28">
        <f>SUM(BASE[[#This Row],[MONTO DE RENTA ]]*1.16)</f>
        <v>429.00279999999998</v>
      </c>
      <c r="AE1189" s="28" t="s">
        <v>63</v>
      </c>
      <c r="AF1189" s="28">
        <v>369.82758620689657</v>
      </c>
      <c r="AG1189" s="28">
        <v>429</v>
      </c>
      <c r="AH1189" s="22" t="s">
        <v>64</v>
      </c>
      <c r="AI1189" s="63">
        <v>45713</v>
      </c>
      <c r="AJ1189" s="63">
        <v>46433</v>
      </c>
      <c r="AK11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89" s="30"/>
      <c r="AN1189" s="20" t="s">
        <v>65</v>
      </c>
      <c r="AP1189" s="20" t="s">
        <v>84</v>
      </c>
    </row>
    <row r="1190" spans="1:43" ht="16">
      <c r="A1190" s="20">
        <v>8112553909</v>
      </c>
      <c r="B1190" s="49">
        <v>710040</v>
      </c>
      <c r="C1190" s="20" t="s">
        <v>701</v>
      </c>
      <c r="D1190" s="20" t="s">
        <v>476</v>
      </c>
      <c r="E1190" s="20" t="s">
        <v>519</v>
      </c>
      <c r="F1190" s="20" t="s">
        <v>5334</v>
      </c>
      <c r="G1190" s="20" t="s">
        <v>5334</v>
      </c>
      <c r="H1190" s="20" t="s">
        <v>5320</v>
      </c>
      <c r="I1190" s="20" t="s">
        <v>5334</v>
      </c>
      <c r="J1190" s="32" t="s">
        <v>5335</v>
      </c>
      <c r="K1190" s="32" t="s">
        <v>5335</v>
      </c>
      <c r="L1190" s="23" t="s">
        <v>92</v>
      </c>
      <c r="M1190" s="24" t="s">
        <v>7738</v>
      </c>
      <c r="N1190" s="23">
        <v>18848071</v>
      </c>
      <c r="O1190" s="25" t="s">
        <v>74</v>
      </c>
      <c r="P1190" s="25" t="s">
        <v>53</v>
      </c>
      <c r="Q1190" s="20" t="s">
        <v>5336</v>
      </c>
      <c r="R1190" s="20">
        <v>42896261</v>
      </c>
      <c r="S1190" s="25" t="s">
        <v>55</v>
      </c>
      <c r="T1190" s="26" t="s">
        <v>56</v>
      </c>
      <c r="U1190" s="23">
        <v>357654178308477</v>
      </c>
      <c r="V1190" s="27" t="s">
        <v>78</v>
      </c>
      <c r="W1190" s="20" t="s">
        <v>95</v>
      </c>
      <c r="X1190" s="20" t="s">
        <v>95</v>
      </c>
      <c r="Y1190" s="20" t="s">
        <v>95</v>
      </c>
      <c r="Z1190" s="20" t="s">
        <v>584</v>
      </c>
      <c r="AA1190" s="20" t="s">
        <v>585</v>
      </c>
      <c r="AB1190" s="20" t="s">
        <v>82</v>
      </c>
      <c r="AC1190" s="28">
        <v>559.48</v>
      </c>
      <c r="AD1190" s="28">
        <f>SUM(BASE[[#This Row],[MONTO DE RENTA ]]*1.16)</f>
        <v>648.99680000000001</v>
      </c>
      <c r="AE1190" s="28" t="s">
        <v>83</v>
      </c>
      <c r="AF1190" s="28">
        <v>559.48275862068965</v>
      </c>
      <c r="AG1190" s="28">
        <v>649</v>
      </c>
      <c r="AI1190" s="63">
        <v>44937</v>
      </c>
      <c r="AJ1190" s="73">
        <v>46043</v>
      </c>
      <c r="AK11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90" s="30"/>
      <c r="AN1190" s="20" t="s">
        <v>99</v>
      </c>
      <c r="AP1190" s="20" t="s">
        <v>84</v>
      </c>
      <c r="AQ1190" s="20" t="s">
        <v>100</v>
      </c>
    </row>
    <row r="1191" spans="1:43" ht="16">
      <c r="A1191" s="20">
        <v>8110503130</v>
      </c>
      <c r="B1191" s="21">
        <v>1026373</v>
      </c>
      <c r="C1191" s="20" t="s">
        <v>5337</v>
      </c>
      <c r="D1191" s="20" t="s">
        <v>973</v>
      </c>
      <c r="E1191" s="20" t="s">
        <v>376</v>
      </c>
      <c r="F1191" s="20" t="s">
        <v>5338</v>
      </c>
      <c r="G1191" s="20" t="s">
        <v>5338</v>
      </c>
      <c r="H1191" s="20" t="s">
        <v>208</v>
      </c>
      <c r="I1191" s="20" t="s">
        <v>5338</v>
      </c>
      <c r="J1191" s="54" t="s">
        <v>5339</v>
      </c>
      <c r="K1191" s="54" t="s">
        <v>5339</v>
      </c>
      <c r="L1191" s="23" t="s">
        <v>92</v>
      </c>
      <c r="M1191" s="24" t="s">
        <v>7738</v>
      </c>
      <c r="N1191" s="23">
        <v>18848052</v>
      </c>
      <c r="O1191" s="25" t="s">
        <v>74</v>
      </c>
      <c r="P1191" s="25" t="s">
        <v>53</v>
      </c>
      <c r="Q1191" s="20" t="s">
        <v>5340</v>
      </c>
      <c r="R1191" s="20">
        <v>45421525</v>
      </c>
      <c r="S1191" s="25" t="s">
        <v>5341</v>
      </c>
      <c r="T1191" s="65" t="s">
        <v>57</v>
      </c>
      <c r="U1191" s="23">
        <v>860900062338264</v>
      </c>
      <c r="V1191" s="27" t="s">
        <v>57</v>
      </c>
      <c r="W1191" s="20" t="s">
        <v>58</v>
      </c>
      <c r="X1191" s="20" t="s">
        <v>59</v>
      </c>
      <c r="Y1191" s="20" t="s">
        <v>59</v>
      </c>
      <c r="Z1191" s="20" t="s">
        <v>167</v>
      </c>
      <c r="AA1191" s="20" t="s">
        <v>168</v>
      </c>
      <c r="AB1191" s="20" t="s">
        <v>82</v>
      </c>
      <c r="AC1191" s="28">
        <v>559.48</v>
      </c>
      <c r="AD1191" s="28">
        <f>SUM(BASE[[#This Row],[MONTO DE RENTA ]]*1.16)</f>
        <v>648.99680000000001</v>
      </c>
      <c r="AE1191" s="28" t="s">
        <v>83</v>
      </c>
      <c r="AF1191" s="28">
        <v>559.48275862068965</v>
      </c>
      <c r="AG1191" s="28">
        <v>649</v>
      </c>
      <c r="AH1191" s="22" t="s">
        <v>116</v>
      </c>
      <c r="AI1191" s="63">
        <v>45710</v>
      </c>
      <c r="AJ1191" s="63">
        <v>46402</v>
      </c>
      <c r="AK1191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191" s="30"/>
      <c r="AN1191" s="20" t="s">
        <v>65</v>
      </c>
      <c r="AP1191" s="20" t="s">
        <v>84</v>
      </c>
    </row>
    <row r="1192" spans="1:43" ht="16">
      <c r="A1192" s="242">
        <v>8183668202</v>
      </c>
      <c r="B1192" s="243">
        <v>1067911</v>
      </c>
      <c r="C1192" s="20" t="s">
        <v>701</v>
      </c>
      <c r="D1192" s="20" t="s">
        <v>645</v>
      </c>
      <c r="E1192" s="20" t="s">
        <v>5342</v>
      </c>
      <c r="F1192" s="20" t="s">
        <v>5343</v>
      </c>
      <c r="G1192" s="20" t="s">
        <v>5343</v>
      </c>
      <c r="H1192" s="20" t="s">
        <v>231</v>
      </c>
      <c r="I1192" s="20" t="s">
        <v>5343</v>
      </c>
      <c r="J1192" s="244" t="s">
        <v>5344</v>
      </c>
      <c r="K1192" s="244" t="s">
        <v>5344</v>
      </c>
      <c r="L1192" s="23" t="s">
        <v>92</v>
      </c>
      <c r="M1192" s="24" t="s">
        <v>7738</v>
      </c>
      <c r="N1192" s="23">
        <v>18848062</v>
      </c>
      <c r="O1192" s="25" t="s">
        <v>74</v>
      </c>
      <c r="P1192" s="25" t="s">
        <v>53</v>
      </c>
      <c r="Q1192" s="20" t="s">
        <v>5345</v>
      </c>
      <c r="R1192" s="20">
        <v>40196077</v>
      </c>
      <c r="S1192" s="25" t="s">
        <v>5346</v>
      </c>
      <c r="T1192" s="191" t="s">
        <v>77</v>
      </c>
      <c r="U1192" s="23">
        <v>354833962129611</v>
      </c>
      <c r="V1192" s="27" t="s">
        <v>78</v>
      </c>
      <c r="W1192" s="20" t="s">
        <v>5347</v>
      </c>
      <c r="X1192" s="20" t="s">
        <v>5347</v>
      </c>
      <c r="Y1192" s="20" t="s">
        <v>5347</v>
      </c>
      <c r="Z1192" s="20" t="s">
        <v>5348</v>
      </c>
      <c r="AA1192" s="20" t="s">
        <v>5349</v>
      </c>
      <c r="AB1192" s="20" t="s">
        <v>5350</v>
      </c>
      <c r="AC1192" s="28">
        <v>559.48</v>
      </c>
      <c r="AD1192" s="28">
        <f>SUM(BASE[[#This Row],[MONTO DE RENTA ]]*1.16)</f>
        <v>648.99680000000001</v>
      </c>
      <c r="AE1192" s="28" t="s">
        <v>83</v>
      </c>
      <c r="AF1192" s="28">
        <v>559.48275862068965</v>
      </c>
      <c r="AG1192" s="28">
        <v>649</v>
      </c>
      <c r="AH1192" s="245" t="s">
        <v>116</v>
      </c>
      <c r="AI1192" s="246">
        <v>45434</v>
      </c>
      <c r="AJ1192" s="246">
        <v>46164</v>
      </c>
      <c r="AK1192" s="30">
        <f ca="1">IFERROR(IF(BASE[[#This Row],[FECHA DE RENOVACION ]]&gt;TODAY(), DATEDIF(TODAY(),BASE[[#This Row],[FECHA DE RENOVACION ]],"M"), -DATEDIF(BASE[[#This Row],[FECHA DE RENOVACION ]],TODAY(),"M")), "Sin fecha")</f>
        <v>2</v>
      </c>
      <c r="AL1192" s="242"/>
      <c r="AM1192" s="247"/>
      <c r="AN1192" s="20" t="s">
        <v>99</v>
      </c>
      <c r="AP1192" s="20" t="s">
        <v>84</v>
      </c>
      <c r="AQ1192" s="20" t="s">
        <v>100</v>
      </c>
    </row>
    <row r="1193" spans="1:43" ht="16">
      <c r="A1193" s="20">
        <v>8113229840</v>
      </c>
      <c r="B1193" s="49">
        <v>6301</v>
      </c>
      <c r="C1193" s="20" t="s">
        <v>2056</v>
      </c>
      <c r="D1193" s="20" t="s">
        <v>376</v>
      </c>
      <c r="E1193" s="20" t="s">
        <v>640</v>
      </c>
      <c r="F1193" s="20" t="s">
        <v>5351</v>
      </c>
      <c r="G1193" s="20" t="s">
        <v>5351</v>
      </c>
      <c r="H1193" s="20" t="s">
        <v>5289</v>
      </c>
      <c r="I1193" s="20" t="s">
        <v>5351</v>
      </c>
      <c r="J1193" s="22" t="s">
        <v>5352</v>
      </c>
      <c r="K1193" s="22" t="s">
        <v>5353</v>
      </c>
      <c r="L1193" s="23" t="s">
        <v>92</v>
      </c>
      <c r="M1193" s="24" t="s">
        <v>7738</v>
      </c>
      <c r="N1193" s="23">
        <v>18848026</v>
      </c>
      <c r="O1193" s="25" t="s">
        <v>74</v>
      </c>
      <c r="P1193" s="25" t="s">
        <v>53</v>
      </c>
      <c r="Q1193" s="20" t="s">
        <v>5354</v>
      </c>
      <c r="R1193" s="20">
        <v>42896262</v>
      </c>
      <c r="S1193" s="25" t="s">
        <v>55</v>
      </c>
      <c r="T1193" s="26" t="s">
        <v>56</v>
      </c>
      <c r="U1193" s="23">
        <v>357654179838621</v>
      </c>
      <c r="V1193" s="27" t="s">
        <v>78</v>
      </c>
      <c r="W1193" s="20" t="s">
        <v>95</v>
      </c>
      <c r="X1193" s="20" t="s">
        <v>95</v>
      </c>
      <c r="Y1193" s="20" t="s">
        <v>95</v>
      </c>
      <c r="Z1193" s="20" t="s">
        <v>584</v>
      </c>
      <c r="AA1193" s="20" t="s">
        <v>585</v>
      </c>
      <c r="AB1193" s="20" t="s">
        <v>82</v>
      </c>
      <c r="AC1193" s="28">
        <v>559.48</v>
      </c>
      <c r="AD1193" s="28">
        <f>SUM(BASE[[#This Row],[MONTO DE RENTA ]]*1.16)</f>
        <v>648.99680000000001</v>
      </c>
      <c r="AE1193" s="28" t="s">
        <v>83</v>
      </c>
      <c r="AF1193" s="28">
        <v>559.48275862068965</v>
      </c>
      <c r="AG1193" s="28">
        <v>649</v>
      </c>
      <c r="AI1193" s="63">
        <v>44937</v>
      </c>
      <c r="AJ1193" s="73">
        <v>46043</v>
      </c>
      <c r="AK119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93" s="30"/>
      <c r="AN1193" s="20" t="s">
        <v>99</v>
      </c>
      <c r="AP1193" s="20" t="s">
        <v>84</v>
      </c>
      <c r="AQ1193" s="20" t="s">
        <v>100</v>
      </c>
    </row>
    <row r="1194" spans="1:43" s="87" customFormat="1" ht="16">
      <c r="A1194" s="20">
        <v>8119168660</v>
      </c>
      <c r="B1194" s="49">
        <v>7022</v>
      </c>
      <c r="C1194" s="20" t="s">
        <v>701</v>
      </c>
      <c r="D1194" s="20" t="s">
        <v>598</v>
      </c>
      <c r="E1194" s="20" t="s">
        <v>172</v>
      </c>
      <c r="F1194" s="20" t="s">
        <v>5355</v>
      </c>
      <c r="G1194" s="20" t="s">
        <v>5355</v>
      </c>
      <c r="H1194" s="20" t="s">
        <v>199</v>
      </c>
      <c r="I1194" s="20" t="s">
        <v>5355</v>
      </c>
      <c r="J1194" s="22" t="s">
        <v>5356</v>
      </c>
      <c r="K1194" s="22" t="s">
        <v>5357</v>
      </c>
      <c r="L1194" s="23" t="s">
        <v>92</v>
      </c>
      <c r="M1194" s="24" t="s">
        <v>7738</v>
      </c>
      <c r="N1194" s="23">
        <v>18848010</v>
      </c>
      <c r="O1194" s="25" t="s">
        <v>74</v>
      </c>
      <c r="P1194" s="25" t="s">
        <v>53</v>
      </c>
      <c r="Q1194" s="20" t="s">
        <v>5358</v>
      </c>
      <c r="R1194" s="20">
        <v>42682366</v>
      </c>
      <c r="S1194" s="25" t="s">
        <v>55</v>
      </c>
      <c r="T1194" s="26" t="s">
        <v>56</v>
      </c>
      <c r="U1194" s="23">
        <v>357654178060318</v>
      </c>
      <c r="V1194" s="27" t="s">
        <v>78</v>
      </c>
      <c r="W1194" s="20" t="s">
        <v>95</v>
      </c>
      <c r="X1194" s="20" t="s">
        <v>95</v>
      </c>
      <c r="Y1194" s="20" t="s">
        <v>95</v>
      </c>
      <c r="Z1194" s="20" t="s">
        <v>60</v>
      </c>
      <c r="AA1194" s="20" t="s">
        <v>61</v>
      </c>
      <c r="AB1194" s="20" t="s">
        <v>96</v>
      </c>
      <c r="AC1194" s="28">
        <v>369.83</v>
      </c>
      <c r="AD1194" s="28">
        <f>SUM(BASE[[#This Row],[MONTO DE RENTA ]]*1.16)</f>
        <v>429.00279999999998</v>
      </c>
      <c r="AE1194" s="28" t="s">
        <v>83</v>
      </c>
      <c r="AF1194" s="28">
        <v>559.48275862068965</v>
      </c>
      <c r="AG1194" s="28">
        <v>649</v>
      </c>
      <c r="AH1194" s="22"/>
      <c r="AI1194" s="63">
        <v>44937</v>
      </c>
      <c r="AJ1194" s="73">
        <v>46043</v>
      </c>
      <c r="AK119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194" s="20"/>
      <c r="AM1194" s="30"/>
      <c r="AN1194" s="20" t="s">
        <v>99</v>
      </c>
      <c r="AO1194" s="20"/>
      <c r="AP1194" s="20" t="s">
        <v>66</v>
      </c>
      <c r="AQ1194" s="20" t="s">
        <v>100</v>
      </c>
    </row>
    <row r="1195" spans="1:43" ht="16">
      <c r="A1195" s="87">
        <v>8120101352</v>
      </c>
      <c r="B1195" s="235">
        <v>1086276</v>
      </c>
      <c r="C1195" s="20" t="s">
        <v>4312</v>
      </c>
      <c r="D1195" s="20" t="s">
        <v>152</v>
      </c>
      <c r="E1195" s="20" t="s">
        <v>3074</v>
      </c>
      <c r="F1195" s="20" t="s">
        <v>5359</v>
      </c>
      <c r="G1195" s="20" t="s">
        <v>5359</v>
      </c>
      <c r="H1195" s="20" t="s">
        <v>231</v>
      </c>
      <c r="I1195" s="20" t="s">
        <v>5359</v>
      </c>
      <c r="J1195" s="216" t="s">
        <v>5360</v>
      </c>
      <c r="K1195" s="216" t="s">
        <v>5360</v>
      </c>
      <c r="L1195" s="218" t="s">
        <v>92</v>
      </c>
      <c r="M1195" s="219" t="s">
        <v>7738</v>
      </c>
      <c r="N1195" s="23">
        <v>18848062</v>
      </c>
      <c r="O1195" s="25" t="s">
        <v>74</v>
      </c>
      <c r="P1195" s="25" t="s">
        <v>3857</v>
      </c>
      <c r="Q1195" s="20" t="s">
        <v>5361</v>
      </c>
      <c r="R1195" s="20">
        <v>43149911</v>
      </c>
      <c r="S1195" s="25" t="s">
        <v>5362</v>
      </c>
      <c r="T1195" s="221" t="s">
        <v>57</v>
      </c>
      <c r="U1195" s="23">
        <v>860900062336557</v>
      </c>
      <c r="V1195" s="222" t="s">
        <v>57</v>
      </c>
      <c r="W1195" s="20" t="s">
        <v>58</v>
      </c>
      <c r="X1195" s="20" t="s">
        <v>59</v>
      </c>
      <c r="Y1195" s="20" t="s">
        <v>59</v>
      </c>
      <c r="Z1195" s="20" t="s">
        <v>167</v>
      </c>
      <c r="AA1195" s="20" t="s">
        <v>168</v>
      </c>
      <c r="AB1195" s="20" t="s">
        <v>96</v>
      </c>
      <c r="AC1195" s="28">
        <v>369.83</v>
      </c>
      <c r="AD1195" s="223">
        <f>SUM(BASE[[#This Row],[MONTO DE RENTA ]]*1.16)</f>
        <v>429.00279999999998</v>
      </c>
      <c r="AE1195" s="28" t="s">
        <v>63</v>
      </c>
      <c r="AF1195" s="223">
        <v>369.82758620689657</v>
      </c>
      <c r="AG1195" s="223">
        <v>429</v>
      </c>
      <c r="AH1195" s="217" t="s">
        <v>64</v>
      </c>
      <c r="AI1195" s="224">
        <v>45713</v>
      </c>
      <c r="AJ1195" s="224">
        <v>46433</v>
      </c>
      <c r="AK1195" s="225">
        <f ca="1">IFERROR(IF(BASE[[#This Row],[FECHA DE RENOVACION ]]&gt;TODAY(), DATEDIF(TODAY(),BASE[[#This Row],[FECHA DE RENOVACION ]],"M"), -DATEDIF(BASE[[#This Row],[FECHA DE RENOVACION ]],TODAY(),"M")), "Sin fecha")</f>
        <v>11</v>
      </c>
      <c r="AL1195" s="87"/>
      <c r="AM1195" s="225"/>
      <c r="AN1195" s="20" t="s">
        <v>65</v>
      </c>
      <c r="AP1195" s="20" t="s">
        <v>84</v>
      </c>
    </row>
    <row r="1196" spans="1:43" ht="16">
      <c r="A1196" s="189">
        <v>8123671457</v>
      </c>
      <c r="B1196" s="21">
        <v>1046214</v>
      </c>
      <c r="C1196" s="20" t="s">
        <v>5363</v>
      </c>
      <c r="D1196" s="20" t="s">
        <v>152</v>
      </c>
      <c r="E1196" s="20" t="s">
        <v>5364</v>
      </c>
      <c r="F1196" s="20" t="s">
        <v>5365</v>
      </c>
      <c r="G1196" s="20" t="s">
        <v>5365</v>
      </c>
      <c r="H1196" s="20" t="s">
        <v>89</v>
      </c>
      <c r="I1196" s="20" t="s">
        <v>5365</v>
      </c>
      <c r="J1196" s="22" t="s">
        <v>5366</v>
      </c>
      <c r="K1196" s="22" t="s">
        <v>5366</v>
      </c>
      <c r="L1196" s="23" t="s">
        <v>92</v>
      </c>
      <c r="M1196" s="24" t="s">
        <v>7738</v>
      </c>
      <c r="N1196" s="23">
        <v>18848041</v>
      </c>
      <c r="O1196" s="25" t="s">
        <v>74</v>
      </c>
      <c r="P1196" s="25" t="s">
        <v>53</v>
      </c>
      <c r="Q1196" s="20" t="s">
        <v>5367</v>
      </c>
      <c r="R1196" s="20">
        <v>44918875</v>
      </c>
      <c r="S1196" s="25" t="s">
        <v>5368</v>
      </c>
      <c r="T1196" s="44" t="s">
        <v>57</v>
      </c>
      <c r="U1196" s="23">
        <v>867471072382935</v>
      </c>
      <c r="V1196" s="27" t="s">
        <v>57</v>
      </c>
      <c r="W1196" s="20" t="s">
        <v>269</v>
      </c>
      <c r="X1196" s="20" t="s">
        <v>270</v>
      </c>
      <c r="Y1196" s="20" t="s">
        <v>270</v>
      </c>
      <c r="Z1196" s="20" t="s">
        <v>167</v>
      </c>
      <c r="AA1196" s="20" t="s">
        <v>168</v>
      </c>
      <c r="AB1196" s="20" t="s">
        <v>96</v>
      </c>
      <c r="AC1196" s="28">
        <v>369.83</v>
      </c>
      <c r="AD1196" s="28">
        <f>SUM(BASE[[#This Row],[MONTO DE RENTA ]]*1.16)</f>
        <v>429.00279999999998</v>
      </c>
      <c r="AE1196" s="28" t="s">
        <v>63</v>
      </c>
      <c r="AF1196" s="28">
        <v>369.82758620689657</v>
      </c>
      <c r="AG1196" s="28">
        <v>429</v>
      </c>
      <c r="AH1196" s="22" t="s">
        <v>116</v>
      </c>
      <c r="AI1196" s="29">
        <v>46043</v>
      </c>
      <c r="AJ1196" s="29">
        <v>46773</v>
      </c>
      <c r="AK1196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196" s="30"/>
      <c r="AN1196" s="20" t="s">
        <v>65</v>
      </c>
      <c r="AP1196" s="20" t="s">
        <v>84</v>
      </c>
    </row>
    <row r="1197" spans="1:43" ht="16">
      <c r="A1197" s="20">
        <v>8110220291</v>
      </c>
      <c r="B1197" s="49">
        <v>1021555</v>
      </c>
      <c r="C1197" s="20" t="s">
        <v>396</v>
      </c>
      <c r="D1197" s="20" t="s">
        <v>357</v>
      </c>
      <c r="E1197" s="20" t="s">
        <v>5369</v>
      </c>
      <c r="F1197" s="20" t="s">
        <v>5370</v>
      </c>
      <c r="G1197" s="20" t="s">
        <v>5370</v>
      </c>
      <c r="H1197" s="20" t="s">
        <v>5320</v>
      </c>
      <c r="I1197" s="20" t="s">
        <v>5370</v>
      </c>
      <c r="J1197" s="22" t="s">
        <v>5371</v>
      </c>
      <c r="K1197" s="22" t="s">
        <v>5372</v>
      </c>
      <c r="L1197" s="23" t="s">
        <v>92</v>
      </c>
      <c r="M1197" s="24" t="s">
        <v>7738</v>
      </c>
      <c r="N1197" s="23">
        <v>18848095</v>
      </c>
      <c r="O1197" s="25" t="s">
        <v>74</v>
      </c>
      <c r="P1197" s="25" t="s">
        <v>53</v>
      </c>
      <c r="Q1197" s="20" t="s">
        <v>5373</v>
      </c>
      <c r="R1197" s="20">
        <v>44008255</v>
      </c>
      <c r="S1197" s="25" t="s">
        <v>55</v>
      </c>
      <c r="T1197" s="26" t="s">
        <v>56</v>
      </c>
      <c r="U1197" s="23">
        <v>865356065727760</v>
      </c>
      <c r="V1197" s="27" t="s">
        <v>183</v>
      </c>
      <c r="W1197" s="20" t="s">
        <v>129</v>
      </c>
      <c r="X1197" s="20" t="s">
        <v>130</v>
      </c>
      <c r="Y1197" s="20" t="s">
        <v>130</v>
      </c>
      <c r="Z1197" s="20" t="s">
        <v>60</v>
      </c>
      <c r="AA1197" s="20" t="s">
        <v>61</v>
      </c>
      <c r="AB1197" s="20" t="s">
        <v>96</v>
      </c>
      <c r="AC1197" s="28">
        <v>369.83</v>
      </c>
      <c r="AD1197" s="28">
        <f>SUM(BASE[[#This Row],[MONTO DE RENTA ]]*1.16)</f>
        <v>429.00279999999998</v>
      </c>
      <c r="AE1197" s="28" t="s">
        <v>63</v>
      </c>
      <c r="AF1197" s="28">
        <v>369.82758620689657</v>
      </c>
      <c r="AG1197" s="28">
        <v>429</v>
      </c>
      <c r="AI1197" s="29">
        <v>44937</v>
      </c>
      <c r="AJ1197" s="50">
        <v>46043</v>
      </c>
      <c r="AK11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97" s="30"/>
      <c r="AN1197" s="20" t="s">
        <v>99</v>
      </c>
      <c r="AP1197" s="20" t="s">
        <v>84</v>
      </c>
      <c r="AQ1197" s="20" t="s">
        <v>100</v>
      </c>
    </row>
    <row r="1198" spans="1:43" ht="16">
      <c r="A1198" s="20">
        <v>8113230170</v>
      </c>
      <c r="B1198" s="49">
        <v>6272</v>
      </c>
      <c r="C1198" s="20" t="s">
        <v>396</v>
      </c>
      <c r="D1198" s="20" t="s">
        <v>983</v>
      </c>
      <c r="E1198" s="20" t="s">
        <v>186</v>
      </c>
      <c r="F1198" s="20" t="s">
        <v>5374</v>
      </c>
      <c r="G1198" s="20" t="s">
        <v>5374</v>
      </c>
      <c r="H1198" s="20" t="s">
        <v>5375</v>
      </c>
      <c r="I1198" s="20" t="s">
        <v>5374</v>
      </c>
      <c r="J1198" s="22" t="s">
        <v>5376</v>
      </c>
      <c r="K1198" s="22" t="s">
        <v>5377</v>
      </c>
      <c r="L1198" s="23" t="s">
        <v>92</v>
      </c>
      <c r="M1198" s="24" t="s">
        <v>7738</v>
      </c>
      <c r="N1198" s="23">
        <v>18848055</v>
      </c>
      <c r="O1198" s="25" t="s">
        <v>74</v>
      </c>
      <c r="P1198" s="25" t="s">
        <v>53</v>
      </c>
      <c r="Q1198" s="20" t="s">
        <v>5378</v>
      </c>
      <c r="R1198" s="20">
        <v>42896275</v>
      </c>
      <c r="S1198" s="25" t="s">
        <v>55</v>
      </c>
      <c r="T1198" s="26" t="s">
        <v>56</v>
      </c>
      <c r="U1198" s="23">
        <v>358184144291796</v>
      </c>
      <c r="V1198" s="27" t="s">
        <v>78</v>
      </c>
      <c r="W1198" s="20" t="s">
        <v>5347</v>
      </c>
      <c r="X1198" s="20" t="s">
        <v>5347</v>
      </c>
      <c r="Y1198" s="20" t="s">
        <v>5347</v>
      </c>
      <c r="Z1198" s="20" t="s">
        <v>60</v>
      </c>
      <c r="AA1198" s="20" t="s">
        <v>61</v>
      </c>
      <c r="AB1198" s="20" t="s">
        <v>82</v>
      </c>
      <c r="AC1198" s="28">
        <v>559.48</v>
      </c>
      <c r="AD1198" s="28">
        <f>SUM(BASE[[#This Row],[MONTO DE RENTA ]]*1.16)</f>
        <v>648.99680000000001</v>
      </c>
      <c r="AE1198" s="28" t="s">
        <v>83</v>
      </c>
      <c r="AF1198" s="28">
        <v>559.48275862068965</v>
      </c>
      <c r="AG1198" s="28">
        <v>649</v>
      </c>
      <c r="AI1198" s="63">
        <v>44937</v>
      </c>
      <c r="AJ1198" s="73">
        <v>46043</v>
      </c>
      <c r="AK11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198" s="30"/>
      <c r="AN1198" s="20" t="s">
        <v>99</v>
      </c>
      <c r="AP1198" s="20" t="s">
        <v>84</v>
      </c>
      <c r="AQ1198" s="20" t="s">
        <v>100</v>
      </c>
    </row>
    <row r="1199" spans="1:43" ht="16">
      <c r="A1199" s="20">
        <v>8113125771</v>
      </c>
      <c r="B1199" s="21">
        <v>6302</v>
      </c>
      <c r="C1199" s="20" t="s">
        <v>396</v>
      </c>
      <c r="D1199" s="20" t="s">
        <v>437</v>
      </c>
      <c r="E1199" s="20" t="s">
        <v>5379</v>
      </c>
      <c r="F1199" s="20" t="s">
        <v>5380</v>
      </c>
      <c r="G1199" s="20" t="s">
        <v>5380</v>
      </c>
      <c r="H1199" s="20" t="s">
        <v>5381</v>
      </c>
      <c r="I1199" s="20" t="s">
        <v>5380</v>
      </c>
      <c r="J1199" s="22" t="s">
        <v>5382</v>
      </c>
      <c r="K1199" s="22" t="s">
        <v>5382</v>
      </c>
      <c r="L1199" s="23" t="s">
        <v>92</v>
      </c>
      <c r="M1199" s="24" t="s">
        <v>7738</v>
      </c>
      <c r="N1199" s="23">
        <v>18848066</v>
      </c>
      <c r="O1199" s="25" t="s">
        <v>74</v>
      </c>
      <c r="P1199" s="25" t="s">
        <v>53</v>
      </c>
      <c r="Q1199" s="20" t="s">
        <v>5383</v>
      </c>
      <c r="R1199" s="20">
        <v>43163563</v>
      </c>
      <c r="S1199" s="25" t="s">
        <v>5384</v>
      </c>
      <c r="T1199" s="26" t="s">
        <v>77</v>
      </c>
      <c r="U1199" s="23">
        <v>351307358285066</v>
      </c>
      <c r="V1199" s="27" t="s">
        <v>78</v>
      </c>
      <c r="W1199" s="20" t="s">
        <v>79</v>
      </c>
      <c r="X1199" s="20" t="s">
        <v>79</v>
      </c>
      <c r="Y1199" s="20" t="s">
        <v>79</v>
      </c>
      <c r="Z1199" s="20" t="s">
        <v>167</v>
      </c>
      <c r="AA1199" s="20" t="s">
        <v>168</v>
      </c>
      <c r="AB1199" s="20" t="s">
        <v>82</v>
      </c>
      <c r="AC1199" s="28">
        <v>559.48</v>
      </c>
      <c r="AD1199" s="28">
        <f>SUM(BASE[[#This Row],[MONTO DE RENTA ]]*1.16)</f>
        <v>648.99680000000001</v>
      </c>
      <c r="AE1199" s="28" t="s">
        <v>83</v>
      </c>
      <c r="AF1199" s="28">
        <v>559.48275862068965</v>
      </c>
      <c r="AG1199" s="28">
        <v>649</v>
      </c>
      <c r="AH1199" s="22" t="s">
        <v>64</v>
      </c>
      <c r="AI1199" s="63">
        <v>45703</v>
      </c>
      <c r="AJ1199" s="63">
        <v>46433</v>
      </c>
      <c r="AK11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199" s="30"/>
      <c r="AN1199" s="20" t="s">
        <v>65</v>
      </c>
      <c r="AP1199" s="20" t="s">
        <v>84</v>
      </c>
    </row>
    <row r="1200" spans="1:43" ht="16">
      <c r="A1200" s="20">
        <v>6672515501</v>
      </c>
      <c r="B1200" s="49">
        <v>480422</v>
      </c>
      <c r="C1200" s="20" t="s">
        <v>396</v>
      </c>
      <c r="D1200" s="20" t="s">
        <v>952</v>
      </c>
      <c r="E1200" s="20" t="s">
        <v>172</v>
      </c>
      <c r="F1200" s="20" t="s">
        <v>5385</v>
      </c>
      <c r="G1200" s="20" t="s">
        <v>5385</v>
      </c>
      <c r="H1200" s="20" t="s">
        <v>5381</v>
      </c>
      <c r="I1200" s="20" t="s">
        <v>5385</v>
      </c>
      <c r="J1200" s="22" t="s">
        <v>5386</v>
      </c>
      <c r="K1200" s="22" t="s">
        <v>5386</v>
      </c>
      <c r="L1200" s="23" t="s">
        <v>92</v>
      </c>
      <c r="M1200" s="24" t="s">
        <v>7738</v>
      </c>
      <c r="N1200" s="23">
        <v>18848091</v>
      </c>
      <c r="O1200" s="25" t="s">
        <v>866</v>
      </c>
      <c r="P1200" s="25" t="s">
        <v>53</v>
      </c>
      <c r="Q1200" s="20" t="s">
        <v>5387</v>
      </c>
      <c r="R1200" s="20">
        <v>21879838</v>
      </c>
      <c r="S1200" s="25" t="s">
        <v>55</v>
      </c>
      <c r="T1200" s="26" t="s">
        <v>56</v>
      </c>
      <c r="U1200" s="23">
        <v>352556228331380</v>
      </c>
      <c r="V1200" s="27" t="s">
        <v>78</v>
      </c>
      <c r="W1200" s="20" t="s">
        <v>5299</v>
      </c>
      <c r="X1200" s="20" t="s">
        <v>5299</v>
      </c>
      <c r="Y1200" s="20" t="s">
        <v>5299</v>
      </c>
      <c r="Z1200" s="20" t="s">
        <v>60</v>
      </c>
      <c r="AA1200" s="20" t="s">
        <v>61</v>
      </c>
      <c r="AB1200" s="20" t="s">
        <v>82</v>
      </c>
      <c r="AC1200" s="28">
        <v>559.48</v>
      </c>
      <c r="AD1200" s="28">
        <f>SUM(BASE[[#This Row],[MONTO DE RENTA ]]*1.16)</f>
        <v>648.99680000000001</v>
      </c>
      <c r="AE1200" s="28" t="s">
        <v>83</v>
      </c>
      <c r="AF1200" s="28">
        <v>559.48275862068965</v>
      </c>
      <c r="AG1200" s="28">
        <v>649</v>
      </c>
      <c r="AI1200" s="63">
        <v>44937</v>
      </c>
      <c r="AJ1200" s="73">
        <v>46043</v>
      </c>
      <c r="AK12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00" s="30"/>
      <c r="AN1200" s="20" t="s">
        <v>99</v>
      </c>
      <c r="AP1200" s="20" t="s">
        <v>84</v>
      </c>
      <c r="AQ1200" s="20" t="s">
        <v>100</v>
      </c>
    </row>
    <row r="1201" spans="1:43" ht="16">
      <c r="A1201" s="20">
        <v>8183664804</v>
      </c>
      <c r="B1201" s="21">
        <v>1014284</v>
      </c>
      <c r="C1201" s="20" t="s">
        <v>5388</v>
      </c>
      <c r="D1201" s="20" t="s">
        <v>5389</v>
      </c>
      <c r="E1201" s="20" t="s">
        <v>937</v>
      </c>
      <c r="F1201" s="20" t="s">
        <v>5390</v>
      </c>
      <c r="G1201" s="20" t="s">
        <v>5390</v>
      </c>
      <c r="H1201" s="20" t="s">
        <v>199</v>
      </c>
      <c r="I1201" s="20" t="s">
        <v>5390</v>
      </c>
      <c r="J1201" s="141" t="s">
        <v>5391</v>
      </c>
      <c r="K1201" s="248" t="s">
        <v>5391</v>
      </c>
      <c r="L1201" s="23" t="s">
        <v>92</v>
      </c>
      <c r="M1201" s="24" t="s">
        <v>7738</v>
      </c>
      <c r="N1201" s="23">
        <v>11313000</v>
      </c>
      <c r="O1201" s="25" t="s">
        <v>74</v>
      </c>
      <c r="P1201" s="25" t="s">
        <v>53</v>
      </c>
      <c r="Q1201" s="20" t="s">
        <v>5392</v>
      </c>
      <c r="R1201" s="20">
        <v>43090223</v>
      </c>
      <c r="S1201" s="25" t="s">
        <v>655</v>
      </c>
      <c r="T1201" s="44" t="s">
        <v>57</v>
      </c>
      <c r="U1201" s="23">
        <v>860900062338496</v>
      </c>
      <c r="V1201" s="27" t="s">
        <v>57</v>
      </c>
      <c r="W1201" s="20" t="s">
        <v>58</v>
      </c>
      <c r="X1201" s="20" t="s">
        <v>59</v>
      </c>
      <c r="Y1201" s="20" t="s">
        <v>59</v>
      </c>
      <c r="Z1201" s="20" t="s">
        <v>167</v>
      </c>
      <c r="AA1201" s="20" t="s">
        <v>168</v>
      </c>
      <c r="AB1201" s="20" t="s">
        <v>96</v>
      </c>
      <c r="AC1201" s="28">
        <v>369.83</v>
      </c>
      <c r="AD1201" s="28">
        <f>SUM(BASE[[#This Row],[MONTO DE RENTA ]]*1.16)</f>
        <v>429.00279999999998</v>
      </c>
      <c r="AE1201" s="28" t="s">
        <v>63</v>
      </c>
      <c r="AF1201" s="28">
        <v>369.82758620689657</v>
      </c>
      <c r="AG1201" s="28">
        <v>429</v>
      </c>
      <c r="AH1201" s="22" t="s">
        <v>116</v>
      </c>
      <c r="AI1201" s="29">
        <v>45717</v>
      </c>
      <c r="AJ1201" s="29">
        <v>46465</v>
      </c>
      <c r="AK1201" s="30">
        <f ca="1">IFERROR(IF(BASE[[#This Row],[FECHA DE RENOVACION ]]&gt;TODAY(), DATEDIF(TODAY(),BASE[[#This Row],[FECHA DE RENOVACION ]],"M"), -DATEDIF(BASE[[#This Row],[FECHA DE RENOVACION ]],TODAY(),"M")), "Sin fecha")</f>
        <v>12</v>
      </c>
      <c r="AM1201" s="30"/>
      <c r="AN1201" s="20" t="s">
        <v>65</v>
      </c>
      <c r="AP1201" s="20" t="s">
        <v>84</v>
      </c>
    </row>
    <row r="1202" spans="1:43" ht="16">
      <c r="A1202" s="20">
        <v>8123215789</v>
      </c>
      <c r="B1202" s="49">
        <v>6920</v>
      </c>
      <c r="C1202" s="20" t="s">
        <v>663</v>
      </c>
      <c r="D1202" s="20" t="s">
        <v>5393</v>
      </c>
      <c r="E1202" s="20" t="s">
        <v>5394</v>
      </c>
      <c r="F1202" s="20" t="s">
        <v>5395</v>
      </c>
      <c r="G1202" s="20" t="s">
        <v>5395</v>
      </c>
      <c r="H1202" s="20" t="s">
        <v>5289</v>
      </c>
      <c r="I1202" s="20" t="s">
        <v>5395</v>
      </c>
      <c r="J1202" s="22" t="s">
        <v>5396</v>
      </c>
      <c r="K1202" s="32" t="s">
        <v>5397</v>
      </c>
      <c r="L1202" s="23" t="s">
        <v>92</v>
      </c>
      <c r="M1202" s="24" t="s">
        <v>7738</v>
      </c>
      <c r="N1202" s="23">
        <v>18848027</v>
      </c>
      <c r="O1202" s="25" t="s">
        <v>74</v>
      </c>
      <c r="P1202" s="25" t="s">
        <v>53</v>
      </c>
      <c r="Q1202" s="20" t="s">
        <v>5398</v>
      </c>
      <c r="R1202" s="20">
        <v>43090239</v>
      </c>
      <c r="S1202" s="25" t="s">
        <v>55</v>
      </c>
      <c r="T1202" s="26" t="s">
        <v>56</v>
      </c>
      <c r="U1202" s="23">
        <v>865356065727927</v>
      </c>
      <c r="V1202" s="27" t="s">
        <v>183</v>
      </c>
      <c r="W1202" s="20" t="s">
        <v>129</v>
      </c>
      <c r="X1202" s="20" t="s">
        <v>130</v>
      </c>
      <c r="Y1202" s="20" t="s">
        <v>130</v>
      </c>
      <c r="Z1202" s="20" t="s">
        <v>60</v>
      </c>
      <c r="AA1202" s="20" t="s">
        <v>61</v>
      </c>
      <c r="AB1202" s="20" t="s">
        <v>96</v>
      </c>
      <c r="AC1202" s="28">
        <v>369.83</v>
      </c>
      <c r="AD1202" s="28">
        <f>SUM(BASE[[#This Row],[MONTO DE RENTA ]]*1.16)</f>
        <v>429.00279999999998</v>
      </c>
      <c r="AE1202" s="28" t="s">
        <v>63</v>
      </c>
      <c r="AF1202" s="28">
        <v>369.82758620689657</v>
      </c>
      <c r="AG1202" s="28">
        <v>429</v>
      </c>
      <c r="AI1202" s="63">
        <v>44937</v>
      </c>
      <c r="AJ1202" s="73">
        <v>46043</v>
      </c>
      <c r="AK120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02" s="30"/>
      <c r="AN1202" s="20" t="s">
        <v>99</v>
      </c>
      <c r="AP1202" s="20" t="s">
        <v>84</v>
      </c>
      <c r="AQ1202" s="20" t="s">
        <v>100</v>
      </c>
    </row>
    <row r="1203" spans="1:43" ht="16">
      <c r="A1203" s="146">
        <v>8118242630</v>
      </c>
      <c r="B1203" s="249">
        <v>1052280</v>
      </c>
      <c r="C1203" s="20" t="s">
        <v>663</v>
      </c>
      <c r="D1203" s="20" t="s">
        <v>5399</v>
      </c>
      <c r="E1203" s="20" t="s">
        <v>172</v>
      </c>
      <c r="F1203" s="20" t="s">
        <v>223</v>
      </c>
      <c r="G1203" s="20" t="s">
        <v>223</v>
      </c>
      <c r="H1203" s="20" t="s">
        <v>155</v>
      </c>
      <c r="I1203" s="20" t="s">
        <v>223</v>
      </c>
      <c r="J1203" s="250" t="s">
        <v>5400</v>
      </c>
      <c r="K1203" s="250" t="s">
        <v>5400</v>
      </c>
      <c r="L1203" s="23" t="s">
        <v>92</v>
      </c>
      <c r="M1203" s="24" t="s">
        <v>7738</v>
      </c>
      <c r="N1203" s="23">
        <v>18848095</v>
      </c>
      <c r="O1203" s="25" t="s">
        <v>74</v>
      </c>
      <c r="P1203" s="25" t="s">
        <v>53</v>
      </c>
      <c r="Q1203" s="20" t="s">
        <v>5401</v>
      </c>
      <c r="R1203" s="20">
        <v>45017347</v>
      </c>
      <c r="S1203" s="25" t="s">
        <v>5402</v>
      </c>
      <c r="T1203" s="251" t="s">
        <v>57</v>
      </c>
      <c r="U1203" s="23" t="s">
        <v>193</v>
      </c>
      <c r="V1203" s="252" t="s">
        <v>57</v>
      </c>
      <c r="W1203" s="20" t="s">
        <v>194</v>
      </c>
      <c r="X1203" s="20" t="s">
        <v>194</v>
      </c>
      <c r="Y1203" s="20" t="s">
        <v>194</v>
      </c>
      <c r="Z1203" s="20" t="s">
        <v>131</v>
      </c>
      <c r="AA1203" s="20" t="s">
        <v>132</v>
      </c>
      <c r="AB1203" s="20" t="s">
        <v>96</v>
      </c>
      <c r="AC1203" s="28">
        <v>369.83</v>
      </c>
      <c r="AD1203" s="28">
        <f>SUM(BASE[[#This Row],[MONTO DE RENTA ]]*1.16)</f>
        <v>429.00279999999998</v>
      </c>
      <c r="AE1203" s="28" t="s">
        <v>63</v>
      </c>
      <c r="AF1203" s="28">
        <v>369.82758620689657</v>
      </c>
      <c r="AG1203" s="28">
        <v>429</v>
      </c>
      <c r="AH1203" s="250"/>
      <c r="AI1203" s="63">
        <v>44937</v>
      </c>
      <c r="AJ1203" s="84">
        <v>46681</v>
      </c>
      <c r="AK1203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203" s="146"/>
      <c r="AM1203" s="253"/>
      <c r="AN1203" s="20" t="s">
        <v>65</v>
      </c>
      <c r="AP1203" s="20" t="s">
        <v>84</v>
      </c>
    </row>
    <row r="1204" spans="1:43" ht="16">
      <c r="A1204" s="20">
        <v>8118242602</v>
      </c>
      <c r="B1204" s="21">
        <v>100071</v>
      </c>
      <c r="C1204" s="20" t="s">
        <v>5403</v>
      </c>
      <c r="D1204" s="20" t="s">
        <v>924</v>
      </c>
      <c r="E1204" s="20" t="s">
        <v>5404</v>
      </c>
      <c r="F1204" s="20" t="s">
        <v>5405</v>
      </c>
      <c r="G1204" s="20" t="s">
        <v>5405</v>
      </c>
      <c r="H1204" s="20" t="s">
        <v>5289</v>
      </c>
      <c r="I1204" s="20" t="s">
        <v>5405</v>
      </c>
      <c r="J1204" s="22" t="s">
        <v>5406</v>
      </c>
      <c r="K1204" s="22" t="s">
        <v>5406</v>
      </c>
      <c r="L1204" s="23" t="s">
        <v>92</v>
      </c>
      <c r="M1204" s="24" t="s">
        <v>7738</v>
      </c>
      <c r="N1204" s="23">
        <v>18848027</v>
      </c>
      <c r="O1204" s="25" t="s">
        <v>74</v>
      </c>
      <c r="P1204" s="25" t="s">
        <v>53</v>
      </c>
      <c r="Q1204" s="20" t="s">
        <v>5407</v>
      </c>
      <c r="R1204" s="20">
        <v>45017343</v>
      </c>
      <c r="S1204" s="25" t="s">
        <v>5408</v>
      </c>
      <c r="T1204" s="26" t="s">
        <v>57</v>
      </c>
      <c r="U1204" s="23">
        <v>860900062257837</v>
      </c>
      <c r="V1204" s="27" t="s">
        <v>57</v>
      </c>
      <c r="W1204" s="20" t="s">
        <v>58</v>
      </c>
      <c r="X1204" s="20" t="s">
        <v>59</v>
      </c>
      <c r="Y1204" s="20" t="s">
        <v>59</v>
      </c>
      <c r="Z1204" s="20" t="s">
        <v>131</v>
      </c>
      <c r="AA1204" s="20" t="s">
        <v>132</v>
      </c>
      <c r="AB1204" s="20" t="s">
        <v>96</v>
      </c>
      <c r="AC1204" s="28">
        <v>369.83</v>
      </c>
      <c r="AD1204" s="28">
        <f>SUM(BASE[[#This Row],[MONTO DE RENTA ]]*1.16)</f>
        <v>429.00279999999998</v>
      </c>
      <c r="AE1204" s="28" t="s">
        <v>63</v>
      </c>
      <c r="AF1204" s="28">
        <v>369.82758620689657</v>
      </c>
      <c r="AG1204" s="28">
        <v>429</v>
      </c>
      <c r="AH1204" s="22" t="s">
        <v>64</v>
      </c>
      <c r="AI1204" s="63">
        <v>45703</v>
      </c>
      <c r="AJ1204" s="63">
        <v>46433</v>
      </c>
      <c r="AK120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04" s="30"/>
      <c r="AN1204" s="20" t="s">
        <v>65</v>
      </c>
      <c r="AP1204" s="20" t="s">
        <v>84</v>
      </c>
    </row>
    <row r="1205" spans="1:43" ht="23">
      <c r="A1205" s="20">
        <v>8187991745</v>
      </c>
      <c r="B1205" s="161">
        <v>1057955</v>
      </c>
      <c r="C1205" s="20" t="s">
        <v>663</v>
      </c>
      <c r="D1205" s="20" t="s">
        <v>172</v>
      </c>
      <c r="E1205" s="20" t="s">
        <v>3074</v>
      </c>
      <c r="F1205" s="20" t="s">
        <v>5326</v>
      </c>
      <c r="G1205" s="20" t="s">
        <v>5326</v>
      </c>
      <c r="H1205" s="20" t="s">
        <v>155</v>
      </c>
      <c r="I1205" s="20" t="s">
        <v>5326</v>
      </c>
      <c r="J1205" s="54" t="s">
        <v>5409</v>
      </c>
      <c r="K1205" s="54" t="s">
        <v>5409</v>
      </c>
      <c r="L1205" s="23" t="s">
        <v>92</v>
      </c>
      <c r="M1205" s="24" t="s">
        <v>7738</v>
      </c>
      <c r="N1205" s="23">
        <v>18848095</v>
      </c>
      <c r="O1205" s="25" t="s">
        <v>74</v>
      </c>
      <c r="P1205" s="25" t="s">
        <v>53</v>
      </c>
      <c r="Q1205" s="20" t="s">
        <v>5410</v>
      </c>
      <c r="R1205" s="20">
        <v>43090366</v>
      </c>
      <c r="S1205" s="25" t="s">
        <v>5411</v>
      </c>
      <c r="T1205" s="44" t="s">
        <v>57</v>
      </c>
      <c r="U1205" s="23">
        <v>860900062323696</v>
      </c>
      <c r="V1205" s="27" t="s">
        <v>57</v>
      </c>
      <c r="W1205" s="20" t="s">
        <v>58</v>
      </c>
      <c r="X1205" s="20" t="s">
        <v>59</v>
      </c>
      <c r="Y1205" s="20" t="s">
        <v>59</v>
      </c>
      <c r="Z1205" s="20" t="s">
        <v>131</v>
      </c>
      <c r="AA1205" s="20" t="s">
        <v>132</v>
      </c>
      <c r="AB1205" s="20" t="s">
        <v>96</v>
      </c>
      <c r="AC1205" s="28">
        <v>369.83</v>
      </c>
      <c r="AD1205" s="28">
        <f>SUM(BASE[[#This Row],[MONTO DE RENTA ]]*1.16)</f>
        <v>429.00279999999998</v>
      </c>
      <c r="AE1205" s="28" t="s">
        <v>63</v>
      </c>
      <c r="AF1205" s="28">
        <v>369.82758620689657</v>
      </c>
      <c r="AG1205" s="28">
        <v>429</v>
      </c>
      <c r="AH1205" s="22" t="s">
        <v>116</v>
      </c>
      <c r="AI1205" s="63">
        <v>45672</v>
      </c>
      <c r="AJ1205" s="84">
        <v>46408</v>
      </c>
      <c r="AK1205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205" s="254">
        <v>18848095</v>
      </c>
      <c r="AM1205" s="30"/>
      <c r="AN1205" s="20" t="s">
        <v>65</v>
      </c>
      <c r="AP1205" s="20" t="s">
        <v>84</v>
      </c>
    </row>
    <row r="1206" spans="1:43" ht="16">
      <c r="A1206" s="20">
        <v>8116691308</v>
      </c>
      <c r="B1206" s="21">
        <v>995769</v>
      </c>
      <c r="C1206" s="20" t="s">
        <v>663</v>
      </c>
      <c r="D1206" s="20" t="s">
        <v>636</v>
      </c>
      <c r="E1206" s="20" t="s">
        <v>5412</v>
      </c>
      <c r="F1206" s="20" t="s">
        <v>5413</v>
      </c>
      <c r="G1206" s="20" t="s">
        <v>5413</v>
      </c>
      <c r="H1206" s="20" t="s">
        <v>5414</v>
      </c>
      <c r="I1206" s="20" t="s">
        <v>5413</v>
      </c>
      <c r="J1206" s="22" t="s">
        <v>5415</v>
      </c>
      <c r="K1206" s="22" t="s">
        <v>5415</v>
      </c>
      <c r="L1206" s="23" t="s">
        <v>92</v>
      </c>
      <c r="M1206" s="24" t="s">
        <v>7738</v>
      </c>
      <c r="N1206" s="23">
        <v>18848061</v>
      </c>
      <c r="O1206" s="25" t="s">
        <v>74</v>
      </c>
      <c r="P1206" s="25" t="s">
        <v>53</v>
      </c>
      <c r="Q1206" s="20" t="s">
        <v>5416</v>
      </c>
      <c r="R1206" s="20">
        <v>43132045</v>
      </c>
      <c r="S1206" s="25" t="s">
        <v>5417</v>
      </c>
      <c r="T1206" s="26" t="s">
        <v>77</v>
      </c>
      <c r="U1206" s="23">
        <v>358366320436366</v>
      </c>
      <c r="V1206" s="27" t="s">
        <v>78</v>
      </c>
      <c r="W1206" s="20" t="s">
        <v>79</v>
      </c>
      <c r="X1206" s="20" t="s">
        <v>79</v>
      </c>
      <c r="Y1206" s="20" t="s">
        <v>79</v>
      </c>
      <c r="Z1206" s="20" t="s">
        <v>167</v>
      </c>
      <c r="AA1206" s="20" t="s">
        <v>168</v>
      </c>
      <c r="AB1206" s="20" t="s">
        <v>82</v>
      </c>
      <c r="AC1206" s="28">
        <v>559.48</v>
      </c>
      <c r="AD1206" s="28">
        <f>SUM(BASE[[#This Row],[MONTO DE RENTA ]]*1.16)</f>
        <v>648.99680000000001</v>
      </c>
      <c r="AE1206" s="28" t="s">
        <v>83</v>
      </c>
      <c r="AF1206" s="28">
        <v>559.48275862068965</v>
      </c>
      <c r="AG1206" s="28">
        <v>649</v>
      </c>
      <c r="AH1206" s="22" t="s">
        <v>64</v>
      </c>
      <c r="AI1206" s="29">
        <v>45703</v>
      </c>
      <c r="AJ1206" s="29">
        <v>46433</v>
      </c>
      <c r="AK12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06" s="30"/>
      <c r="AN1206" s="20" t="s">
        <v>65</v>
      </c>
      <c r="AP1206" s="20" t="s">
        <v>84</v>
      </c>
    </row>
    <row r="1207" spans="1:43" ht="16">
      <c r="A1207" s="20">
        <v>5514390932</v>
      </c>
      <c r="B1207" s="21">
        <v>600633</v>
      </c>
      <c r="C1207" s="20" t="s">
        <v>3411</v>
      </c>
      <c r="D1207" s="20" t="s">
        <v>999</v>
      </c>
      <c r="E1207" s="20" t="s">
        <v>358</v>
      </c>
      <c r="F1207" s="20" t="s">
        <v>257</v>
      </c>
      <c r="G1207" s="20" t="s">
        <v>104</v>
      </c>
      <c r="H1207" s="20" t="s">
        <v>48</v>
      </c>
      <c r="I1207" s="20" t="s">
        <v>257</v>
      </c>
      <c r="J1207" s="32" t="s">
        <v>5418</v>
      </c>
      <c r="K1207" s="32" t="s">
        <v>5418</v>
      </c>
      <c r="L1207" s="23" t="s">
        <v>5239</v>
      </c>
      <c r="M1207" s="24" t="s">
        <v>7736</v>
      </c>
      <c r="N1207" s="23">
        <v>18763004</v>
      </c>
      <c r="O1207" s="25" t="s">
        <v>52</v>
      </c>
      <c r="P1207" s="25" t="s">
        <v>53</v>
      </c>
      <c r="Q1207" s="20" t="s">
        <v>5419</v>
      </c>
      <c r="R1207" s="20">
        <v>90069624</v>
      </c>
      <c r="S1207" s="25" t="s">
        <v>5420</v>
      </c>
      <c r="T1207" s="26" t="s">
        <v>57</v>
      </c>
      <c r="U1207" s="23">
        <v>860478062409047</v>
      </c>
      <c r="V1207" s="45" t="s">
        <v>110</v>
      </c>
      <c r="W1207" s="20" t="s">
        <v>302</v>
      </c>
      <c r="X1207" s="20" t="s">
        <v>303</v>
      </c>
      <c r="Y1207" s="20" t="s">
        <v>303</v>
      </c>
      <c r="Z1207" s="20" t="s">
        <v>80</v>
      </c>
      <c r="AA1207" s="20" t="s">
        <v>81</v>
      </c>
      <c r="AB1207" s="20" t="s">
        <v>82</v>
      </c>
      <c r="AC1207" s="28">
        <v>559.48</v>
      </c>
      <c r="AD1207" s="28">
        <f>SUM(BASE[[#This Row],[MONTO DE RENTA ]]*1.16)</f>
        <v>648.99680000000001</v>
      </c>
      <c r="AE1207" s="28" t="s">
        <v>83</v>
      </c>
      <c r="AF1207" s="28">
        <v>559.48275862068965</v>
      </c>
      <c r="AG1207" s="28">
        <v>649</v>
      </c>
      <c r="AH1207" s="22" t="s">
        <v>64</v>
      </c>
      <c r="AI1207" s="63">
        <v>45703</v>
      </c>
      <c r="AJ1207" s="63">
        <v>46433</v>
      </c>
      <c r="AK12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07" s="30"/>
      <c r="AN1207" s="20" t="s">
        <v>65</v>
      </c>
      <c r="AP1207" s="20" t="s">
        <v>84</v>
      </c>
    </row>
    <row r="1208" spans="1:43" ht="16">
      <c r="A1208" s="20">
        <v>2225410084</v>
      </c>
      <c r="B1208" s="49">
        <v>350132</v>
      </c>
      <c r="C1208" s="20" t="s">
        <v>663</v>
      </c>
      <c r="D1208" s="20" t="s">
        <v>1104</v>
      </c>
      <c r="E1208" s="20" t="s">
        <v>5421</v>
      </c>
      <c r="F1208" s="20" t="s">
        <v>5422</v>
      </c>
      <c r="G1208" s="20" t="s">
        <v>5422</v>
      </c>
      <c r="H1208" s="20" t="s">
        <v>89</v>
      </c>
      <c r="I1208" s="20" t="s">
        <v>5422</v>
      </c>
      <c r="J1208" s="22" t="s">
        <v>5423</v>
      </c>
      <c r="K1208" s="22" t="s">
        <v>5424</v>
      </c>
      <c r="L1208" s="23" t="s">
        <v>92</v>
      </c>
      <c r="M1208" s="24" t="s">
        <v>7738</v>
      </c>
      <c r="N1208" s="23">
        <v>18848041</v>
      </c>
      <c r="O1208" s="25" t="s">
        <v>828</v>
      </c>
      <c r="P1208" s="25" t="s">
        <v>53</v>
      </c>
      <c r="Q1208" s="20" t="s">
        <v>5425</v>
      </c>
      <c r="R1208" s="20">
        <v>72828691</v>
      </c>
      <c r="S1208" s="25" t="s">
        <v>55</v>
      </c>
      <c r="T1208" s="26" t="s">
        <v>56</v>
      </c>
      <c r="U1208" s="23">
        <v>357654178461235</v>
      </c>
      <c r="V1208" s="27" t="s">
        <v>78</v>
      </c>
      <c r="W1208" s="20" t="s">
        <v>5299</v>
      </c>
      <c r="X1208" s="20" t="s">
        <v>5299</v>
      </c>
      <c r="Y1208" s="20" t="s">
        <v>5299</v>
      </c>
      <c r="Z1208" s="20" t="s">
        <v>60</v>
      </c>
      <c r="AA1208" s="20" t="s">
        <v>61</v>
      </c>
      <c r="AB1208" s="20" t="s">
        <v>82</v>
      </c>
      <c r="AC1208" s="28">
        <v>559.48</v>
      </c>
      <c r="AD1208" s="28">
        <f>SUM(BASE[[#This Row],[MONTO DE RENTA ]]*1.16)</f>
        <v>648.99680000000001</v>
      </c>
      <c r="AE1208" s="28" t="s">
        <v>83</v>
      </c>
      <c r="AF1208" s="28">
        <v>559.48275862068965</v>
      </c>
      <c r="AG1208" s="28">
        <v>649</v>
      </c>
      <c r="AI1208" s="29">
        <v>44937</v>
      </c>
      <c r="AJ1208" s="29">
        <v>46043</v>
      </c>
      <c r="AK120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08" s="30"/>
      <c r="AN1208" s="20" t="s">
        <v>99</v>
      </c>
      <c r="AP1208" s="20" t="s">
        <v>84</v>
      </c>
      <c r="AQ1208" s="20" t="s">
        <v>100</v>
      </c>
    </row>
    <row r="1209" spans="1:43" ht="16">
      <c r="A1209" s="20">
        <v>8117290101</v>
      </c>
      <c r="B1209" s="49">
        <v>6368</v>
      </c>
      <c r="C1209" s="20" t="s">
        <v>663</v>
      </c>
      <c r="D1209" s="20" t="s">
        <v>1433</v>
      </c>
      <c r="E1209" s="20" t="s">
        <v>871</v>
      </c>
      <c r="F1209" s="20" t="s">
        <v>5426</v>
      </c>
      <c r="G1209" s="20" t="s">
        <v>5426</v>
      </c>
      <c r="H1209" s="20" t="s">
        <v>199</v>
      </c>
      <c r="I1209" s="20" t="s">
        <v>5426</v>
      </c>
      <c r="J1209" s="22" t="s">
        <v>5427</v>
      </c>
      <c r="K1209" s="22" t="s">
        <v>5428</v>
      </c>
      <c r="L1209" s="23" t="s">
        <v>92</v>
      </c>
      <c r="M1209" s="24" t="s">
        <v>7738</v>
      </c>
      <c r="N1209" s="23">
        <v>18848078</v>
      </c>
      <c r="O1209" s="25" t="s">
        <v>74</v>
      </c>
      <c r="P1209" s="25" t="s">
        <v>53</v>
      </c>
      <c r="Q1209" s="20" t="s">
        <v>5429</v>
      </c>
      <c r="R1209" s="20">
        <v>42896315</v>
      </c>
      <c r="S1209" s="25" t="s">
        <v>55</v>
      </c>
      <c r="T1209" s="26" t="s">
        <v>56</v>
      </c>
      <c r="U1209" s="23">
        <v>354435325295236</v>
      </c>
      <c r="V1209" s="27" t="s">
        <v>78</v>
      </c>
      <c r="W1209" s="20" t="s">
        <v>5430</v>
      </c>
      <c r="X1209" s="20" t="s">
        <v>5430</v>
      </c>
      <c r="Y1209" s="20" t="s">
        <v>5430</v>
      </c>
      <c r="Z1209" s="20" t="s">
        <v>60</v>
      </c>
      <c r="AA1209" s="20" t="s">
        <v>61</v>
      </c>
      <c r="AB1209" s="20" t="s">
        <v>82</v>
      </c>
      <c r="AC1209" s="28">
        <v>559.48</v>
      </c>
      <c r="AD1209" s="28">
        <f>SUM(BASE[[#This Row],[MONTO DE RENTA ]]*1.16)</f>
        <v>648.99680000000001</v>
      </c>
      <c r="AE1209" s="28" t="s">
        <v>83</v>
      </c>
      <c r="AF1209" s="28">
        <v>559.48275862068965</v>
      </c>
      <c r="AG1209" s="28">
        <v>649</v>
      </c>
      <c r="AI1209" s="63">
        <v>44937</v>
      </c>
      <c r="AJ1209" s="73">
        <v>46043</v>
      </c>
      <c r="AK120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09" s="30"/>
      <c r="AN1209" s="20" t="s">
        <v>99</v>
      </c>
      <c r="AP1209" s="20" t="s">
        <v>84</v>
      </c>
      <c r="AQ1209" s="20" t="s">
        <v>100</v>
      </c>
    </row>
    <row r="1210" spans="1:43" ht="16">
      <c r="A1210" s="20">
        <v>8123524078</v>
      </c>
      <c r="B1210" s="21">
        <v>1047213</v>
      </c>
      <c r="C1210" s="20" t="s">
        <v>663</v>
      </c>
      <c r="D1210" s="20" t="s">
        <v>5431</v>
      </c>
      <c r="E1210" s="20" t="s">
        <v>5432</v>
      </c>
      <c r="F1210" s="20" t="s">
        <v>223</v>
      </c>
      <c r="G1210" s="20" t="s">
        <v>223</v>
      </c>
      <c r="H1210" s="20" t="s">
        <v>155</v>
      </c>
      <c r="I1210" s="20" t="s">
        <v>223</v>
      </c>
      <c r="J1210" s="54" t="s">
        <v>5433</v>
      </c>
      <c r="K1210" s="54" t="s">
        <v>5433</v>
      </c>
      <c r="L1210" s="23" t="s">
        <v>92</v>
      </c>
      <c r="M1210" s="24" t="s">
        <v>7738</v>
      </c>
      <c r="N1210" s="23">
        <v>18848013</v>
      </c>
      <c r="O1210" s="25" t="s">
        <v>74</v>
      </c>
      <c r="P1210" s="25" t="s">
        <v>53</v>
      </c>
      <c r="Q1210" s="20" t="s">
        <v>5434</v>
      </c>
      <c r="R1210" s="20">
        <v>45142586</v>
      </c>
      <c r="S1210" s="25" t="s">
        <v>55</v>
      </c>
      <c r="T1210" s="44" t="s">
        <v>56</v>
      </c>
      <c r="U1210" s="23">
        <v>860900062264304</v>
      </c>
      <c r="V1210" s="27" t="s">
        <v>57</v>
      </c>
      <c r="W1210" s="20" t="s">
        <v>58</v>
      </c>
      <c r="X1210" s="20" t="s">
        <v>59</v>
      </c>
      <c r="Y1210" s="20" t="s">
        <v>59</v>
      </c>
      <c r="Z1210" s="20" t="s">
        <v>60</v>
      </c>
      <c r="AA1210" s="20" t="s">
        <v>61</v>
      </c>
      <c r="AB1210" s="20" t="s">
        <v>96</v>
      </c>
      <c r="AC1210" s="28">
        <v>369.83</v>
      </c>
      <c r="AD1210" s="28">
        <f>SUM(BASE[[#This Row],[MONTO DE RENTA ]]*1.16)</f>
        <v>429.00279999999998</v>
      </c>
      <c r="AE1210" s="28" t="s">
        <v>63</v>
      </c>
      <c r="AF1210" s="28">
        <v>369.82758620689657</v>
      </c>
      <c r="AG1210" s="28">
        <v>429</v>
      </c>
      <c r="AH1210" s="255" t="s">
        <v>98</v>
      </c>
      <c r="AI1210" s="29">
        <v>45882</v>
      </c>
      <c r="AJ1210" s="29">
        <v>46612</v>
      </c>
      <c r="AK1210" s="30">
        <f ca="1">IFERROR(IF(BASE[[#This Row],[FECHA DE RENOVACION ]]&gt;TODAY(), DATEDIF(TODAY(),BASE[[#This Row],[FECHA DE RENOVACION ]],"M"), -DATEDIF(BASE[[#This Row],[FECHA DE RENOVACION ]],TODAY(),"M")), "Sin fecha")</f>
        <v>17</v>
      </c>
      <c r="AM1210" s="30"/>
      <c r="AN1210" s="20" t="s">
        <v>65</v>
      </c>
      <c r="AP1210" s="20" t="s">
        <v>84</v>
      </c>
    </row>
    <row r="1211" spans="1:43" ht="16">
      <c r="A1211" s="20">
        <v>8118242603</v>
      </c>
      <c r="B1211" s="21">
        <v>1049218</v>
      </c>
      <c r="C1211" s="20" t="s">
        <v>5435</v>
      </c>
      <c r="D1211" s="20" t="s">
        <v>280</v>
      </c>
      <c r="E1211" s="20" t="s">
        <v>383</v>
      </c>
      <c r="F1211" s="20" t="s">
        <v>5436</v>
      </c>
      <c r="G1211" s="20" t="s">
        <v>5436</v>
      </c>
      <c r="H1211" s="20" t="s">
        <v>5437</v>
      </c>
      <c r="I1211" s="20" t="s">
        <v>5436</v>
      </c>
      <c r="J1211" s="22" t="s">
        <v>5438</v>
      </c>
      <c r="K1211" s="32" t="s">
        <v>5439</v>
      </c>
      <c r="L1211" s="23" t="s">
        <v>92</v>
      </c>
      <c r="M1211" s="24" t="s">
        <v>7738</v>
      </c>
      <c r="N1211" s="23">
        <v>18848064</v>
      </c>
      <c r="O1211" s="25" t="s">
        <v>74</v>
      </c>
      <c r="P1211" s="25" t="s">
        <v>53</v>
      </c>
      <c r="Q1211" s="20" t="s">
        <v>5440</v>
      </c>
      <c r="R1211" s="20">
        <v>45017346</v>
      </c>
      <c r="S1211" s="25" t="s">
        <v>5441</v>
      </c>
      <c r="T1211" s="26" t="s">
        <v>57</v>
      </c>
      <c r="U1211" s="23">
        <v>860900062264056</v>
      </c>
      <c r="V1211" s="27" t="s">
        <v>57</v>
      </c>
      <c r="W1211" s="20" t="s">
        <v>58</v>
      </c>
      <c r="X1211" s="20" t="s">
        <v>59</v>
      </c>
      <c r="Y1211" s="20" t="s">
        <v>59</v>
      </c>
      <c r="Z1211" s="20" t="s">
        <v>131</v>
      </c>
      <c r="AA1211" s="20" t="s">
        <v>132</v>
      </c>
      <c r="AB1211" s="20" t="s">
        <v>96</v>
      </c>
      <c r="AC1211" s="28">
        <v>369.83</v>
      </c>
      <c r="AD1211" s="28">
        <f>SUM(BASE[[#This Row],[MONTO DE RENTA ]]*1.16)</f>
        <v>429.00279999999998</v>
      </c>
      <c r="AE1211" s="28" t="s">
        <v>63</v>
      </c>
      <c r="AF1211" s="28">
        <v>369.82758620689657</v>
      </c>
      <c r="AG1211" s="28">
        <v>429</v>
      </c>
      <c r="AH1211" s="22" t="s">
        <v>64</v>
      </c>
      <c r="AI1211" s="29">
        <v>45703</v>
      </c>
      <c r="AJ1211" s="29">
        <v>46433</v>
      </c>
      <c r="AK12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11" s="30"/>
      <c r="AN1211" s="20" t="s">
        <v>65</v>
      </c>
      <c r="AP1211" s="20" t="s">
        <v>84</v>
      </c>
    </row>
    <row r="1212" spans="1:43" s="87" customFormat="1" ht="16">
      <c r="A1212" s="87">
        <v>6673180491</v>
      </c>
      <c r="B1212" s="235">
        <v>260463</v>
      </c>
      <c r="C1212" s="87" t="s">
        <v>5442</v>
      </c>
      <c r="D1212" s="87" t="s">
        <v>2234</v>
      </c>
      <c r="E1212" s="87" t="s">
        <v>657</v>
      </c>
      <c r="F1212" s="87" t="s">
        <v>5443</v>
      </c>
      <c r="G1212" s="87" t="s">
        <v>5443</v>
      </c>
      <c r="H1212" s="87" t="s">
        <v>5320</v>
      </c>
      <c r="I1212" s="87" t="s">
        <v>5443</v>
      </c>
      <c r="J1212" s="217" t="s">
        <v>5444</v>
      </c>
      <c r="K1212" s="217" t="s">
        <v>5445</v>
      </c>
      <c r="L1212" s="218" t="s">
        <v>92</v>
      </c>
      <c r="M1212" s="219" t="s">
        <v>7738</v>
      </c>
      <c r="N1212" s="218">
        <v>18848067</v>
      </c>
      <c r="O1212" s="220" t="s">
        <v>866</v>
      </c>
      <c r="P1212" s="25" t="s">
        <v>3857</v>
      </c>
      <c r="Q1212" s="87" t="s">
        <v>5446</v>
      </c>
      <c r="R1212" s="87">
        <v>22131117</v>
      </c>
      <c r="S1212" s="220" t="s">
        <v>55</v>
      </c>
      <c r="T1212" s="221" t="s">
        <v>56</v>
      </c>
      <c r="U1212" s="218">
        <v>860982060886189</v>
      </c>
      <c r="V1212" s="222" t="s">
        <v>183</v>
      </c>
      <c r="W1212" s="87" t="s">
        <v>129</v>
      </c>
      <c r="X1212" s="20" t="s">
        <v>130</v>
      </c>
      <c r="Y1212" s="20" t="s">
        <v>130</v>
      </c>
      <c r="Z1212" s="87" t="s">
        <v>60</v>
      </c>
      <c r="AA1212" s="87" t="s">
        <v>61</v>
      </c>
      <c r="AB1212" s="87" t="s">
        <v>96</v>
      </c>
      <c r="AC1212" s="223">
        <v>369.83</v>
      </c>
      <c r="AD1212" s="223">
        <f>SUM(BASE[[#This Row],[MONTO DE RENTA ]]*1.16)</f>
        <v>429.00279999999998</v>
      </c>
      <c r="AE1212" s="223" t="s">
        <v>63</v>
      </c>
      <c r="AF1212" s="223">
        <v>369.82758620689657</v>
      </c>
      <c r="AG1212" s="223">
        <v>429</v>
      </c>
      <c r="AH1212" s="217"/>
      <c r="AI1212" s="232">
        <v>44937</v>
      </c>
      <c r="AJ1212" s="256">
        <v>46043</v>
      </c>
      <c r="AK1212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212" s="225">
        <v>147258</v>
      </c>
      <c r="AN1212" s="87" t="s">
        <v>99</v>
      </c>
      <c r="AP1212" s="87" t="s">
        <v>84</v>
      </c>
      <c r="AQ1212" s="87" t="s">
        <v>100</v>
      </c>
    </row>
    <row r="1213" spans="1:43" ht="16">
      <c r="A1213" s="20">
        <v>8134035126</v>
      </c>
      <c r="B1213" s="21">
        <v>11256</v>
      </c>
      <c r="C1213" s="20" t="s">
        <v>4648</v>
      </c>
      <c r="D1213" s="20" t="s">
        <v>5447</v>
      </c>
      <c r="E1213" s="20" t="s">
        <v>206</v>
      </c>
      <c r="F1213" s="20" t="s">
        <v>5319</v>
      </c>
      <c r="G1213" s="20" t="s">
        <v>5319</v>
      </c>
      <c r="H1213" s="20" t="s">
        <v>5320</v>
      </c>
      <c r="I1213" s="20" t="s">
        <v>5319</v>
      </c>
      <c r="J1213" s="22" t="s">
        <v>5448</v>
      </c>
      <c r="K1213" s="32" t="s">
        <v>5449</v>
      </c>
      <c r="L1213" s="23" t="s">
        <v>92</v>
      </c>
      <c r="M1213" s="24" t="s">
        <v>7738</v>
      </c>
      <c r="N1213" s="23">
        <v>18848107</v>
      </c>
      <c r="O1213" s="25" t="s">
        <v>74</v>
      </c>
      <c r="P1213" s="25" t="s">
        <v>53</v>
      </c>
      <c r="Q1213" s="20" t="s">
        <v>5450</v>
      </c>
      <c r="R1213" s="20">
        <v>43090131</v>
      </c>
      <c r="S1213" s="25" t="s">
        <v>5451</v>
      </c>
      <c r="T1213" s="26" t="s">
        <v>57</v>
      </c>
      <c r="U1213" s="23">
        <v>860900062338363</v>
      </c>
      <c r="V1213" s="27" t="s">
        <v>57</v>
      </c>
      <c r="W1213" s="20" t="s">
        <v>58</v>
      </c>
      <c r="X1213" s="20" t="s">
        <v>59</v>
      </c>
      <c r="Y1213" s="20" t="s">
        <v>59</v>
      </c>
      <c r="Z1213" s="20" t="s">
        <v>167</v>
      </c>
      <c r="AA1213" s="20" t="s">
        <v>168</v>
      </c>
      <c r="AB1213" s="20" t="s">
        <v>96</v>
      </c>
      <c r="AC1213" s="28">
        <v>369.83</v>
      </c>
      <c r="AD1213" s="28">
        <f>SUM(BASE[[#This Row],[MONTO DE RENTA ]]*1.16)</f>
        <v>429.00279999999998</v>
      </c>
      <c r="AE1213" s="28" t="s">
        <v>63</v>
      </c>
      <c r="AF1213" s="28">
        <v>369.82758620689657</v>
      </c>
      <c r="AG1213" s="28">
        <v>429</v>
      </c>
      <c r="AH1213" s="22" t="s">
        <v>64</v>
      </c>
      <c r="AI1213" s="63">
        <v>45713</v>
      </c>
      <c r="AJ1213" s="63">
        <v>46433</v>
      </c>
      <c r="AK12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13" s="30"/>
      <c r="AN1213" s="20" t="s">
        <v>65</v>
      </c>
      <c r="AP1213" s="20" t="s">
        <v>84</v>
      </c>
    </row>
    <row r="1214" spans="1:43" s="87" customFormat="1" ht="16">
      <c r="A1214" s="20">
        <v>8113229491</v>
      </c>
      <c r="B1214" s="49">
        <v>6418</v>
      </c>
      <c r="C1214" s="20" t="s">
        <v>487</v>
      </c>
      <c r="D1214" s="20" t="s">
        <v>247</v>
      </c>
      <c r="E1214" s="20" t="s">
        <v>172</v>
      </c>
      <c r="F1214" s="20" t="s">
        <v>5452</v>
      </c>
      <c r="G1214" s="20" t="s">
        <v>5452</v>
      </c>
      <c r="H1214" s="20" t="s">
        <v>5437</v>
      </c>
      <c r="I1214" s="20" t="s">
        <v>5452</v>
      </c>
      <c r="J1214" s="22" t="s">
        <v>5453</v>
      </c>
      <c r="K1214" s="22" t="s">
        <v>5454</v>
      </c>
      <c r="L1214" s="23" t="s">
        <v>92</v>
      </c>
      <c r="M1214" s="24" t="s">
        <v>7738</v>
      </c>
      <c r="N1214" s="23">
        <v>18848063</v>
      </c>
      <c r="O1214" s="25" t="s">
        <v>74</v>
      </c>
      <c r="P1214" s="25" t="s">
        <v>53</v>
      </c>
      <c r="Q1214" s="20" t="s">
        <v>5455</v>
      </c>
      <c r="R1214" s="20">
        <v>42896290</v>
      </c>
      <c r="S1214" s="25" t="s">
        <v>55</v>
      </c>
      <c r="T1214" s="26" t="s">
        <v>56</v>
      </c>
      <c r="U1214" s="23">
        <v>356879779875985</v>
      </c>
      <c r="V1214" s="27" t="s">
        <v>78</v>
      </c>
      <c r="W1214" s="20" t="s">
        <v>5456</v>
      </c>
      <c r="X1214" s="20" t="s">
        <v>5456</v>
      </c>
      <c r="Y1214" s="20" t="s">
        <v>5456</v>
      </c>
      <c r="Z1214" s="20" t="s">
        <v>60</v>
      </c>
      <c r="AA1214" s="20" t="s">
        <v>61</v>
      </c>
      <c r="AB1214" s="20" t="s">
        <v>5457</v>
      </c>
      <c r="AC1214" s="28">
        <v>602.59</v>
      </c>
      <c r="AD1214" s="28">
        <f>SUM(BASE[[#This Row],[MONTO DE RENTA ]]*1.16)</f>
        <v>699.00440000000003</v>
      </c>
      <c r="AE1214" s="28" t="s">
        <v>83</v>
      </c>
      <c r="AF1214" s="28">
        <v>559.48275862068965</v>
      </c>
      <c r="AG1214" s="28">
        <v>649</v>
      </c>
      <c r="AH1214" s="22"/>
      <c r="AI1214" s="29">
        <v>44937</v>
      </c>
      <c r="AJ1214" s="29">
        <v>46429</v>
      </c>
      <c r="AK12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214" s="20"/>
      <c r="AM1214" s="30"/>
      <c r="AN1214" s="20" t="s">
        <v>65</v>
      </c>
      <c r="AO1214" s="20"/>
      <c r="AP1214" s="20" t="s">
        <v>118</v>
      </c>
      <c r="AQ1214" s="20"/>
    </row>
    <row r="1215" spans="1:43" ht="16">
      <c r="A1215" s="87">
        <v>2292317955</v>
      </c>
      <c r="B1215" s="235">
        <v>0</v>
      </c>
      <c r="C1215" s="20" t="s">
        <v>1653</v>
      </c>
      <c r="D1215" s="20" t="s">
        <v>1654</v>
      </c>
      <c r="E1215" s="20" t="s">
        <v>1655</v>
      </c>
      <c r="F1215" s="20" t="s">
        <v>1656</v>
      </c>
      <c r="G1215" s="20" t="s">
        <v>1656</v>
      </c>
      <c r="H1215" s="20" t="s">
        <v>1657</v>
      </c>
      <c r="I1215" s="20" t="s">
        <v>1658</v>
      </c>
      <c r="J1215" s="217" t="s">
        <v>5458</v>
      </c>
      <c r="K1215" s="217" t="s">
        <v>5459</v>
      </c>
      <c r="L1215" s="218" t="s">
        <v>92</v>
      </c>
      <c r="M1215" s="219" t="s">
        <v>7738</v>
      </c>
      <c r="N1215" s="23" t="s">
        <v>1661</v>
      </c>
      <c r="O1215" s="25" t="s">
        <v>828</v>
      </c>
      <c r="P1215" s="25" t="s">
        <v>5460</v>
      </c>
      <c r="Q1215" s="20" t="s">
        <v>5461</v>
      </c>
      <c r="R1215" s="20">
        <v>72828721</v>
      </c>
      <c r="S1215" s="25" t="s">
        <v>55</v>
      </c>
      <c r="T1215" s="221" t="s">
        <v>56</v>
      </c>
      <c r="U1215" s="23" t="s">
        <v>193</v>
      </c>
      <c r="V1215" s="27" t="s">
        <v>78</v>
      </c>
      <c r="W1215" s="20" t="s">
        <v>194</v>
      </c>
      <c r="X1215" s="20" t="s">
        <v>194</v>
      </c>
      <c r="Y1215" s="20" t="s">
        <v>194</v>
      </c>
      <c r="Z1215" s="20" t="s">
        <v>60</v>
      </c>
      <c r="AA1215" s="20" t="s">
        <v>61</v>
      </c>
      <c r="AB1215" s="20" t="s">
        <v>82</v>
      </c>
      <c r="AC1215" s="28">
        <v>559.48</v>
      </c>
      <c r="AD1215" s="223">
        <f>SUM(BASE[[#This Row],[MONTO DE RENTA ]]*1.16)</f>
        <v>648.99680000000001</v>
      </c>
      <c r="AE1215" s="223" t="s">
        <v>83</v>
      </c>
      <c r="AF1215" s="223">
        <v>559.48275862068965</v>
      </c>
      <c r="AG1215" s="223">
        <v>649</v>
      </c>
      <c r="AH1215" s="217"/>
      <c r="AI1215" s="29">
        <v>44937</v>
      </c>
      <c r="AJ1215" s="257">
        <v>46043</v>
      </c>
      <c r="AK1215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L1215" s="87"/>
      <c r="AM1215" s="225"/>
      <c r="AN1215" s="20" t="s">
        <v>99</v>
      </c>
      <c r="AP1215" s="20" t="s">
        <v>84</v>
      </c>
      <c r="AQ1215" s="20" t="s">
        <v>100</v>
      </c>
    </row>
    <row r="1216" spans="1:43" ht="16">
      <c r="A1216" s="20">
        <v>8126801180</v>
      </c>
      <c r="B1216" s="49">
        <v>1048851</v>
      </c>
      <c r="C1216" s="20" t="s">
        <v>5462</v>
      </c>
      <c r="D1216" s="20" t="s">
        <v>5463</v>
      </c>
      <c r="E1216" s="20" t="s">
        <v>1057</v>
      </c>
      <c r="F1216" s="20" t="s">
        <v>5464</v>
      </c>
      <c r="G1216" s="20" t="s">
        <v>5464</v>
      </c>
      <c r="H1216" s="20" t="s">
        <v>89</v>
      </c>
      <c r="I1216" s="20" t="s">
        <v>5464</v>
      </c>
      <c r="J1216" s="32" t="s">
        <v>5465</v>
      </c>
      <c r="K1216" s="22" t="s">
        <v>5465</v>
      </c>
      <c r="L1216" s="23" t="s">
        <v>92</v>
      </c>
      <c r="M1216" s="24" t="s">
        <v>7738</v>
      </c>
      <c r="N1216" s="23">
        <v>18848041</v>
      </c>
      <c r="O1216" s="25" t="s">
        <v>74</v>
      </c>
      <c r="P1216" s="25" t="s">
        <v>53</v>
      </c>
      <c r="Q1216" s="20" t="s">
        <v>5466</v>
      </c>
      <c r="R1216" s="20">
        <v>44114350</v>
      </c>
      <c r="S1216" s="25" t="s">
        <v>55</v>
      </c>
      <c r="T1216" s="26" t="s">
        <v>56</v>
      </c>
      <c r="U1216" s="23">
        <v>865356065728685</v>
      </c>
      <c r="V1216" s="27" t="s">
        <v>183</v>
      </c>
      <c r="W1216" s="20" t="s">
        <v>129</v>
      </c>
      <c r="X1216" s="20" t="s">
        <v>130</v>
      </c>
      <c r="Y1216" s="20" t="s">
        <v>130</v>
      </c>
      <c r="Z1216" s="20" t="s">
        <v>60</v>
      </c>
      <c r="AA1216" s="20" t="s">
        <v>61</v>
      </c>
      <c r="AB1216" s="20" t="s">
        <v>96</v>
      </c>
      <c r="AC1216" s="28">
        <v>369.83</v>
      </c>
      <c r="AD1216" s="28">
        <f>SUM(BASE[[#This Row],[MONTO DE RENTA ]]*1.16)</f>
        <v>429.00279999999998</v>
      </c>
      <c r="AE1216" s="28" t="s">
        <v>63</v>
      </c>
      <c r="AF1216" s="28">
        <v>369.82758620689657</v>
      </c>
      <c r="AG1216" s="28">
        <v>429</v>
      </c>
      <c r="AI1216" s="63">
        <v>44937</v>
      </c>
      <c r="AJ1216" s="73">
        <v>46043</v>
      </c>
      <c r="AK121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16" s="30"/>
      <c r="AN1216" s="20" t="s">
        <v>99</v>
      </c>
      <c r="AP1216" s="20" t="s">
        <v>84</v>
      </c>
      <c r="AQ1216" s="20" t="s">
        <v>100</v>
      </c>
    </row>
    <row r="1217" spans="1:43" ht="16">
      <c r="A1217" s="20">
        <v>5527794412</v>
      </c>
      <c r="B1217" s="49">
        <v>160132</v>
      </c>
      <c r="C1217" s="20" t="s">
        <v>5467</v>
      </c>
      <c r="D1217" s="20" t="s">
        <v>5468</v>
      </c>
      <c r="E1217" s="20" t="s">
        <v>937</v>
      </c>
      <c r="F1217" s="20" t="s">
        <v>5469</v>
      </c>
      <c r="G1217" s="20" t="s">
        <v>5469</v>
      </c>
      <c r="H1217" s="20" t="s">
        <v>155</v>
      </c>
      <c r="I1217" s="20" t="s">
        <v>5469</v>
      </c>
      <c r="J1217" s="22" t="s">
        <v>5470</v>
      </c>
      <c r="K1217" s="22" t="s">
        <v>5471</v>
      </c>
      <c r="L1217" s="25" t="s">
        <v>92</v>
      </c>
      <c r="M1217" s="24" t="s">
        <v>7738</v>
      </c>
      <c r="N1217" s="23">
        <v>18848080</v>
      </c>
      <c r="O1217" s="25" t="s">
        <v>52</v>
      </c>
      <c r="P1217" s="25" t="s">
        <v>53</v>
      </c>
      <c r="Q1217" s="20" t="s">
        <v>5472</v>
      </c>
      <c r="R1217" s="20">
        <v>9732837</v>
      </c>
      <c r="S1217" s="25" t="s">
        <v>55</v>
      </c>
      <c r="T1217" s="26" t="s">
        <v>56</v>
      </c>
      <c r="U1217" s="23">
        <v>357654178602085</v>
      </c>
      <c r="V1217" s="27" t="s">
        <v>78</v>
      </c>
      <c r="W1217" s="20" t="s">
        <v>5299</v>
      </c>
      <c r="X1217" s="20" t="s">
        <v>5299</v>
      </c>
      <c r="Y1217" s="20" t="s">
        <v>5299</v>
      </c>
      <c r="Z1217" s="20" t="s">
        <v>60</v>
      </c>
      <c r="AA1217" s="20" t="s">
        <v>61</v>
      </c>
      <c r="AB1217" s="20" t="s">
        <v>82</v>
      </c>
      <c r="AC1217" s="28">
        <v>559.48</v>
      </c>
      <c r="AD1217" s="28">
        <f>SUM(BASE[[#This Row],[MONTO DE RENTA ]]*1.16)</f>
        <v>648.99680000000001</v>
      </c>
      <c r="AE1217" s="28" t="s">
        <v>83</v>
      </c>
      <c r="AF1217" s="28">
        <v>559.48275862068965</v>
      </c>
      <c r="AG1217" s="28">
        <v>649</v>
      </c>
      <c r="AI1217" s="63">
        <v>44937</v>
      </c>
      <c r="AJ1217" s="73">
        <v>46043</v>
      </c>
      <c r="AK121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17" s="30"/>
      <c r="AN1217" s="20" t="s">
        <v>99</v>
      </c>
      <c r="AP1217" s="20" t="s">
        <v>84</v>
      </c>
      <c r="AQ1217" s="20" t="s">
        <v>100</v>
      </c>
    </row>
    <row r="1218" spans="1:43" s="87" customFormat="1" ht="16">
      <c r="A1218" s="87">
        <v>9999005586</v>
      </c>
      <c r="B1218" s="215">
        <v>1000331</v>
      </c>
      <c r="C1218" s="87" t="s">
        <v>5473</v>
      </c>
      <c r="D1218" s="87" t="s">
        <v>292</v>
      </c>
      <c r="E1218" s="87" t="s">
        <v>937</v>
      </c>
      <c r="F1218" s="87" t="s">
        <v>5443</v>
      </c>
      <c r="G1218" s="87" t="s">
        <v>5443</v>
      </c>
      <c r="H1218" s="87" t="s">
        <v>5320</v>
      </c>
      <c r="I1218" s="87" t="s">
        <v>5443</v>
      </c>
      <c r="J1218" s="258" t="s">
        <v>5474</v>
      </c>
      <c r="K1218" s="216" t="s">
        <v>5474</v>
      </c>
      <c r="L1218" s="218" t="s">
        <v>92</v>
      </c>
      <c r="M1218" s="219" t="s">
        <v>7738</v>
      </c>
      <c r="N1218" s="218">
        <v>18848067</v>
      </c>
      <c r="O1218" s="220" t="s">
        <v>1035</v>
      </c>
      <c r="P1218" s="25" t="s">
        <v>3857</v>
      </c>
      <c r="Q1218" s="87" t="s">
        <v>5475</v>
      </c>
      <c r="R1218" s="87">
        <v>83854485</v>
      </c>
      <c r="S1218" s="220" t="s">
        <v>5476</v>
      </c>
      <c r="T1218" s="221" t="s">
        <v>57</v>
      </c>
      <c r="U1218" s="218">
        <v>865356065670606</v>
      </c>
      <c r="V1218" s="222" t="s">
        <v>183</v>
      </c>
      <c r="W1218" s="87" t="s">
        <v>129</v>
      </c>
      <c r="X1218" s="20" t="s">
        <v>130</v>
      </c>
      <c r="Y1218" s="20" t="s">
        <v>130</v>
      </c>
      <c r="Z1218" s="87" t="s">
        <v>167</v>
      </c>
      <c r="AA1218" s="87" t="s">
        <v>168</v>
      </c>
      <c r="AB1218" s="87" t="s">
        <v>96</v>
      </c>
      <c r="AC1218" s="223">
        <v>369.83</v>
      </c>
      <c r="AD1218" s="223">
        <f>SUM(BASE[[#This Row],[MONTO DE RENTA ]]*1.16)</f>
        <v>429.00279999999998</v>
      </c>
      <c r="AE1218" s="223" t="s">
        <v>63</v>
      </c>
      <c r="AF1218" s="223">
        <v>369.82758620689657</v>
      </c>
      <c r="AG1218" s="223">
        <v>429</v>
      </c>
      <c r="AH1218" s="217" t="s">
        <v>116</v>
      </c>
      <c r="AI1218" s="232">
        <v>45498</v>
      </c>
      <c r="AJ1218" s="232">
        <v>46040</v>
      </c>
      <c r="AK1218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L1218" s="87">
        <v>18848094</v>
      </c>
      <c r="AM1218" s="225">
        <v>147258</v>
      </c>
      <c r="AN1218" s="87" t="s">
        <v>99</v>
      </c>
      <c r="AP1218" s="87" t="s">
        <v>84</v>
      </c>
      <c r="AQ1218" s="87" t="s">
        <v>100</v>
      </c>
    </row>
    <row r="1219" spans="1:43" s="87" customFormat="1" ht="16">
      <c r="A1219" s="87">
        <v>6611086116</v>
      </c>
      <c r="B1219" s="235">
        <v>625007</v>
      </c>
      <c r="C1219" s="87" t="s">
        <v>5477</v>
      </c>
      <c r="D1219" s="87" t="s">
        <v>371</v>
      </c>
      <c r="E1219" s="87" t="s">
        <v>657</v>
      </c>
      <c r="F1219" s="87" t="s">
        <v>5443</v>
      </c>
      <c r="G1219" s="87" t="s">
        <v>5443</v>
      </c>
      <c r="H1219" s="87" t="s">
        <v>5320</v>
      </c>
      <c r="I1219" s="87" t="s">
        <v>5443</v>
      </c>
      <c r="J1219" s="216" t="s">
        <v>5478</v>
      </c>
      <c r="K1219" s="216" t="s">
        <v>5479</v>
      </c>
      <c r="L1219" s="218" t="s">
        <v>92</v>
      </c>
      <c r="M1219" s="219" t="s">
        <v>7738</v>
      </c>
      <c r="N1219" s="218">
        <v>18848067</v>
      </c>
      <c r="O1219" s="220" t="s">
        <v>126</v>
      </c>
      <c r="P1219" s="25" t="s">
        <v>3857</v>
      </c>
      <c r="Q1219" s="87" t="s">
        <v>5480</v>
      </c>
      <c r="R1219" s="87">
        <v>11526171</v>
      </c>
      <c r="S1219" s="220" t="s">
        <v>55</v>
      </c>
      <c r="T1219" s="221" t="s">
        <v>56</v>
      </c>
      <c r="U1219" s="218">
        <v>860982060886155</v>
      </c>
      <c r="V1219" s="222" t="s">
        <v>183</v>
      </c>
      <c r="W1219" s="87" t="s">
        <v>129</v>
      </c>
      <c r="X1219" s="20" t="s">
        <v>130</v>
      </c>
      <c r="Y1219" s="20" t="s">
        <v>130</v>
      </c>
      <c r="Z1219" s="87" t="s">
        <v>60</v>
      </c>
      <c r="AA1219" s="87" t="s">
        <v>61</v>
      </c>
      <c r="AB1219" s="87" t="s">
        <v>96</v>
      </c>
      <c r="AC1219" s="223">
        <v>369.83</v>
      </c>
      <c r="AD1219" s="223">
        <f>SUM(BASE[[#This Row],[MONTO DE RENTA ]]*1.16)</f>
        <v>429.00279999999998</v>
      </c>
      <c r="AE1219" s="223" t="s">
        <v>63</v>
      </c>
      <c r="AF1219" s="223">
        <v>369.82758620689657</v>
      </c>
      <c r="AG1219" s="223">
        <v>429</v>
      </c>
      <c r="AH1219" s="217"/>
      <c r="AI1219" s="232">
        <v>44937</v>
      </c>
      <c r="AJ1219" s="256">
        <v>46043</v>
      </c>
      <c r="AK1219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219" s="225">
        <v>147258</v>
      </c>
      <c r="AN1219" s="87" t="s">
        <v>99</v>
      </c>
      <c r="AP1219" s="87" t="s">
        <v>84</v>
      </c>
      <c r="AQ1219" s="87" t="s">
        <v>100</v>
      </c>
    </row>
    <row r="1220" spans="1:43" ht="16">
      <c r="A1220" s="20">
        <v>8123522268</v>
      </c>
      <c r="B1220" s="49">
        <v>998650</v>
      </c>
      <c r="C1220" s="20" t="s">
        <v>4901</v>
      </c>
      <c r="D1220" s="20" t="s">
        <v>238</v>
      </c>
      <c r="E1220" s="20" t="s">
        <v>1588</v>
      </c>
      <c r="F1220" s="20" t="s">
        <v>5481</v>
      </c>
      <c r="G1220" s="20" t="s">
        <v>5481</v>
      </c>
      <c r="H1220" s="20" t="s">
        <v>199</v>
      </c>
      <c r="I1220" s="20" t="s">
        <v>5481</v>
      </c>
      <c r="J1220" s="22" t="s">
        <v>5482</v>
      </c>
      <c r="K1220" s="32" t="s">
        <v>5483</v>
      </c>
      <c r="L1220" s="23" t="s">
        <v>92</v>
      </c>
      <c r="M1220" s="24" t="s">
        <v>7738</v>
      </c>
      <c r="N1220" s="23">
        <v>18848010</v>
      </c>
      <c r="O1220" s="25" t="s">
        <v>74</v>
      </c>
      <c r="P1220" s="25" t="s">
        <v>53</v>
      </c>
      <c r="Q1220" s="20" t="s">
        <v>5484</v>
      </c>
      <c r="R1220" s="20">
        <v>43460986</v>
      </c>
      <c r="S1220" s="25" t="s">
        <v>55</v>
      </c>
      <c r="T1220" s="26" t="s">
        <v>56</v>
      </c>
      <c r="U1220" s="23">
        <v>865356065730186</v>
      </c>
      <c r="V1220" s="27" t="s">
        <v>183</v>
      </c>
      <c r="W1220" s="20" t="s">
        <v>129</v>
      </c>
      <c r="X1220" s="20" t="s">
        <v>130</v>
      </c>
      <c r="Y1220" s="20" t="s">
        <v>130</v>
      </c>
      <c r="Z1220" s="20" t="s">
        <v>60</v>
      </c>
      <c r="AA1220" s="20" t="s">
        <v>61</v>
      </c>
      <c r="AB1220" s="20" t="s">
        <v>96</v>
      </c>
      <c r="AC1220" s="28">
        <v>369.83</v>
      </c>
      <c r="AD1220" s="28">
        <f>SUM(BASE[[#This Row],[MONTO DE RENTA ]]*1.16)</f>
        <v>429.00279999999998</v>
      </c>
      <c r="AE1220" s="28" t="s">
        <v>63</v>
      </c>
      <c r="AF1220" s="28">
        <v>369.82758620689657</v>
      </c>
      <c r="AG1220" s="28">
        <v>429</v>
      </c>
      <c r="AI1220" s="63">
        <v>44937</v>
      </c>
      <c r="AJ1220" s="73">
        <v>46043</v>
      </c>
      <c r="AK12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20" s="30"/>
      <c r="AN1220" s="20" t="s">
        <v>99</v>
      </c>
      <c r="AP1220" s="20" t="s">
        <v>84</v>
      </c>
      <c r="AQ1220" s="20" t="s">
        <v>100</v>
      </c>
    </row>
    <row r="1221" spans="1:43" ht="16">
      <c r="A1221" s="20">
        <v>8123509920</v>
      </c>
      <c r="B1221" s="21">
        <v>7093</v>
      </c>
      <c r="C1221" s="20" t="s">
        <v>5485</v>
      </c>
      <c r="D1221" s="20" t="s">
        <v>1167</v>
      </c>
      <c r="E1221" s="20" t="s">
        <v>497</v>
      </c>
      <c r="F1221" s="20" t="s">
        <v>5486</v>
      </c>
      <c r="G1221" s="20" t="s">
        <v>5486</v>
      </c>
      <c r="H1221" s="20" t="s">
        <v>155</v>
      </c>
      <c r="I1221" s="20" t="s">
        <v>5486</v>
      </c>
      <c r="J1221" s="22" t="s">
        <v>5487</v>
      </c>
      <c r="K1221" s="32" t="s">
        <v>5488</v>
      </c>
      <c r="L1221" s="23" t="s">
        <v>92</v>
      </c>
      <c r="M1221" s="24" t="s">
        <v>7738</v>
      </c>
      <c r="N1221" s="23">
        <v>18848043</v>
      </c>
      <c r="O1221" s="25" t="s">
        <v>74</v>
      </c>
      <c r="P1221" s="25" t="s">
        <v>53</v>
      </c>
      <c r="Q1221" s="20" t="s">
        <v>5489</v>
      </c>
      <c r="R1221" s="20">
        <v>43054042</v>
      </c>
      <c r="S1221" s="25" t="s">
        <v>5490</v>
      </c>
      <c r="T1221" s="26" t="s">
        <v>57</v>
      </c>
      <c r="U1221" s="23">
        <v>860900062338330</v>
      </c>
      <c r="V1221" s="27" t="s">
        <v>57</v>
      </c>
      <c r="W1221" s="20" t="s">
        <v>58</v>
      </c>
      <c r="X1221" s="20" t="s">
        <v>59</v>
      </c>
      <c r="Y1221" s="20" t="s">
        <v>59</v>
      </c>
      <c r="Z1221" s="20" t="s">
        <v>167</v>
      </c>
      <c r="AA1221" s="20" t="s">
        <v>168</v>
      </c>
      <c r="AB1221" s="20" t="s">
        <v>96</v>
      </c>
      <c r="AC1221" s="28">
        <v>369.83</v>
      </c>
      <c r="AD1221" s="28">
        <f>SUM(BASE[[#This Row],[MONTO DE RENTA ]]*1.16)</f>
        <v>429.00279999999998</v>
      </c>
      <c r="AE1221" s="28" t="s">
        <v>63</v>
      </c>
      <c r="AF1221" s="28">
        <v>369.82758620689657</v>
      </c>
      <c r="AG1221" s="28">
        <v>429</v>
      </c>
      <c r="AH1221" s="22" t="s">
        <v>64</v>
      </c>
      <c r="AI1221" s="63">
        <v>45703</v>
      </c>
      <c r="AJ1221" s="63">
        <v>46433</v>
      </c>
      <c r="AK12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1" s="30"/>
      <c r="AN1221" s="20" t="s">
        <v>65</v>
      </c>
      <c r="AP1221" s="20" t="s">
        <v>84</v>
      </c>
    </row>
    <row r="1222" spans="1:43" ht="16">
      <c r="A1222" s="20">
        <v>7772800157</v>
      </c>
      <c r="B1222" s="49">
        <v>260129</v>
      </c>
      <c r="C1222" s="20" t="s">
        <v>2763</v>
      </c>
      <c r="D1222" s="20" t="s">
        <v>377</v>
      </c>
      <c r="E1222" s="20" t="s">
        <v>5491</v>
      </c>
      <c r="F1222" s="20" t="s">
        <v>5443</v>
      </c>
      <c r="G1222" s="20" t="s">
        <v>5443</v>
      </c>
      <c r="H1222" s="20" t="s">
        <v>5320</v>
      </c>
      <c r="I1222" s="20" t="s">
        <v>5443</v>
      </c>
      <c r="J1222" s="22" t="s">
        <v>5492</v>
      </c>
      <c r="K1222" s="22" t="s">
        <v>5493</v>
      </c>
      <c r="L1222" s="23" t="s">
        <v>92</v>
      </c>
      <c r="M1222" s="24" t="s">
        <v>7738</v>
      </c>
      <c r="N1222" s="23">
        <v>18848067</v>
      </c>
      <c r="O1222" s="25" t="s">
        <v>52</v>
      </c>
      <c r="P1222" s="25" t="s">
        <v>53</v>
      </c>
      <c r="Q1222" s="20" t="s">
        <v>5494</v>
      </c>
      <c r="R1222" s="20">
        <v>9813312</v>
      </c>
      <c r="S1222" s="25" t="s">
        <v>55</v>
      </c>
      <c r="T1222" s="26" t="s">
        <v>56</v>
      </c>
      <c r="U1222" s="23">
        <v>860982060896659</v>
      </c>
      <c r="V1222" s="27" t="s">
        <v>183</v>
      </c>
      <c r="W1222" s="20" t="s">
        <v>129</v>
      </c>
      <c r="X1222" s="20" t="s">
        <v>130</v>
      </c>
      <c r="Y1222" s="20" t="s">
        <v>130</v>
      </c>
      <c r="Z1222" s="20" t="s">
        <v>60</v>
      </c>
      <c r="AA1222" s="20" t="s">
        <v>61</v>
      </c>
      <c r="AB1222" s="20" t="s">
        <v>96</v>
      </c>
      <c r="AC1222" s="28">
        <v>369.83</v>
      </c>
      <c r="AD1222" s="28">
        <f>SUM(BASE[[#This Row],[MONTO DE RENTA ]]*1.16)</f>
        <v>429.00279999999998</v>
      </c>
      <c r="AE1222" s="28" t="s">
        <v>63</v>
      </c>
      <c r="AF1222" s="28">
        <v>369.82758620689657</v>
      </c>
      <c r="AG1222" s="28">
        <v>429</v>
      </c>
      <c r="AI1222" s="63">
        <v>44937</v>
      </c>
      <c r="AJ1222" s="73">
        <v>46043</v>
      </c>
      <c r="AK122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22" s="30"/>
      <c r="AN1222" s="20" t="s">
        <v>99</v>
      </c>
      <c r="AP1222" s="20" t="s">
        <v>84</v>
      </c>
      <c r="AQ1222" s="20" t="s">
        <v>100</v>
      </c>
    </row>
    <row r="1223" spans="1:43" ht="16">
      <c r="A1223" s="20">
        <v>8123539234</v>
      </c>
      <c r="B1223" s="21">
        <v>6753</v>
      </c>
      <c r="C1223" s="20" t="s">
        <v>5495</v>
      </c>
      <c r="D1223" s="20" t="s">
        <v>3074</v>
      </c>
      <c r="E1223" s="20" t="s">
        <v>160</v>
      </c>
      <c r="F1223" s="20" t="s">
        <v>5496</v>
      </c>
      <c r="G1223" s="20" t="s">
        <v>5496</v>
      </c>
      <c r="H1223" s="20" t="s">
        <v>5320</v>
      </c>
      <c r="I1223" s="20" t="s">
        <v>5496</v>
      </c>
      <c r="J1223" s="22" t="s">
        <v>5497</v>
      </c>
      <c r="K1223" s="32" t="s">
        <v>5498</v>
      </c>
      <c r="L1223" s="23" t="s">
        <v>92</v>
      </c>
      <c r="M1223" s="24" t="s">
        <v>7738</v>
      </c>
      <c r="N1223" s="23">
        <v>18848105</v>
      </c>
      <c r="O1223" s="25" t="s">
        <v>74</v>
      </c>
      <c r="P1223" s="25" t="s">
        <v>53</v>
      </c>
      <c r="Q1223" s="20" t="s">
        <v>5499</v>
      </c>
      <c r="R1223" s="20">
        <v>43292373</v>
      </c>
      <c r="S1223" s="25" t="s">
        <v>5500</v>
      </c>
      <c r="T1223" s="26" t="s">
        <v>57</v>
      </c>
      <c r="U1223" s="23">
        <v>860900062334388</v>
      </c>
      <c r="V1223" s="27" t="s">
        <v>57</v>
      </c>
      <c r="W1223" s="20" t="s">
        <v>58</v>
      </c>
      <c r="X1223" s="20" t="s">
        <v>59</v>
      </c>
      <c r="Y1223" s="20" t="s">
        <v>59</v>
      </c>
      <c r="Z1223" s="20" t="s">
        <v>167</v>
      </c>
      <c r="AA1223" s="20" t="s">
        <v>168</v>
      </c>
      <c r="AB1223" s="20" t="s">
        <v>96</v>
      </c>
      <c r="AC1223" s="28">
        <v>369.83</v>
      </c>
      <c r="AD1223" s="28">
        <f>SUM(BASE[[#This Row],[MONTO DE RENTA ]]*1.16)</f>
        <v>429.00279999999998</v>
      </c>
      <c r="AE1223" s="28" t="s">
        <v>63</v>
      </c>
      <c r="AF1223" s="28">
        <v>369.82758620689657</v>
      </c>
      <c r="AG1223" s="28">
        <v>429</v>
      </c>
      <c r="AH1223" s="22" t="s">
        <v>64</v>
      </c>
      <c r="AI1223" s="29">
        <v>45713</v>
      </c>
      <c r="AJ1223" s="29">
        <v>46433</v>
      </c>
      <c r="AK12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3" s="30"/>
      <c r="AN1223" s="20" t="s">
        <v>65</v>
      </c>
      <c r="AP1223" s="20" t="s">
        <v>84</v>
      </c>
    </row>
    <row r="1224" spans="1:43" ht="16">
      <c r="A1224" s="20">
        <v>8118016005</v>
      </c>
      <c r="B1224" s="49">
        <v>1074963</v>
      </c>
      <c r="C1224" s="20" t="s">
        <v>5501</v>
      </c>
      <c r="D1224" s="20" t="s">
        <v>5502</v>
      </c>
      <c r="E1224" s="20" t="s">
        <v>5503</v>
      </c>
      <c r="F1224" s="20" t="s">
        <v>5504</v>
      </c>
      <c r="G1224" s="20" t="s">
        <v>5504</v>
      </c>
      <c r="H1224" s="20" t="s">
        <v>231</v>
      </c>
      <c r="I1224" s="20" t="s">
        <v>5504</v>
      </c>
      <c r="J1224" s="54" t="s">
        <v>5505</v>
      </c>
      <c r="K1224" s="54" t="s">
        <v>5505</v>
      </c>
      <c r="L1224" s="23" t="s">
        <v>92</v>
      </c>
      <c r="M1224" s="24" t="s">
        <v>7738</v>
      </c>
      <c r="N1224" s="23">
        <v>18848062</v>
      </c>
      <c r="O1224" s="25" t="s">
        <v>74</v>
      </c>
      <c r="P1224" s="25" t="s">
        <v>53</v>
      </c>
      <c r="Q1224" s="20" t="s">
        <v>5506</v>
      </c>
      <c r="R1224" s="20">
        <v>43648018</v>
      </c>
      <c r="S1224" s="25" t="s">
        <v>55</v>
      </c>
      <c r="T1224" s="44" t="s">
        <v>56</v>
      </c>
      <c r="U1224" s="23">
        <v>865356065671331</v>
      </c>
      <c r="V1224" s="27" t="s">
        <v>183</v>
      </c>
      <c r="W1224" s="20" t="s">
        <v>129</v>
      </c>
      <c r="X1224" s="20" t="s">
        <v>130</v>
      </c>
      <c r="Y1224" s="20" t="s">
        <v>130</v>
      </c>
      <c r="Z1224" s="20" t="s">
        <v>60</v>
      </c>
      <c r="AA1224" s="20" t="s">
        <v>61</v>
      </c>
      <c r="AB1224" s="20" t="s">
        <v>96</v>
      </c>
      <c r="AC1224" s="28">
        <v>369.83</v>
      </c>
      <c r="AD1224" s="28">
        <f>SUM(BASE[[#This Row],[MONTO DE RENTA ]]*1.16)</f>
        <v>429.00279999999998</v>
      </c>
      <c r="AE1224" s="28" t="s">
        <v>63</v>
      </c>
      <c r="AF1224" s="28">
        <v>369.82758620689657</v>
      </c>
      <c r="AG1224" s="28">
        <v>429</v>
      </c>
      <c r="AI1224" s="63">
        <v>44937</v>
      </c>
      <c r="AJ1224" s="73">
        <v>46043</v>
      </c>
      <c r="AK12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24" s="30"/>
      <c r="AN1224" s="20" t="s">
        <v>99</v>
      </c>
      <c r="AP1224" s="20" t="s">
        <v>84</v>
      </c>
      <c r="AQ1224" s="20" t="s">
        <v>100</v>
      </c>
    </row>
    <row r="1225" spans="1:43" ht="16">
      <c r="A1225" s="20">
        <v>8120297128</v>
      </c>
      <c r="B1225" s="21">
        <v>1038463</v>
      </c>
      <c r="C1225" s="20" t="s">
        <v>5507</v>
      </c>
      <c r="D1225" s="20" t="s">
        <v>187</v>
      </c>
      <c r="E1225" s="20" t="s">
        <v>657</v>
      </c>
      <c r="F1225" s="20" t="s">
        <v>5508</v>
      </c>
      <c r="G1225" s="20" t="s">
        <v>5508</v>
      </c>
      <c r="H1225" s="20" t="s">
        <v>5437</v>
      </c>
      <c r="I1225" s="20" t="s">
        <v>5508</v>
      </c>
      <c r="J1225" s="32" t="s">
        <v>5509</v>
      </c>
      <c r="K1225" s="32" t="s">
        <v>5509</v>
      </c>
      <c r="L1225" s="23" t="s">
        <v>92</v>
      </c>
      <c r="M1225" s="24" t="s">
        <v>7738</v>
      </c>
      <c r="N1225" s="23">
        <v>18848063</v>
      </c>
      <c r="O1225" s="25" t="s">
        <v>74</v>
      </c>
      <c r="P1225" s="25" t="s">
        <v>53</v>
      </c>
      <c r="Q1225" s="20" t="s">
        <v>5510</v>
      </c>
      <c r="R1225" s="20">
        <v>45142656</v>
      </c>
      <c r="S1225" s="25" t="s">
        <v>55</v>
      </c>
      <c r="T1225" s="26" t="s">
        <v>56</v>
      </c>
      <c r="U1225" s="23">
        <v>860900062238811</v>
      </c>
      <c r="V1225" s="27" t="s">
        <v>57</v>
      </c>
      <c r="W1225" s="20" t="s">
        <v>58</v>
      </c>
      <c r="X1225" s="20" t="s">
        <v>59</v>
      </c>
      <c r="Y1225" s="20" t="s">
        <v>59</v>
      </c>
      <c r="Z1225" s="20" t="s">
        <v>60</v>
      </c>
      <c r="AA1225" s="20" t="s">
        <v>61</v>
      </c>
      <c r="AB1225" s="20" t="s">
        <v>62</v>
      </c>
      <c r="AC1225" s="28">
        <v>197.41</v>
      </c>
      <c r="AD1225" s="28">
        <f>SUM(BASE[[#This Row],[MONTO DE RENTA ]]*1.16)</f>
        <v>228.99559999999997</v>
      </c>
      <c r="AE1225" s="28" t="s">
        <v>63</v>
      </c>
      <c r="AF1225" s="28">
        <v>369.82758620689657</v>
      </c>
      <c r="AG1225" s="28">
        <v>429</v>
      </c>
      <c r="AH1225" s="22" t="s">
        <v>64</v>
      </c>
      <c r="AI1225" s="29">
        <v>45703</v>
      </c>
      <c r="AJ1225" s="29">
        <v>46433</v>
      </c>
      <c r="AK12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5" s="30"/>
      <c r="AN1225" s="20" t="s">
        <v>65</v>
      </c>
      <c r="AP1225" s="20" t="s">
        <v>66</v>
      </c>
    </row>
    <row r="1226" spans="1:43" ht="16">
      <c r="A1226" s="20">
        <v>8119166759</v>
      </c>
      <c r="B1226" s="21">
        <v>1048613</v>
      </c>
      <c r="C1226" s="20" t="s">
        <v>769</v>
      </c>
      <c r="D1226" s="20" t="s">
        <v>2234</v>
      </c>
      <c r="E1226" s="20" t="s">
        <v>461</v>
      </c>
      <c r="F1226" s="20" t="s">
        <v>223</v>
      </c>
      <c r="G1226" s="20" t="s">
        <v>223</v>
      </c>
      <c r="H1226" s="20" t="s">
        <v>155</v>
      </c>
      <c r="I1226" s="20" t="s">
        <v>223</v>
      </c>
      <c r="J1226" s="22" t="s">
        <v>5511</v>
      </c>
      <c r="K1226" s="22" t="s">
        <v>5511</v>
      </c>
      <c r="L1226" s="23" t="s">
        <v>92</v>
      </c>
      <c r="M1226" s="24" t="s">
        <v>7738</v>
      </c>
      <c r="N1226" s="23">
        <v>18848003</v>
      </c>
      <c r="O1226" s="25" t="s">
        <v>74</v>
      </c>
      <c r="P1226" s="25" t="s">
        <v>53</v>
      </c>
      <c r="Q1226" s="20" t="s">
        <v>5512</v>
      </c>
      <c r="R1226" s="20">
        <v>43163609</v>
      </c>
      <c r="S1226" s="25" t="s">
        <v>5513</v>
      </c>
      <c r="T1226" s="26" t="s">
        <v>57</v>
      </c>
      <c r="U1226" s="23">
        <v>860900062255344</v>
      </c>
      <c r="V1226" s="27" t="s">
        <v>57</v>
      </c>
      <c r="W1226" s="20" t="s">
        <v>58</v>
      </c>
      <c r="X1226" s="20" t="s">
        <v>59</v>
      </c>
      <c r="Y1226" s="20" t="s">
        <v>59</v>
      </c>
      <c r="Z1226" s="20" t="s">
        <v>131</v>
      </c>
      <c r="AA1226" s="20" t="s">
        <v>132</v>
      </c>
      <c r="AB1226" s="20" t="s">
        <v>96</v>
      </c>
      <c r="AC1226" s="28">
        <v>369.83</v>
      </c>
      <c r="AD1226" s="28">
        <f>SUM(BASE[[#This Row],[MONTO DE RENTA ]]*1.16)</f>
        <v>429.00279999999998</v>
      </c>
      <c r="AE1226" s="28" t="s">
        <v>63</v>
      </c>
      <c r="AF1226" s="28">
        <v>369.82758620689657</v>
      </c>
      <c r="AG1226" s="28">
        <v>429</v>
      </c>
      <c r="AH1226" s="22" t="s">
        <v>64</v>
      </c>
      <c r="AI1226" s="63">
        <v>45703</v>
      </c>
      <c r="AJ1226" s="63">
        <v>46433</v>
      </c>
      <c r="AK12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6" s="30"/>
      <c r="AN1226" s="20" t="s">
        <v>65</v>
      </c>
      <c r="AP1226" s="20" t="s">
        <v>84</v>
      </c>
    </row>
    <row r="1227" spans="1:43" ht="16">
      <c r="A1227" s="20">
        <v>8135515307</v>
      </c>
      <c r="B1227" s="49">
        <v>1048080</v>
      </c>
      <c r="C1227" s="20" t="s">
        <v>5514</v>
      </c>
      <c r="D1227" s="20" t="s">
        <v>657</v>
      </c>
      <c r="E1227" s="20" t="s">
        <v>614</v>
      </c>
      <c r="F1227" s="20" t="s">
        <v>5515</v>
      </c>
      <c r="G1227" s="20" t="s">
        <v>5515</v>
      </c>
      <c r="H1227" s="20" t="s">
        <v>231</v>
      </c>
      <c r="I1227" s="20" t="s">
        <v>5515</v>
      </c>
      <c r="J1227" s="32" t="s">
        <v>5516</v>
      </c>
      <c r="K1227" s="32" t="s">
        <v>5517</v>
      </c>
      <c r="L1227" s="23" t="s">
        <v>92</v>
      </c>
      <c r="M1227" s="24" t="s">
        <v>7738</v>
      </c>
      <c r="N1227" s="23">
        <v>18848062</v>
      </c>
      <c r="O1227" s="25" t="s">
        <v>74</v>
      </c>
      <c r="P1227" s="25" t="s">
        <v>53</v>
      </c>
      <c r="Q1227" s="20" t="s">
        <v>5518</v>
      </c>
      <c r="R1227" s="20">
        <v>44918933</v>
      </c>
      <c r="S1227" s="25" t="s">
        <v>55</v>
      </c>
      <c r="T1227" s="26" t="s">
        <v>56</v>
      </c>
      <c r="U1227" s="23">
        <v>353970262598581</v>
      </c>
      <c r="V1227" s="27" t="s">
        <v>78</v>
      </c>
      <c r="W1227" s="20" t="s">
        <v>95</v>
      </c>
      <c r="X1227" s="20" t="s">
        <v>95</v>
      </c>
      <c r="Y1227" s="20" t="s">
        <v>95</v>
      </c>
      <c r="Z1227" s="20" t="s">
        <v>60</v>
      </c>
      <c r="AA1227" s="20" t="s">
        <v>61</v>
      </c>
      <c r="AB1227" s="20" t="s">
        <v>96</v>
      </c>
      <c r="AC1227" s="28">
        <v>369.83</v>
      </c>
      <c r="AD1227" s="28">
        <f>SUM(BASE[[#This Row],[MONTO DE RENTA ]]*1.16)</f>
        <v>429.00279999999998</v>
      </c>
      <c r="AE1227" s="28" t="s">
        <v>83</v>
      </c>
      <c r="AF1227" s="28">
        <v>559.48275862068965</v>
      </c>
      <c r="AG1227" s="28">
        <v>649</v>
      </c>
      <c r="AI1227" s="63">
        <v>44937</v>
      </c>
      <c r="AJ1227" s="73">
        <v>46043</v>
      </c>
      <c r="AK122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27" s="30"/>
      <c r="AN1227" s="20" t="s">
        <v>99</v>
      </c>
      <c r="AP1227" s="20" t="s">
        <v>66</v>
      </c>
      <c r="AQ1227" s="20" t="s">
        <v>100</v>
      </c>
    </row>
    <row r="1228" spans="1:43" ht="16">
      <c r="A1228" s="20">
        <v>8113219955</v>
      </c>
      <c r="B1228" s="21">
        <v>1039491</v>
      </c>
      <c r="C1228" s="20" t="s">
        <v>5514</v>
      </c>
      <c r="D1228" s="20" t="s">
        <v>5519</v>
      </c>
      <c r="E1228" s="20" t="s">
        <v>405</v>
      </c>
      <c r="F1228" s="20" t="s">
        <v>5359</v>
      </c>
      <c r="G1228" s="20" t="s">
        <v>5359</v>
      </c>
      <c r="H1228" s="20" t="s">
        <v>231</v>
      </c>
      <c r="I1228" s="20" t="s">
        <v>5359</v>
      </c>
      <c r="J1228" s="32" t="s">
        <v>5520</v>
      </c>
      <c r="K1228" s="32" t="s">
        <v>5521</v>
      </c>
      <c r="L1228" s="23" t="s">
        <v>92</v>
      </c>
      <c r="M1228" s="24" t="s">
        <v>7738</v>
      </c>
      <c r="N1228" s="23">
        <v>18848062</v>
      </c>
      <c r="O1228" s="25" t="s">
        <v>74</v>
      </c>
      <c r="P1228" s="25" t="s">
        <v>53</v>
      </c>
      <c r="Q1228" s="20" t="s">
        <v>5522</v>
      </c>
      <c r="R1228" s="20">
        <v>43056426</v>
      </c>
      <c r="S1228" s="25" t="s">
        <v>5523</v>
      </c>
      <c r="T1228" s="26" t="s">
        <v>57</v>
      </c>
      <c r="U1228" s="23">
        <v>860900062337761</v>
      </c>
      <c r="V1228" s="27" t="s">
        <v>57</v>
      </c>
      <c r="W1228" s="20" t="s">
        <v>58</v>
      </c>
      <c r="X1228" s="20" t="s">
        <v>59</v>
      </c>
      <c r="Y1228" s="20" t="s">
        <v>59</v>
      </c>
      <c r="Z1228" s="20" t="s">
        <v>167</v>
      </c>
      <c r="AA1228" s="20" t="s">
        <v>168</v>
      </c>
      <c r="AB1228" s="20" t="s">
        <v>96</v>
      </c>
      <c r="AC1228" s="28">
        <v>369.83</v>
      </c>
      <c r="AD1228" s="28">
        <f>SUM(BASE[[#This Row],[MONTO DE RENTA ]]*1.16)</f>
        <v>429.00279999999998</v>
      </c>
      <c r="AE1228" s="28" t="s">
        <v>63</v>
      </c>
      <c r="AF1228" s="28">
        <v>369.82758620689657</v>
      </c>
      <c r="AG1228" s="28">
        <v>429</v>
      </c>
      <c r="AH1228" s="22" t="s">
        <v>64</v>
      </c>
      <c r="AI1228" s="29">
        <v>45703</v>
      </c>
      <c r="AJ1228" s="29">
        <v>46433</v>
      </c>
      <c r="AK12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28" s="30"/>
      <c r="AN1228" s="20" t="s">
        <v>65</v>
      </c>
      <c r="AP1228" s="20" t="s">
        <v>84</v>
      </c>
    </row>
    <row r="1229" spans="1:43" ht="16">
      <c r="A1229" s="34">
        <v>8110110443</v>
      </c>
      <c r="B1229" s="35">
        <v>1022257</v>
      </c>
      <c r="C1229" s="34" t="s">
        <v>769</v>
      </c>
      <c r="D1229" s="34" t="s">
        <v>358</v>
      </c>
      <c r="E1229" s="34" t="s">
        <v>45</v>
      </c>
      <c r="F1229" s="34" t="s">
        <v>5524</v>
      </c>
      <c r="G1229" s="34" t="s">
        <v>5524</v>
      </c>
      <c r="H1229" s="34" t="s">
        <v>208</v>
      </c>
      <c r="I1229" s="34" t="s">
        <v>5524</v>
      </c>
      <c r="J1229" s="37" t="s">
        <v>5525</v>
      </c>
      <c r="K1229" s="37" t="s">
        <v>5525</v>
      </c>
      <c r="L1229" s="38" t="s">
        <v>92</v>
      </c>
      <c r="M1229" s="77" t="s">
        <v>7738</v>
      </c>
      <c r="N1229" s="38">
        <v>18848051</v>
      </c>
      <c r="O1229" s="110" t="s">
        <v>74</v>
      </c>
      <c r="P1229" s="25" t="s">
        <v>53</v>
      </c>
      <c r="Q1229" s="34" t="s">
        <v>5526</v>
      </c>
      <c r="R1229" s="34">
        <v>45542955</v>
      </c>
      <c r="S1229" s="110" t="s">
        <v>55</v>
      </c>
      <c r="T1229" s="39" t="s">
        <v>56</v>
      </c>
      <c r="U1229" s="38">
        <v>860900062323597</v>
      </c>
      <c r="V1229" s="60" t="s">
        <v>57</v>
      </c>
      <c r="W1229" s="34" t="s">
        <v>58</v>
      </c>
      <c r="X1229" s="20" t="s">
        <v>59</v>
      </c>
      <c r="Y1229" s="20" t="s">
        <v>59</v>
      </c>
      <c r="Z1229" s="20" t="s">
        <v>5527</v>
      </c>
      <c r="AA1229" s="20" t="s">
        <v>5528</v>
      </c>
      <c r="AB1229" s="34" t="s">
        <v>244</v>
      </c>
      <c r="AC1229" s="111">
        <v>473.28</v>
      </c>
      <c r="AD1229" s="111">
        <f>SUM(BASE[[#This Row],[MONTO DE RENTA ]]*1.16)</f>
        <v>549.00479999999993</v>
      </c>
      <c r="AE1229" s="28" t="s">
        <v>63</v>
      </c>
      <c r="AF1229" s="28">
        <v>369.82758620689657</v>
      </c>
      <c r="AG1229" s="28">
        <v>429</v>
      </c>
      <c r="AH1229" s="36" t="s">
        <v>64</v>
      </c>
      <c r="AI1229" s="84">
        <v>45323</v>
      </c>
      <c r="AJ1229" s="84">
        <v>46753</v>
      </c>
      <c r="AK1229" s="42">
        <f ca="1">IFERROR(IF(BASE[[#This Row],[FECHA DE RENOVACION ]]&gt;TODAY(), DATEDIF(TODAY(),BASE[[#This Row],[FECHA DE RENOVACION ]],"M"), -DATEDIF(BASE[[#This Row],[FECHA DE RENOVACION ]],TODAY(),"M")), "Sin fecha")</f>
        <v>21</v>
      </c>
      <c r="AL1229" s="34"/>
      <c r="AM1229" s="42"/>
      <c r="AN1229" s="20" t="s">
        <v>65</v>
      </c>
      <c r="AP1229" s="20" t="s">
        <v>118</v>
      </c>
    </row>
    <row r="1230" spans="1:43" ht="16">
      <c r="A1230" s="20">
        <v>8135515226</v>
      </c>
      <c r="B1230" s="21">
        <v>1051886</v>
      </c>
      <c r="C1230" s="20" t="s">
        <v>5529</v>
      </c>
      <c r="D1230" s="20" t="s">
        <v>377</v>
      </c>
      <c r="E1230" s="20" t="s">
        <v>5530</v>
      </c>
      <c r="F1230" s="20" t="s">
        <v>5531</v>
      </c>
      <c r="G1230" s="20" t="s">
        <v>5531</v>
      </c>
      <c r="H1230" s="20" t="s">
        <v>199</v>
      </c>
      <c r="I1230" s="20" t="s">
        <v>5531</v>
      </c>
      <c r="J1230" s="22" t="s">
        <v>5532</v>
      </c>
      <c r="K1230" s="22" t="s">
        <v>5532</v>
      </c>
      <c r="L1230" s="23" t="s">
        <v>92</v>
      </c>
      <c r="M1230" s="24" t="s">
        <v>7738</v>
      </c>
      <c r="N1230" s="23">
        <v>18848097</v>
      </c>
      <c r="O1230" s="25" t="s">
        <v>74</v>
      </c>
      <c r="P1230" s="25" t="s">
        <v>53</v>
      </c>
      <c r="Q1230" s="20" t="s">
        <v>5533</v>
      </c>
      <c r="R1230" s="20">
        <v>44918845</v>
      </c>
      <c r="S1230" s="25" t="s">
        <v>5534</v>
      </c>
      <c r="T1230" s="26" t="s">
        <v>57</v>
      </c>
      <c r="U1230" s="23">
        <v>860900062323597</v>
      </c>
      <c r="V1230" s="45" t="s">
        <v>183</v>
      </c>
      <c r="W1230" s="20" t="s">
        <v>58</v>
      </c>
      <c r="X1230" s="20" t="s">
        <v>59</v>
      </c>
      <c r="Y1230" s="20" t="s">
        <v>59</v>
      </c>
      <c r="Z1230" s="20" t="s">
        <v>167</v>
      </c>
      <c r="AA1230" s="20" t="s">
        <v>168</v>
      </c>
      <c r="AB1230" s="20" t="s">
        <v>96</v>
      </c>
      <c r="AC1230" s="28">
        <v>369.83</v>
      </c>
      <c r="AD1230" s="28">
        <f>SUM(BASE[[#This Row],[MONTO DE RENTA ]]*1.16)</f>
        <v>429.00279999999998</v>
      </c>
      <c r="AE1230" s="28" t="s">
        <v>63</v>
      </c>
      <c r="AF1230" s="28">
        <v>369.82758620689657</v>
      </c>
      <c r="AG1230" s="28">
        <v>429</v>
      </c>
      <c r="AI1230" s="63">
        <v>45213</v>
      </c>
      <c r="AJ1230" s="63">
        <v>45944</v>
      </c>
      <c r="AK1230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1230" s="30"/>
      <c r="AN1230" s="20" t="s">
        <v>99</v>
      </c>
      <c r="AP1230" s="20" t="s">
        <v>84</v>
      </c>
      <c r="AQ1230" s="20" t="s">
        <v>100</v>
      </c>
    </row>
    <row r="1231" spans="1:43" ht="16">
      <c r="A1231" s="20">
        <v>8111990796</v>
      </c>
      <c r="B1231" s="21">
        <v>6511</v>
      </c>
      <c r="C1231" s="20" t="s">
        <v>5535</v>
      </c>
      <c r="D1231" s="20" t="s">
        <v>5536</v>
      </c>
      <c r="E1231" s="20" t="s">
        <v>3521</v>
      </c>
      <c r="F1231" s="20" t="s">
        <v>5537</v>
      </c>
      <c r="G1231" s="20" t="s">
        <v>5537</v>
      </c>
      <c r="H1231" s="20" t="s">
        <v>199</v>
      </c>
      <c r="I1231" s="20" t="s">
        <v>5537</v>
      </c>
      <c r="J1231" s="22" t="s">
        <v>5538</v>
      </c>
      <c r="K1231" s="22" t="s">
        <v>5538</v>
      </c>
      <c r="L1231" s="23" t="s">
        <v>92</v>
      </c>
      <c r="M1231" s="24" t="s">
        <v>7738</v>
      </c>
      <c r="N1231" s="23">
        <v>18848076</v>
      </c>
      <c r="O1231" s="25" t="s">
        <v>74</v>
      </c>
      <c r="P1231" s="25" t="s">
        <v>53</v>
      </c>
      <c r="Q1231" s="20" t="s">
        <v>5539</v>
      </c>
      <c r="R1231" s="20">
        <v>43056250</v>
      </c>
      <c r="S1231" s="25" t="s">
        <v>5540</v>
      </c>
      <c r="T1231" s="26" t="s">
        <v>77</v>
      </c>
      <c r="U1231" s="23">
        <v>358366320272373</v>
      </c>
      <c r="V1231" s="27" t="s">
        <v>78</v>
      </c>
      <c r="W1231" s="20" t="s">
        <v>79</v>
      </c>
      <c r="X1231" s="20" t="s">
        <v>79</v>
      </c>
      <c r="Y1231" s="20" t="s">
        <v>79</v>
      </c>
      <c r="Z1231" s="20" t="s">
        <v>167</v>
      </c>
      <c r="AA1231" s="20" t="s">
        <v>168</v>
      </c>
      <c r="AB1231" s="20" t="s">
        <v>82</v>
      </c>
      <c r="AC1231" s="28">
        <v>559.48</v>
      </c>
      <c r="AD1231" s="28">
        <f>SUM(BASE[[#This Row],[MONTO DE RENTA ]]*1.16)</f>
        <v>648.99680000000001</v>
      </c>
      <c r="AE1231" s="28" t="s">
        <v>83</v>
      </c>
      <c r="AF1231" s="28">
        <v>559.48275862068965</v>
      </c>
      <c r="AG1231" s="28">
        <v>649</v>
      </c>
      <c r="AH1231" s="22" t="s">
        <v>64</v>
      </c>
      <c r="AI1231" s="63">
        <v>45703</v>
      </c>
      <c r="AJ1231" s="63">
        <v>46433</v>
      </c>
      <c r="AK12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31" s="30"/>
      <c r="AN1231" s="20" t="s">
        <v>65</v>
      </c>
      <c r="AP1231" s="20" t="s">
        <v>84</v>
      </c>
    </row>
    <row r="1232" spans="1:43" ht="16">
      <c r="A1232" s="20">
        <v>8180292244</v>
      </c>
      <c r="B1232" s="49">
        <v>1061740</v>
      </c>
      <c r="C1232" s="20" t="s">
        <v>5541</v>
      </c>
      <c r="D1232" s="20" t="s">
        <v>1000</v>
      </c>
      <c r="E1232" s="20" t="s">
        <v>1000</v>
      </c>
      <c r="F1232" s="20" t="s">
        <v>223</v>
      </c>
      <c r="G1232" s="20" t="s">
        <v>223</v>
      </c>
      <c r="H1232" s="20" t="s">
        <v>155</v>
      </c>
      <c r="I1232" s="20" t="s">
        <v>223</v>
      </c>
      <c r="J1232" s="54" t="s">
        <v>5542</v>
      </c>
      <c r="K1232" s="54" t="s">
        <v>5542</v>
      </c>
      <c r="L1232" s="23" t="s">
        <v>92</v>
      </c>
      <c r="M1232" s="24" t="s">
        <v>7738</v>
      </c>
      <c r="N1232" s="23">
        <v>18848013</v>
      </c>
      <c r="O1232" s="25" t="s">
        <v>74</v>
      </c>
      <c r="P1232" s="25" t="s">
        <v>53</v>
      </c>
      <c r="Q1232" s="20" t="s">
        <v>5543</v>
      </c>
      <c r="R1232" s="20">
        <v>43163626</v>
      </c>
      <c r="S1232" s="25" t="s">
        <v>55</v>
      </c>
      <c r="T1232" s="65" t="s">
        <v>56</v>
      </c>
      <c r="U1232" s="23">
        <v>865356065729832</v>
      </c>
      <c r="V1232" s="27" t="s">
        <v>183</v>
      </c>
      <c r="W1232" s="20" t="s">
        <v>129</v>
      </c>
      <c r="X1232" s="20" t="s">
        <v>130</v>
      </c>
      <c r="Y1232" s="20" t="s">
        <v>130</v>
      </c>
      <c r="Z1232" s="20" t="s">
        <v>60</v>
      </c>
      <c r="AA1232" s="20" t="s">
        <v>61</v>
      </c>
      <c r="AB1232" s="20" t="s">
        <v>96</v>
      </c>
      <c r="AC1232" s="28">
        <v>369.83</v>
      </c>
      <c r="AD1232" s="28">
        <f>SUM(BASE[[#This Row],[MONTO DE RENTA ]]*1.16)</f>
        <v>429.00279999999998</v>
      </c>
      <c r="AE1232" s="28" t="s">
        <v>63</v>
      </c>
      <c r="AF1232" s="28">
        <v>369.82758620689657</v>
      </c>
      <c r="AG1232" s="28">
        <v>429</v>
      </c>
      <c r="AH1232" s="22" t="s">
        <v>98</v>
      </c>
      <c r="AI1232" s="63">
        <v>45350</v>
      </c>
      <c r="AJ1232" s="63">
        <v>46040</v>
      </c>
      <c r="AK123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32" s="30"/>
      <c r="AN1232" s="20" t="s">
        <v>99</v>
      </c>
      <c r="AP1232" s="20" t="s">
        <v>84</v>
      </c>
      <c r="AQ1232" s="20" t="s">
        <v>100</v>
      </c>
    </row>
    <row r="1233" spans="1:43" s="87" customFormat="1" ht="16">
      <c r="A1233" s="87">
        <v>3316011187</v>
      </c>
      <c r="B1233" s="235">
        <v>360371</v>
      </c>
      <c r="C1233" s="87" t="s">
        <v>5544</v>
      </c>
      <c r="D1233" s="87" t="s">
        <v>186</v>
      </c>
      <c r="E1233" s="87" t="s">
        <v>657</v>
      </c>
      <c r="F1233" s="87" t="s">
        <v>5443</v>
      </c>
      <c r="G1233" s="87" t="s">
        <v>5443</v>
      </c>
      <c r="H1233" s="87" t="s">
        <v>5320</v>
      </c>
      <c r="I1233" s="87" t="s">
        <v>5443</v>
      </c>
      <c r="J1233" s="217" t="s">
        <v>5545</v>
      </c>
      <c r="K1233" s="217" t="s">
        <v>5546</v>
      </c>
      <c r="L1233" s="218" t="s">
        <v>92</v>
      </c>
      <c r="M1233" s="219" t="s">
        <v>7738</v>
      </c>
      <c r="N1233" s="218">
        <v>18848067</v>
      </c>
      <c r="O1233" s="220" t="s">
        <v>677</v>
      </c>
      <c r="P1233" s="25" t="s">
        <v>3857</v>
      </c>
      <c r="Q1233" s="87" t="s">
        <v>5547</v>
      </c>
      <c r="R1233" s="87">
        <v>53375186</v>
      </c>
      <c r="S1233" s="220" t="s">
        <v>55</v>
      </c>
      <c r="T1233" s="221" t="s">
        <v>56</v>
      </c>
      <c r="U1233" s="218">
        <v>860982060886411</v>
      </c>
      <c r="V1233" s="222" t="s">
        <v>183</v>
      </c>
      <c r="W1233" s="87" t="s">
        <v>129</v>
      </c>
      <c r="X1233" s="20" t="s">
        <v>130</v>
      </c>
      <c r="Y1233" s="20" t="s">
        <v>130</v>
      </c>
      <c r="Z1233" s="87" t="s">
        <v>60</v>
      </c>
      <c r="AA1233" s="87" t="s">
        <v>61</v>
      </c>
      <c r="AB1233" s="87" t="s">
        <v>96</v>
      </c>
      <c r="AC1233" s="223">
        <v>369.83</v>
      </c>
      <c r="AD1233" s="223">
        <f>SUM(BASE[[#This Row],[MONTO DE RENTA ]]*1.16)</f>
        <v>429.00279999999998</v>
      </c>
      <c r="AE1233" s="223" t="s">
        <v>63</v>
      </c>
      <c r="AF1233" s="223">
        <v>369.82758620689657</v>
      </c>
      <c r="AG1233" s="223">
        <v>429</v>
      </c>
      <c r="AH1233" s="217"/>
      <c r="AI1233" s="232">
        <v>44937</v>
      </c>
      <c r="AJ1233" s="256">
        <v>46043</v>
      </c>
      <c r="AK1233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233" s="225">
        <v>147258</v>
      </c>
      <c r="AN1233" s="87" t="s">
        <v>99</v>
      </c>
      <c r="AP1233" s="87" t="s">
        <v>84</v>
      </c>
      <c r="AQ1233" s="87" t="s">
        <v>100</v>
      </c>
    </row>
    <row r="1234" spans="1:43" ht="16">
      <c r="A1234" s="20">
        <v>8118023188</v>
      </c>
      <c r="B1234" s="21">
        <v>6742</v>
      </c>
      <c r="C1234" s="20" t="s">
        <v>5548</v>
      </c>
      <c r="D1234" s="20" t="s">
        <v>461</v>
      </c>
      <c r="E1234" s="20" t="s">
        <v>756</v>
      </c>
      <c r="F1234" s="20" t="s">
        <v>5549</v>
      </c>
      <c r="G1234" s="20" t="s">
        <v>5549</v>
      </c>
      <c r="H1234" s="20" t="s">
        <v>208</v>
      </c>
      <c r="I1234" s="20" t="s">
        <v>5549</v>
      </c>
      <c r="J1234" s="22" t="s">
        <v>5550</v>
      </c>
      <c r="K1234" s="32" t="s">
        <v>5551</v>
      </c>
      <c r="L1234" s="23" t="s">
        <v>92</v>
      </c>
      <c r="M1234" s="24" t="s">
        <v>7738</v>
      </c>
      <c r="N1234" s="23">
        <v>18848052</v>
      </c>
      <c r="O1234" s="25" t="s">
        <v>74</v>
      </c>
      <c r="P1234" s="25" t="s">
        <v>53</v>
      </c>
      <c r="Q1234" s="20" t="s">
        <v>5552</v>
      </c>
      <c r="R1234" s="20">
        <v>43304197</v>
      </c>
      <c r="S1234" s="25" t="s">
        <v>3882</v>
      </c>
      <c r="T1234" s="26" t="s">
        <v>57</v>
      </c>
      <c r="U1234" s="23">
        <v>860900062319850</v>
      </c>
      <c r="V1234" s="27" t="s">
        <v>57</v>
      </c>
      <c r="W1234" s="20" t="s">
        <v>58</v>
      </c>
      <c r="X1234" s="20" t="s">
        <v>59</v>
      </c>
      <c r="Y1234" s="20" t="s">
        <v>59</v>
      </c>
      <c r="Z1234" s="20" t="s">
        <v>131</v>
      </c>
      <c r="AA1234" s="20" t="s">
        <v>132</v>
      </c>
      <c r="AB1234" s="20" t="s">
        <v>96</v>
      </c>
      <c r="AC1234" s="28">
        <v>369.83</v>
      </c>
      <c r="AD1234" s="28">
        <f>SUM(BASE[[#This Row],[MONTO DE RENTA ]]*1.16)</f>
        <v>429.00279999999998</v>
      </c>
      <c r="AE1234" s="28" t="s">
        <v>63</v>
      </c>
      <c r="AF1234" s="28">
        <v>369.82758620689657</v>
      </c>
      <c r="AG1234" s="28">
        <v>429</v>
      </c>
      <c r="AH1234" s="22" t="s">
        <v>448</v>
      </c>
      <c r="AI1234" s="63">
        <v>45988</v>
      </c>
      <c r="AJ1234" s="63">
        <v>46718</v>
      </c>
      <c r="AK1234" s="30">
        <f ca="1">IFERROR(IF(BASE[[#This Row],[FECHA DE RENOVACION ]]&gt;TODAY(), DATEDIF(TODAY(),BASE[[#This Row],[FECHA DE RENOVACION ]],"M"), -DATEDIF(BASE[[#This Row],[FECHA DE RENOVACION ]],TODAY(),"M")), "Sin fecha")</f>
        <v>20</v>
      </c>
      <c r="AL1234" s="20" t="s">
        <v>5553</v>
      </c>
      <c r="AM1234" s="30"/>
      <c r="AN1234" s="20" t="s">
        <v>65</v>
      </c>
      <c r="AP1234" s="20" t="s">
        <v>84</v>
      </c>
    </row>
    <row r="1235" spans="1:43" ht="16">
      <c r="A1235" s="20">
        <v>8120000688</v>
      </c>
      <c r="B1235" s="49">
        <v>1052866</v>
      </c>
      <c r="C1235" s="20" t="s">
        <v>5554</v>
      </c>
      <c r="D1235" s="20" t="s">
        <v>102</v>
      </c>
      <c r="E1235" s="20" t="s">
        <v>863</v>
      </c>
      <c r="F1235" s="20" t="s">
        <v>5555</v>
      </c>
      <c r="G1235" s="20" t="s">
        <v>5555</v>
      </c>
      <c r="H1235" s="20" t="s">
        <v>208</v>
      </c>
      <c r="I1235" s="20" t="s">
        <v>5555</v>
      </c>
      <c r="J1235" s="22" t="s">
        <v>5556</v>
      </c>
      <c r="K1235" s="22" t="s">
        <v>5556</v>
      </c>
      <c r="L1235" s="23" t="s">
        <v>92</v>
      </c>
      <c r="M1235" s="24" t="s">
        <v>7738</v>
      </c>
      <c r="N1235" s="23">
        <v>18848087</v>
      </c>
      <c r="O1235" s="25" t="s">
        <v>74</v>
      </c>
      <c r="P1235" s="25" t="s">
        <v>53</v>
      </c>
      <c r="Q1235" s="20" t="s">
        <v>5557</v>
      </c>
      <c r="R1235" s="20">
        <v>42781936</v>
      </c>
      <c r="S1235" s="25" t="s">
        <v>55</v>
      </c>
      <c r="T1235" s="26" t="s">
        <v>56</v>
      </c>
      <c r="U1235" s="23">
        <v>865356065670903</v>
      </c>
      <c r="V1235" s="27" t="s">
        <v>183</v>
      </c>
      <c r="W1235" s="20" t="s">
        <v>129</v>
      </c>
      <c r="X1235" s="20" t="s">
        <v>130</v>
      </c>
      <c r="Y1235" s="20" t="s">
        <v>130</v>
      </c>
      <c r="Z1235" s="20" t="s">
        <v>60</v>
      </c>
      <c r="AA1235" s="20" t="s">
        <v>61</v>
      </c>
      <c r="AB1235" s="20" t="s">
        <v>96</v>
      </c>
      <c r="AC1235" s="28">
        <v>369.83</v>
      </c>
      <c r="AD1235" s="28">
        <f>SUM(BASE[[#This Row],[MONTO DE RENTA ]]*1.16)</f>
        <v>429.00279999999998</v>
      </c>
      <c r="AE1235" s="28" t="s">
        <v>63</v>
      </c>
      <c r="AF1235" s="28">
        <v>369.82758620689657</v>
      </c>
      <c r="AG1235" s="28">
        <v>429</v>
      </c>
      <c r="AI1235" s="63">
        <v>44937</v>
      </c>
      <c r="AJ1235" s="73">
        <v>46043</v>
      </c>
      <c r="AK123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35" s="30"/>
      <c r="AN1235" s="20" t="s">
        <v>99</v>
      </c>
      <c r="AP1235" s="20" t="s">
        <v>84</v>
      </c>
      <c r="AQ1235" s="20" t="s">
        <v>100</v>
      </c>
    </row>
    <row r="1236" spans="1:43" ht="16">
      <c r="A1236" s="20">
        <v>8135505880</v>
      </c>
      <c r="B1236" s="49">
        <v>1045413</v>
      </c>
      <c r="C1236" s="20" t="s">
        <v>5558</v>
      </c>
      <c r="D1236" s="20" t="s">
        <v>3010</v>
      </c>
      <c r="E1236" s="20" t="s">
        <v>818</v>
      </c>
      <c r="F1236" s="20" t="s">
        <v>5326</v>
      </c>
      <c r="G1236" s="20" t="s">
        <v>5326</v>
      </c>
      <c r="H1236" s="20" t="s">
        <v>155</v>
      </c>
      <c r="I1236" s="20" t="s">
        <v>5326</v>
      </c>
      <c r="J1236" s="54" t="s">
        <v>5559</v>
      </c>
      <c r="K1236" s="54" t="s">
        <v>5559</v>
      </c>
      <c r="L1236" s="23" t="s">
        <v>92</v>
      </c>
      <c r="M1236" s="24" t="s">
        <v>7738</v>
      </c>
      <c r="N1236" s="23">
        <v>18848002</v>
      </c>
      <c r="O1236" s="25" t="s">
        <v>74</v>
      </c>
      <c r="P1236" s="25" t="s">
        <v>53</v>
      </c>
      <c r="Q1236" s="20" t="s">
        <v>5560</v>
      </c>
      <c r="R1236" s="20">
        <v>43920554</v>
      </c>
      <c r="S1236" s="25" t="s">
        <v>55</v>
      </c>
      <c r="T1236" s="65" t="s">
        <v>56</v>
      </c>
      <c r="U1236" s="23">
        <v>865356065671299</v>
      </c>
      <c r="V1236" s="27" t="s">
        <v>183</v>
      </c>
      <c r="W1236" s="20" t="s">
        <v>129</v>
      </c>
      <c r="X1236" s="20" t="s">
        <v>130</v>
      </c>
      <c r="Y1236" s="20" t="s">
        <v>130</v>
      </c>
      <c r="Z1236" s="20" t="s">
        <v>60</v>
      </c>
      <c r="AA1236" s="20" t="s">
        <v>61</v>
      </c>
      <c r="AB1236" s="20" t="s">
        <v>82</v>
      </c>
      <c r="AC1236" s="28">
        <v>559.48</v>
      </c>
      <c r="AD1236" s="28">
        <f>SUM(BASE[[#This Row],[MONTO DE RENTA ]]*1.16)</f>
        <v>648.99680000000001</v>
      </c>
      <c r="AE1236" s="28" t="s">
        <v>83</v>
      </c>
      <c r="AF1236" s="28">
        <v>559.48275862068965</v>
      </c>
      <c r="AG1236" s="28">
        <v>649</v>
      </c>
      <c r="AH1236" s="22" t="s">
        <v>116</v>
      </c>
      <c r="AI1236" s="63">
        <v>45455</v>
      </c>
      <c r="AJ1236" s="63">
        <v>46040</v>
      </c>
      <c r="AK12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36" s="30"/>
      <c r="AN1236" s="20" t="s">
        <v>99</v>
      </c>
      <c r="AP1236" s="20" t="s">
        <v>84</v>
      </c>
      <c r="AQ1236" s="20" t="s">
        <v>100</v>
      </c>
    </row>
    <row r="1237" spans="1:43" ht="16">
      <c r="A1237" s="20">
        <v>8110444092</v>
      </c>
      <c r="B1237" s="21">
        <v>1055450</v>
      </c>
      <c r="C1237" s="20" t="s">
        <v>5561</v>
      </c>
      <c r="D1237" s="20" t="s">
        <v>135</v>
      </c>
      <c r="E1237" s="20" t="s">
        <v>2891</v>
      </c>
      <c r="F1237" s="20" t="s">
        <v>5562</v>
      </c>
      <c r="G1237" s="20" t="s">
        <v>5562</v>
      </c>
      <c r="H1237" s="20" t="s">
        <v>5437</v>
      </c>
      <c r="I1237" s="20" t="s">
        <v>5562</v>
      </c>
      <c r="J1237" s="54" t="s">
        <v>5563</v>
      </c>
      <c r="K1237" s="54" t="s">
        <v>5563</v>
      </c>
      <c r="L1237" s="23" t="s">
        <v>92</v>
      </c>
      <c r="M1237" s="24" t="s">
        <v>7738</v>
      </c>
      <c r="N1237" s="23">
        <v>18848063</v>
      </c>
      <c r="O1237" s="25" t="s">
        <v>74</v>
      </c>
      <c r="P1237" s="25" t="s">
        <v>53</v>
      </c>
      <c r="Q1237" s="20" t="s">
        <v>5564</v>
      </c>
      <c r="R1237" s="20">
        <v>43149875</v>
      </c>
      <c r="S1237" s="25" t="s">
        <v>5565</v>
      </c>
      <c r="T1237" s="65" t="s">
        <v>57</v>
      </c>
      <c r="U1237" s="23">
        <v>865356065728412</v>
      </c>
      <c r="V1237" s="27" t="s">
        <v>183</v>
      </c>
      <c r="W1237" s="20" t="s">
        <v>129</v>
      </c>
      <c r="X1237" s="20" t="s">
        <v>130</v>
      </c>
      <c r="Y1237" s="20" t="s">
        <v>130</v>
      </c>
      <c r="Z1237" s="20" t="s">
        <v>167</v>
      </c>
      <c r="AA1237" s="20" t="s">
        <v>168</v>
      </c>
      <c r="AB1237" s="20" t="s">
        <v>96</v>
      </c>
      <c r="AC1237" s="28">
        <v>369.83</v>
      </c>
      <c r="AD1237" s="28">
        <f>SUM(BASE[[#This Row],[MONTO DE RENTA ]]*1.16)</f>
        <v>429.00279999999998</v>
      </c>
      <c r="AE1237" s="28" t="s">
        <v>63</v>
      </c>
      <c r="AF1237" s="28">
        <v>369.82758620689657</v>
      </c>
      <c r="AG1237" s="28">
        <v>429</v>
      </c>
      <c r="AH1237" s="22" t="s">
        <v>116</v>
      </c>
      <c r="AI1237" s="63">
        <v>45476</v>
      </c>
      <c r="AJ1237" s="63">
        <v>46040</v>
      </c>
      <c r="AK12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37" s="30"/>
      <c r="AN1237" s="20" t="s">
        <v>99</v>
      </c>
      <c r="AP1237" s="20" t="s">
        <v>84</v>
      </c>
      <c r="AQ1237" s="20" t="s">
        <v>100</v>
      </c>
    </row>
    <row r="1238" spans="1:43" ht="19.5" customHeight="1">
      <c r="A1238" s="20">
        <v>8120025208</v>
      </c>
      <c r="B1238" s="21">
        <v>1018506</v>
      </c>
      <c r="C1238" s="20" t="s">
        <v>5566</v>
      </c>
      <c r="D1238" s="20" t="s">
        <v>340</v>
      </c>
      <c r="E1238" s="20" t="s">
        <v>376</v>
      </c>
      <c r="F1238" s="20" t="s">
        <v>5567</v>
      </c>
      <c r="G1238" s="20" t="s">
        <v>5567</v>
      </c>
      <c r="H1238" s="20" t="s">
        <v>5381</v>
      </c>
      <c r="I1238" s="20" t="s">
        <v>5567</v>
      </c>
      <c r="J1238" s="22" t="s">
        <v>5568</v>
      </c>
      <c r="K1238" s="32" t="s">
        <v>5569</v>
      </c>
      <c r="L1238" s="23" t="s">
        <v>92</v>
      </c>
      <c r="M1238" s="24" t="s">
        <v>7738</v>
      </c>
      <c r="N1238" s="23">
        <v>18848074</v>
      </c>
      <c r="O1238" s="25" t="s">
        <v>74</v>
      </c>
      <c r="P1238" s="25" t="s">
        <v>53</v>
      </c>
      <c r="Q1238" s="20" t="s">
        <v>5570</v>
      </c>
      <c r="R1238" s="20">
        <v>45017360</v>
      </c>
      <c r="S1238" s="25" t="s">
        <v>5571</v>
      </c>
      <c r="T1238" s="26" t="s">
        <v>57</v>
      </c>
      <c r="U1238" s="23">
        <v>351307358378838</v>
      </c>
      <c r="V1238" s="27" t="s">
        <v>78</v>
      </c>
      <c r="W1238" s="20" t="s">
        <v>79</v>
      </c>
      <c r="X1238" s="20" t="s">
        <v>79</v>
      </c>
      <c r="Y1238" s="20" t="s">
        <v>79</v>
      </c>
      <c r="Z1238" s="20" t="s">
        <v>131</v>
      </c>
      <c r="AA1238" s="20" t="s">
        <v>132</v>
      </c>
      <c r="AB1238" s="20" t="s">
        <v>96</v>
      </c>
      <c r="AC1238" s="28">
        <v>369.83</v>
      </c>
      <c r="AD1238" s="28">
        <f>SUM(BASE[[#This Row],[MONTO DE RENTA ]]*1.16)</f>
        <v>429.00279999999998</v>
      </c>
      <c r="AE1238" s="28" t="s">
        <v>83</v>
      </c>
      <c r="AF1238" s="28">
        <v>559.48275862068965</v>
      </c>
      <c r="AG1238" s="28">
        <v>649</v>
      </c>
      <c r="AH1238" s="22" t="s">
        <v>64</v>
      </c>
      <c r="AI1238" s="63">
        <v>45703</v>
      </c>
      <c r="AJ1238" s="63">
        <v>46433</v>
      </c>
      <c r="AK12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38" s="30"/>
      <c r="AN1238" s="20" t="s">
        <v>65</v>
      </c>
      <c r="AO1238" s="20" t="s">
        <v>169</v>
      </c>
      <c r="AP1238" s="20" t="s">
        <v>66</v>
      </c>
      <c r="AQ1238" s="20" t="s">
        <v>100</v>
      </c>
    </row>
    <row r="1239" spans="1:43" ht="16">
      <c r="A1239" s="20">
        <v>6562384100</v>
      </c>
      <c r="B1239" s="21">
        <v>110159</v>
      </c>
      <c r="C1239" s="20" t="s">
        <v>5572</v>
      </c>
      <c r="D1239" s="20" t="s">
        <v>5573</v>
      </c>
      <c r="E1239" s="20" t="s">
        <v>5574</v>
      </c>
      <c r="F1239" s="20" t="s">
        <v>5288</v>
      </c>
      <c r="G1239" s="20" t="s">
        <v>5288</v>
      </c>
      <c r="H1239" s="20" t="s">
        <v>5289</v>
      </c>
      <c r="I1239" s="20" t="s">
        <v>5288</v>
      </c>
      <c r="J1239" s="22" t="s">
        <v>5575</v>
      </c>
      <c r="K1239" s="32" t="s">
        <v>5576</v>
      </c>
      <c r="L1239" s="23" t="s">
        <v>92</v>
      </c>
      <c r="M1239" s="24" t="s">
        <v>7738</v>
      </c>
      <c r="N1239" s="23">
        <v>18848028</v>
      </c>
      <c r="O1239" s="25" t="s">
        <v>362</v>
      </c>
      <c r="P1239" s="25" t="s">
        <v>53</v>
      </c>
      <c r="Q1239" s="20" t="s">
        <v>5577</v>
      </c>
      <c r="R1239" s="20">
        <v>31872071</v>
      </c>
      <c r="S1239" s="25" t="s">
        <v>5578</v>
      </c>
      <c r="T1239" s="26" t="s">
        <v>57</v>
      </c>
      <c r="U1239" s="23">
        <v>860900062335724</v>
      </c>
      <c r="V1239" s="27" t="s">
        <v>78</v>
      </c>
      <c r="W1239" s="20" t="s">
        <v>58</v>
      </c>
      <c r="X1239" s="20" t="s">
        <v>59</v>
      </c>
      <c r="Y1239" s="20" t="s">
        <v>59</v>
      </c>
      <c r="Z1239" s="20" t="s">
        <v>167</v>
      </c>
      <c r="AA1239" s="20" t="s">
        <v>168</v>
      </c>
      <c r="AB1239" s="20" t="s">
        <v>96</v>
      </c>
      <c r="AC1239" s="28">
        <v>369.83</v>
      </c>
      <c r="AD1239" s="28">
        <f>SUM(BASE[[#This Row],[MONTO DE RENTA ]]*1.16)</f>
        <v>429.00279999999998</v>
      </c>
      <c r="AE1239" s="28" t="s">
        <v>83</v>
      </c>
      <c r="AF1239" s="28">
        <v>559.48275862068965</v>
      </c>
      <c r="AG1239" s="28">
        <v>649</v>
      </c>
      <c r="AH1239" s="22" t="s">
        <v>64</v>
      </c>
      <c r="AI1239" s="63">
        <v>45703</v>
      </c>
      <c r="AJ1239" s="63">
        <v>46433</v>
      </c>
      <c r="AK12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39" s="30"/>
      <c r="AN1239" s="20" t="s">
        <v>99</v>
      </c>
      <c r="AP1239" s="20" t="s">
        <v>66</v>
      </c>
      <c r="AQ1239" s="20" t="s">
        <v>100</v>
      </c>
    </row>
    <row r="1240" spans="1:43" ht="16">
      <c r="A1240" s="20">
        <v>2221189753</v>
      </c>
      <c r="B1240" s="49">
        <v>395093</v>
      </c>
      <c r="C1240" s="20" t="s">
        <v>964</v>
      </c>
      <c r="D1240" s="20" t="s">
        <v>172</v>
      </c>
      <c r="E1240" s="20" t="s">
        <v>186</v>
      </c>
      <c r="F1240" s="20" t="s">
        <v>5443</v>
      </c>
      <c r="G1240" s="20" t="s">
        <v>5443</v>
      </c>
      <c r="H1240" s="20" t="s">
        <v>5320</v>
      </c>
      <c r="I1240" s="20" t="s">
        <v>5443</v>
      </c>
      <c r="J1240" s="32" t="s">
        <v>5579</v>
      </c>
      <c r="K1240" s="22" t="s">
        <v>5580</v>
      </c>
      <c r="L1240" s="23" t="s">
        <v>92</v>
      </c>
      <c r="M1240" s="24" t="s">
        <v>7738</v>
      </c>
      <c r="N1240" s="23">
        <v>18848067</v>
      </c>
      <c r="O1240" s="25" t="s">
        <v>828</v>
      </c>
      <c r="P1240" s="25" t="s">
        <v>53</v>
      </c>
      <c r="Q1240" s="20" t="s">
        <v>5581</v>
      </c>
      <c r="R1240" s="20">
        <v>73078283</v>
      </c>
      <c r="S1240" s="25" t="s">
        <v>55</v>
      </c>
      <c r="T1240" s="26" t="s">
        <v>56</v>
      </c>
      <c r="U1240" s="23">
        <v>860982060896584</v>
      </c>
      <c r="V1240" s="27" t="s">
        <v>183</v>
      </c>
      <c r="W1240" s="20" t="s">
        <v>129</v>
      </c>
      <c r="X1240" s="20" t="s">
        <v>130</v>
      </c>
      <c r="Y1240" s="20" t="s">
        <v>130</v>
      </c>
      <c r="Z1240" s="20" t="s">
        <v>60</v>
      </c>
      <c r="AA1240" s="20" t="s">
        <v>61</v>
      </c>
      <c r="AB1240" s="20" t="s">
        <v>96</v>
      </c>
      <c r="AC1240" s="28">
        <v>369.83</v>
      </c>
      <c r="AD1240" s="28">
        <f>SUM(BASE[[#This Row],[MONTO DE RENTA ]]*1.16)</f>
        <v>429.00279999999998</v>
      </c>
      <c r="AE1240" s="28" t="s">
        <v>63</v>
      </c>
      <c r="AF1240" s="28">
        <v>369.82758620689657</v>
      </c>
      <c r="AG1240" s="28">
        <v>429</v>
      </c>
      <c r="AI1240" s="29">
        <v>44937</v>
      </c>
      <c r="AJ1240" s="29">
        <v>46043</v>
      </c>
      <c r="AK124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40" s="30"/>
      <c r="AN1240" s="20" t="s">
        <v>99</v>
      </c>
      <c r="AP1240" s="20" t="s">
        <v>84</v>
      </c>
      <c r="AQ1240" s="20" t="s">
        <v>100</v>
      </c>
    </row>
    <row r="1241" spans="1:43" ht="16">
      <c r="A1241" s="20">
        <v>8134055596</v>
      </c>
      <c r="B1241" s="49">
        <v>6147</v>
      </c>
      <c r="C1241" s="20" t="s">
        <v>537</v>
      </c>
      <c r="D1241" s="20" t="s">
        <v>657</v>
      </c>
      <c r="E1241" s="20" t="s">
        <v>376</v>
      </c>
      <c r="F1241" s="20" t="s">
        <v>5582</v>
      </c>
      <c r="G1241" s="20" t="s">
        <v>5582</v>
      </c>
      <c r="H1241" s="20" t="s">
        <v>199</v>
      </c>
      <c r="I1241" s="20" t="s">
        <v>5582</v>
      </c>
      <c r="J1241" s="22" t="s">
        <v>5583</v>
      </c>
      <c r="K1241" s="32" t="s">
        <v>5584</v>
      </c>
      <c r="L1241" s="23" t="s">
        <v>92</v>
      </c>
      <c r="M1241" s="24" t="s">
        <v>7738</v>
      </c>
      <c r="N1241" s="23">
        <v>18848009</v>
      </c>
      <c r="O1241" s="25" t="s">
        <v>74</v>
      </c>
      <c r="P1241" s="25" t="s">
        <v>53</v>
      </c>
      <c r="Q1241" s="20" t="s">
        <v>5585</v>
      </c>
      <c r="R1241" s="20">
        <v>42862035</v>
      </c>
      <c r="S1241" s="25" t="s">
        <v>55</v>
      </c>
      <c r="T1241" s="26" t="s">
        <v>56</v>
      </c>
      <c r="U1241" s="23">
        <v>357654178499805</v>
      </c>
      <c r="V1241" s="27" t="s">
        <v>78</v>
      </c>
      <c r="W1241" s="20" t="s">
        <v>95</v>
      </c>
      <c r="X1241" s="20" t="s">
        <v>95</v>
      </c>
      <c r="Y1241" s="20" t="s">
        <v>95</v>
      </c>
      <c r="Z1241" s="20" t="s">
        <v>60</v>
      </c>
      <c r="AA1241" s="20" t="s">
        <v>61</v>
      </c>
      <c r="AB1241" s="20" t="s">
        <v>82</v>
      </c>
      <c r="AC1241" s="28">
        <v>559.48</v>
      </c>
      <c r="AD1241" s="28">
        <f>SUM(BASE[[#This Row],[MONTO DE RENTA ]]*1.16)</f>
        <v>648.99680000000001</v>
      </c>
      <c r="AE1241" s="28" t="s">
        <v>83</v>
      </c>
      <c r="AF1241" s="28">
        <v>559.48275862068965</v>
      </c>
      <c r="AG1241" s="28">
        <v>649</v>
      </c>
      <c r="AI1241" s="63">
        <v>44937</v>
      </c>
      <c r="AJ1241" s="73">
        <v>46043</v>
      </c>
      <c r="AK12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41" s="30"/>
      <c r="AN1241" s="20" t="s">
        <v>99</v>
      </c>
      <c r="AP1241" s="20" t="s">
        <v>84</v>
      </c>
      <c r="AQ1241" s="20" t="s">
        <v>100</v>
      </c>
    </row>
    <row r="1242" spans="1:43" ht="16">
      <c r="A1242" s="20">
        <v>8112635090</v>
      </c>
      <c r="B1242" s="49">
        <v>250062</v>
      </c>
      <c r="C1242" s="20" t="s">
        <v>5586</v>
      </c>
      <c r="D1242" s="20" t="s">
        <v>405</v>
      </c>
      <c r="E1242" s="20" t="s">
        <v>456</v>
      </c>
      <c r="F1242" s="20" t="s">
        <v>5587</v>
      </c>
      <c r="G1242" s="20" t="s">
        <v>5587</v>
      </c>
      <c r="H1242" s="20" t="s">
        <v>5320</v>
      </c>
      <c r="I1242" s="20" t="s">
        <v>5587</v>
      </c>
      <c r="J1242" s="22" t="s">
        <v>5588</v>
      </c>
      <c r="K1242" s="22" t="s">
        <v>5589</v>
      </c>
      <c r="L1242" s="23" t="s">
        <v>92</v>
      </c>
      <c r="M1242" s="24" t="s">
        <v>7738</v>
      </c>
      <c r="N1242" s="23">
        <v>18848044</v>
      </c>
      <c r="O1242" s="25" t="s">
        <v>74</v>
      </c>
      <c r="P1242" s="25" t="s">
        <v>53</v>
      </c>
      <c r="Q1242" s="20" t="s">
        <v>5590</v>
      </c>
      <c r="R1242" s="20">
        <v>42888618</v>
      </c>
      <c r="S1242" s="25" t="s">
        <v>55</v>
      </c>
      <c r="T1242" s="26" t="s">
        <v>56</v>
      </c>
      <c r="U1242" s="23">
        <v>357654178135185</v>
      </c>
      <c r="V1242" s="27" t="s">
        <v>78</v>
      </c>
      <c r="W1242" s="20" t="s">
        <v>95</v>
      </c>
      <c r="X1242" s="20" t="s">
        <v>95</v>
      </c>
      <c r="Y1242" s="20" t="s">
        <v>95</v>
      </c>
      <c r="Z1242" s="20" t="s">
        <v>584</v>
      </c>
      <c r="AA1242" s="20" t="s">
        <v>585</v>
      </c>
      <c r="AB1242" s="20" t="s">
        <v>82</v>
      </c>
      <c r="AC1242" s="28">
        <v>559.48</v>
      </c>
      <c r="AD1242" s="28">
        <f>SUM(BASE[[#This Row],[MONTO DE RENTA ]]*1.16)</f>
        <v>648.99680000000001</v>
      </c>
      <c r="AE1242" s="28" t="s">
        <v>83</v>
      </c>
      <c r="AF1242" s="28">
        <v>559.48275862068965</v>
      </c>
      <c r="AG1242" s="28">
        <v>649</v>
      </c>
      <c r="AI1242" s="63">
        <v>44937</v>
      </c>
      <c r="AJ1242" s="73">
        <v>46043</v>
      </c>
      <c r="AK12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42" s="30"/>
      <c r="AN1242" s="20" t="s">
        <v>99</v>
      </c>
      <c r="AP1242" s="20" t="s">
        <v>84</v>
      </c>
      <c r="AQ1242" s="20" t="s">
        <v>100</v>
      </c>
    </row>
    <row r="1243" spans="1:43" ht="16">
      <c r="A1243" s="20">
        <v>8135515571</v>
      </c>
      <c r="B1243" s="21">
        <v>6440</v>
      </c>
      <c r="C1243" s="20" t="s">
        <v>537</v>
      </c>
      <c r="D1243" s="20" t="s">
        <v>5591</v>
      </c>
      <c r="E1243" s="20" t="s">
        <v>45</v>
      </c>
      <c r="F1243" s="20" t="s">
        <v>5592</v>
      </c>
      <c r="G1243" s="20" t="s">
        <v>5592</v>
      </c>
      <c r="H1243" s="20" t="s">
        <v>5320</v>
      </c>
      <c r="I1243" s="20" t="s">
        <v>5592</v>
      </c>
      <c r="J1243" s="22" t="s">
        <v>5593</v>
      </c>
      <c r="K1243" s="22" t="s">
        <v>5593</v>
      </c>
      <c r="L1243" s="23" t="s">
        <v>92</v>
      </c>
      <c r="M1243" s="24" t="s">
        <v>7738</v>
      </c>
      <c r="N1243" s="23">
        <v>18848107</v>
      </c>
      <c r="O1243" s="25" t="s">
        <v>74</v>
      </c>
      <c r="P1243" s="25" t="s">
        <v>53</v>
      </c>
      <c r="Q1243" s="20" t="s">
        <v>5594</v>
      </c>
      <c r="R1243" s="20">
        <v>43200975</v>
      </c>
      <c r="S1243" s="25" t="s">
        <v>5595</v>
      </c>
      <c r="T1243" s="26" t="s">
        <v>77</v>
      </c>
      <c r="U1243" s="23">
        <v>358366320730701</v>
      </c>
      <c r="V1243" s="27" t="s">
        <v>78</v>
      </c>
      <c r="W1243" s="20" t="s">
        <v>79</v>
      </c>
      <c r="X1243" s="20" t="s">
        <v>79</v>
      </c>
      <c r="Y1243" s="20" t="s">
        <v>79</v>
      </c>
      <c r="Z1243" s="20" t="s">
        <v>167</v>
      </c>
      <c r="AA1243" s="20" t="s">
        <v>168</v>
      </c>
      <c r="AB1243" s="20" t="s">
        <v>82</v>
      </c>
      <c r="AC1243" s="28">
        <v>559.48</v>
      </c>
      <c r="AD1243" s="28">
        <f>SUM(BASE[[#This Row],[MONTO DE RENTA ]]*1.16)</f>
        <v>648.99680000000001</v>
      </c>
      <c r="AE1243" s="28" t="s">
        <v>83</v>
      </c>
      <c r="AF1243" s="28">
        <v>559.48275862068965</v>
      </c>
      <c r="AG1243" s="28">
        <v>649</v>
      </c>
      <c r="AH1243" s="22" t="s">
        <v>64</v>
      </c>
      <c r="AI1243" s="63">
        <v>45713</v>
      </c>
      <c r="AJ1243" s="63">
        <v>46433</v>
      </c>
      <c r="AK12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43" s="30"/>
      <c r="AN1243" s="20" t="s">
        <v>65</v>
      </c>
      <c r="AP1243" s="20" t="s">
        <v>84</v>
      </c>
    </row>
    <row r="1244" spans="1:43" ht="16">
      <c r="A1244" s="20">
        <v>4772406582</v>
      </c>
      <c r="B1244" s="98">
        <v>440427</v>
      </c>
      <c r="C1244" s="20" t="s">
        <v>5596</v>
      </c>
      <c r="D1244" s="20" t="s">
        <v>45</v>
      </c>
      <c r="E1244" s="20" t="s">
        <v>247</v>
      </c>
      <c r="F1244" s="20" t="s">
        <v>5587</v>
      </c>
      <c r="G1244" s="20" t="s">
        <v>5587</v>
      </c>
      <c r="H1244" s="20" t="s">
        <v>5320</v>
      </c>
      <c r="I1244" s="20" t="s">
        <v>5587</v>
      </c>
      <c r="J1244" s="54" t="s">
        <v>5597</v>
      </c>
      <c r="K1244" s="54" t="s">
        <v>5597</v>
      </c>
      <c r="L1244" s="23" t="s">
        <v>92</v>
      </c>
      <c r="M1244" s="24" t="s">
        <v>7738</v>
      </c>
      <c r="N1244" s="23">
        <v>18848044</v>
      </c>
      <c r="O1244" s="25" t="s">
        <v>93</v>
      </c>
      <c r="P1244" s="25" t="s">
        <v>53</v>
      </c>
      <c r="Q1244" s="20" t="s">
        <v>5598</v>
      </c>
      <c r="R1244" s="20">
        <v>61909294</v>
      </c>
      <c r="S1244" s="25" t="s">
        <v>55</v>
      </c>
      <c r="T1244" s="44" t="s">
        <v>56</v>
      </c>
      <c r="U1244" s="23">
        <v>357654178153899</v>
      </c>
      <c r="V1244" s="27" t="s">
        <v>78</v>
      </c>
      <c r="W1244" s="20" t="s">
        <v>95</v>
      </c>
      <c r="X1244" s="20" t="s">
        <v>95</v>
      </c>
      <c r="Y1244" s="20" t="s">
        <v>95</v>
      </c>
      <c r="Z1244" s="20" t="s">
        <v>60</v>
      </c>
      <c r="AA1244" s="20" t="s">
        <v>61</v>
      </c>
      <c r="AB1244" s="20" t="s">
        <v>82</v>
      </c>
      <c r="AC1244" s="28">
        <v>559.48</v>
      </c>
      <c r="AD1244" s="28">
        <f>SUM(BASE[[#This Row],[MONTO DE RENTA ]]*1.16)</f>
        <v>648.99680000000001</v>
      </c>
      <c r="AE1244" s="28" t="s">
        <v>83</v>
      </c>
      <c r="AF1244" s="28">
        <v>559.48275862068965</v>
      </c>
      <c r="AG1244" s="28">
        <v>649</v>
      </c>
      <c r="AH1244" s="22" t="s">
        <v>116</v>
      </c>
      <c r="AI1244" s="63">
        <v>45685</v>
      </c>
      <c r="AJ1244" s="63">
        <v>46050</v>
      </c>
      <c r="AK12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244" s="20">
        <v>18848107</v>
      </c>
      <c r="AM1244" s="30"/>
      <c r="AN1244" s="20" t="s">
        <v>99</v>
      </c>
      <c r="AP1244" s="20" t="s">
        <v>84</v>
      </c>
      <c r="AQ1244" s="20" t="s">
        <v>100</v>
      </c>
    </row>
    <row r="1245" spans="1:43" ht="16">
      <c r="A1245" s="20">
        <v>8118014493</v>
      </c>
      <c r="B1245" s="49">
        <v>6236</v>
      </c>
      <c r="C1245" s="20" t="s">
        <v>964</v>
      </c>
      <c r="D1245" s="20" t="s">
        <v>749</v>
      </c>
      <c r="E1245" s="20" t="s">
        <v>5599</v>
      </c>
      <c r="F1245" s="20" t="s">
        <v>5600</v>
      </c>
      <c r="G1245" s="20" t="s">
        <v>5600</v>
      </c>
      <c r="H1245" s="20" t="s">
        <v>5289</v>
      </c>
      <c r="I1245" s="20" t="s">
        <v>5600</v>
      </c>
      <c r="J1245" s="22" t="s">
        <v>5601</v>
      </c>
      <c r="K1245" s="22" t="s">
        <v>5601</v>
      </c>
      <c r="L1245" s="23" t="s">
        <v>92</v>
      </c>
      <c r="M1245" s="24" t="s">
        <v>7738</v>
      </c>
      <c r="N1245" s="23">
        <v>18848027</v>
      </c>
      <c r="O1245" s="25" t="s">
        <v>74</v>
      </c>
      <c r="P1245" s="25" t="s">
        <v>53</v>
      </c>
      <c r="Q1245" s="20" t="s">
        <v>5602</v>
      </c>
      <c r="R1245" s="20">
        <v>42896266</v>
      </c>
      <c r="S1245" s="25" t="s">
        <v>55</v>
      </c>
      <c r="T1245" s="26" t="s">
        <v>56</v>
      </c>
      <c r="U1245" s="23">
        <v>351307359955840</v>
      </c>
      <c r="V1245" s="27" t="s">
        <v>78</v>
      </c>
      <c r="W1245" s="20" t="s">
        <v>79</v>
      </c>
      <c r="X1245" s="20" t="s">
        <v>79</v>
      </c>
      <c r="Y1245" s="20" t="s">
        <v>79</v>
      </c>
      <c r="Z1245" s="20" t="s">
        <v>60</v>
      </c>
      <c r="AA1245" s="20" t="s">
        <v>61</v>
      </c>
      <c r="AB1245" s="20" t="s">
        <v>82</v>
      </c>
      <c r="AC1245" s="28">
        <v>559.48</v>
      </c>
      <c r="AD1245" s="28">
        <f>SUM(BASE[[#This Row],[MONTO DE RENTA ]]*1.16)</f>
        <v>648.99680000000001</v>
      </c>
      <c r="AE1245" s="28" t="s">
        <v>83</v>
      </c>
      <c r="AF1245" s="28">
        <v>559.48275862068965</v>
      </c>
      <c r="AG1245" s="28">
        <v>649</v>
      </c>
      <c r="AI1245" s="63">
        <v>44937</v>
      </c>
      <c r="AJ1245" s="63">
        <v>46429</v>
      </c>
      <c r="AK12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45" s="30"/>
      <c r="AN1245" s="20" t="s">
        <v>65</v>
      </c>
      <c r="AP1245" s="20" t="s">
        <v>84</v>
      </c>
    </row>
    <row r="1246" spans="1:43" ht="16">
      <c r="A1246" s="20">
        <v>8120012266</v>
      </c>
      <c r="B1246" s="259">
        <v>1044201</v>
      </c>
      <c r="C1246" s="20" t="s">
        <v>5603</v>
      </c>
      <c r="D1246" s="20" t="s">
        <v>1104</v>
      </c>
      <c r="E1246" s="20" t="s">
        <v>933</v>
      </c>
      <c r="F1246" s="20" t="s">
        <v>3245</v>
      </c>
      <c r="G1246" s="20" t="s">
        <v>3245</v>
      </c>
      <c r="H1246" s="20" t="s">
        <v>48</v>
      </c>
      <c r="I1246" s="20" t="s">
        <v>3245</v>
      </c>
      <c r="J1246" s="54" t="s">
        <v>5604</v>
      </c>
      <c r="K1246" s="260" t="s">
        <v>5605</v>
      </c>
      <c r="L1246" s="23" t="s">
        <v>92</v>
      </c>
      <c r="M1246" s="24" t="s">
        <v>7738</v>
      </c>
      <c r="N1246" s="23">
        <v>18729000</v>
      </c>
      <c r="O1246" s="25" t="s">
        <v>74</v>
      </c>
      <c r="P1246" s="25" t="s">
        <v>53</v>
      </c>
      <c r="Q1246" s="20" t="s">
        <v>5606</v>
      </c>
      <c r="R1246" s="20">
        <v>44114620</v>
      </c>
      <c r="S1246" s="25" t="s">
        <v>5607</v>
      </c>
      <c r="T1246" s="65" t="s">
        <v>57</v>
      </c>
      <c r="U1246" s="23" t="s">
        <v>193</v>
      </c>
      <c r="V1246" s="27" t="s">
        <v>183</v>
      </c>
      <c r="W1246" s="20" t="s">
        <v>194</v>
      </c>
      <c r="X1246" s="20" t="s">
        <v>194</v>
      </c>
      <c r="Y1246" s="20" t="s">
        <v>194</v>
      </c>
      <c r="Z1246" s="20" t="s">
        <v>167</v>
      </c>
      <c r="AA1246" s="20" t="s">
        <v>168</v>
      </c>
      <c r="AB1246" s="20" t="s">
        <v>96</v>
      </c>
      <c r="AC1246" s="28">
        <v>369.83</v>
      </c>
      <c r="AD1246" s="28">
        <f>SUM(BASE[[#This Row],[MONTO DE RENTA ]]*1.16)</f>
        <v>429.00279999999998</v>
      </c>
      <c r="AE1246" s="28" t="s">
        <v>63</v>
      </c>
      <c r="AF1246" s="28">
        <v>369.82758620689657</v>
      </c>
      <c r="AG1246" s="28">
        <v>429</v>
      </c>
      <c r="AH1246" s="22" t="s">
        <v>116</v>
      </c>
      <c r="AI1246" s="63">
        <v>46041</v>
      </c>
      <c r="AJ1246" s="63">
        <v>46771</v>
      </c>
      <c r="AK1246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246" s="30"/>
      <c r="AN1246" s="20" t="s">
        <v>99</v>
      </c>
      <c r="AP1246" s="20" t="s">
        <v>84</v>
      </c>
      <c r="AQ1246" s="20" t="s">
        <v>100</v>
      </c>
    </row>
    <row r="1247" spans="1:43" ht="16">
      <c r="A1247" s="20">
        <v>5533425952</v>
      </c>
      <c r="B1247" s="49">
        <v>910031</v>
      </c>
      <c r="C1247" s="20" t="s">
        <v>5608</v>
      </c>
      <c r="D1247" s="20" t="s">
        <v>187</v>
      </c>
      <c r="E1247" s="20" t="s">
        <v>1598</v>
      </c>
      <c r="F1247" s="20" t="s">
        <v>5609</v>
      </c>
      <c r="G1247" s="20" t="s">
        <v>5609</v>
      </c>
      <c r="H1247" s="20" t="s">
        <v>5320</v>
      </c>
      <c r="I1247" s="20" t="s">
        <v>5609</v>
      </c>
      <c r="J1247" s="22" t="s">
        <v>5610</v>
      </c>
      <c r="K1247" s="22" t="s">
        <v>5610</v>
      </c>
      <c r="L1247" s="23" t="s">
        <v>92</v>
      </c>
      <c r="M1247" s="24" t="s">
        <v>7738</v>
      </c>
      <c r="N1247" s="23">
        <v>18848067</v>
      </c>
      <c r="O1247" s="25" t="s">
        <v>52</v>
      </c>
      <c r="P1247" s="25" t="s">
        <v>53</v>
      </c>
      <c r="Q1247" s="20" t="s">
        <v>5611</v>
      </c>
      <c r="R1247" s="20">
        <v>9732889</v>
      </c>
      <c r="S1247" s="25" t="s">
        <v>55</v>
      </c>
      <c r="T1247" s="26" t="s">
        <v>56</v>
      </c>
      <c r="U1247" s="23">
        <v>357654178841667</v>
      </c>
      <c r="V1247" s="27" t="s">
        <v>78</v>
      </c>
      <c r="W1247" s="20" t="s">
        <v>5299</v>
      </c>
      <c r="X1247" s="20" t="s">
        <v>5299</v>
      </c>
      <c r="Y1247" s="20" t="s">
        <v>5299</v>
      </c>
      <c r="Z1247" s="20" t="s">
        <v>60</v>
      </c>
      <c r="AA1247" s="20" t="s">
        <v>61</v>
      </c>
      <c r="AB1247" s="20" t="s">
        <v>82</v>
      </c>
      <c r="AC1247" s="28">
        <v>559.48</v>
      </c>
      <c r="AD1247" s="28">
        <f>SUM(BASE[[#This Row],[MONTO DE RENTA ]]*1.16)</f>
        <v>648.99680000000001</v>
      </c>
      <c r="AE1247" s="28" t="s">
        <v>83</v>
      </c>
      <c r="AF1247" s="28">
        <v>559.48275862068965</v>
      </c>
      <c r="AG1247" s="28">
        <v>649</v>
      </c>
      <c r="AI1247" s="29">
        <v>44937</v>
      </c>
      <c r="AJ1247" s="50">
        <v>46043</v>
      </c>
      <c r="AK12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47" s="30"/>
      <c r="AN1247" s="20" t="s">
        <v>99</v>
      </c>
      <c r="AP1247" s="20" t="s">
        <v>84</v>
      </c>
      <c r="AQ1247" s="20" t="s">
        <v>100</v>
      </c>
    </row>
    <row r="1248" spans="1:43" ht="16">
      <c r="A1248" s="20">
        <v>8135515227</v>
      </c>
      <c r="B1248" s="59">
        <v>1045471</v>
      </c>
      <c r="C1248" s="20" t="s">
        <v>1051</v>
      </c>
      <c r="D1248" s="20" t="s">
        <v>598</v>
      </c>
      <c r="E1248" s="20" t="s">
        <v>756</v>
      </c>
      <c r="F1248" s="20" t="s">
        <v>5612</v>
      </c>
      <c r="G1248" s="20" t="s">
        <v>5612</v>
      </c>
      <c r="H1248" s="20" t="s">
        <v>199</v>
      </c>
      <c r="I1248" s="20" t="s">
        <v>5612</v>
      </c>
      <c r="J1248" s="32" t="s">
        <v>5613</v>
      </c>
      <c r="K1248" s="32" t="s">
        <v>5613</v>
      </c>
      <c r="L1248" s="23" t="s">
        <v>92</v>
      </c>
      <c r="M1248" s="24" t="s">
        <v>7738</v>
      </c>
      <c r="N1248" s="23">
        <v>18848076</v>
      </c>
      <c r="O1248" s="25" t="s">
        <v>74</v>
      </c>
      <c r="P1248" s="25" t="s">
        <v>53</v>
      </c>
      <c r="Q1248" s="20" t="s">
        <v>5614</v>
      </c>
      <c r="R1248" s="20">
        <v>44918828</v>
      </c>
      <c r="S1248" s="25" t="s">
        <v>5615</v>
      </c>
      <c r="T1248" s="26" t="s">
        <v>57</v>
      </c>
      <c r="U1248" s="23" t="s">
        <v>193</v>
      </c>
      <c r="V1248" s="27" t="s">
        <v>57</v>
      </c>
      <c r="W1248" s="20" t="s">
        <v>194</v>
      </c>
      <c r="X1248" s="20" t="s">
        <v>194</v>
      </c>
      <c r="Y1248" s="20" t="s">
        <v>194</v>
      </c>
      <c r="Z1248" s="20" t="s">
        <v>167</v>
      </c>
      <c r="AA1248" s="20" t="s">
        <v>168</v>
      </c>
      <c r="AB1248" s="20" t="s">
        <v>96</v>
      </c>
      <c r="AC1248" s="28">
        <v>369.83</v>
      </c>
      <c r="AD1248" s="28">
        <f>SUM(BASE[[#This Row],[MONTO DE RENTA ]]*1.16)</f>
        <v>429.00279999999998</v>
      </c>
      <c r="AE1248" s="28" t="s">
        <v>63</v>
      </c>
      <c r="AF1248" s="28">
        <v>369.82758620689657</v>
      </c>
      <c r="AG1248" s="28">
        <v>429</v>
      </c>
      <c r="AH1248" s="22" t="s">
        <v>64</v>
      </c>
      <c r="AI1248" s="63">
        <v>45713</v>
      </c>
      <c r="AJ1248" s="63">
        <v>46433</v>
      </c>
      <c r="AK12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48" s="30"/>
      <c r="AN1248" s="20" t="s">
        <v>65</v>
      </c>
      <c r="AP1248" s="20" t="s">
        <v>84</v>
      </c>
    </row>
    <row r="1249" spans="1:43" ht="16">
      <c r="A1249" s="20">
        <v>4611797436</v>
      </c>
      <c r="B1249" s="21">
        <v>995358</v>
      </c>
      <c r="C1249" s="20" t="s">
        <v>5616</v>
      </c>
      <c r="D1249" s="20" t="s">
        <v>640</v>
      </c>
      <c r="E1249" s="20" t="s">
        <v>366</v>
      </c>
      <c r="F1249" s="20" t="s">
        <v>5617</v>
      </c>
      <c r="G1249" s="20" t="s">
        <v>5617</v>
      </c>
      <c r="H1249" s="20" t="s">
        <v>199</v>
      </c>
      <c r="I1249" s="20" t="s">
        <v>5617</v>
      </c>
      <c r="J1249" s="22" t="s">
        <v>5618</v>
      </c>
      <c r="K1249" s="22" t="s">
        <v>5619</v>
      </c>
      <c r="L1249" s="23" t="s">
        <v>92</v>
      </c>
      <c r="M1249" s="24" t="s">
        <v>7738</v>
      </c>
      <c r="N1249" s="23">
        <v>18848010</v>
      </c>
      <c r="O1249" s="25" t="s">
        <v>93</v>
      </c>
      <c r="P1249" s="25" t="s">
        <v>53</v>
      </c>
      <c r="Q1249" s="20" t="s">
        <v>5620</v>
      </c>
      <c r="R1249" s="20">
        <v>63492467</v>
      </c>
      <c r="S1249" s="25" t="s">
        <v>5621</v>
      </c>
      <c r="T1249" s="26" t="s">
        <v>57</v>
      </c>
      <c r="U1249" s="23">
        <v>860900062337605</v>
      </c>
      <c r="V1249" s="27" t="s">
        <v>57</v>
      </c>
      <c r="W1249" s="20" t="s">
        <v>58</v>
      </c>
      <c r="X1249" s="20" t="s">
        <v>59</v>
      </c>
      <c r="Y1249" s="20" t="s">
        <v>59</v>
      </c>
      <c r="Z1249" s="20" t="s">
        <v>167</v>
      </c>
      <c r="AA1249" s="20" t="s">
        <v>168</v>
      </c>
      <c r="AB1249" s="20" t="s">
        <v>96</v>
      </c>
      <c r="AC1249" s="28">
        <v>369.83</v>
      </c>
      <c r="AD1249" s="28">
        <f>SUM(BASE[[#This Row],[MONTO DE RENTA ]]*1.16)</f>
        <v>429.00279999999998</v>
      </c>
      <c r="AE1249" s="28" t="s">
        <v>63</v>
      </c>
      <c r="AF1249" s="28">
        <v>369.82758620689657</v>
      </c>
      <c r="AG1249" s="28">
        <v>429</v>
      </c>
      <c r="AH1249" s="22" t="s">
        <v>64</v>
      </c>
      <c r="AI1249" s="29">
        <v>45703</v>
      </c>
      <c r="AJ1249" s="29">
        <v>46433</v>
      </c>
      <c r="AK12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49" s="30"/>
      <c r="AN1249" s="20" t="s">
        <v>65</v>
      </c>
      <c r="AP1249" s="20" t="s">
        <v>84</v>
      </c>
    </row>
    <row r="1250" spans="1:43" ht="16">
      <c r="A1250" s="87">
        <v>8119138287</v>
      </c>
      <c r="B1250" s="49">
        <v>0</v>
      </c>
      <c r="C1250" s="20" t="s">
        <v>1653</v>
      </c>
      <c r="D1250" s="20" t="s">
        <v>1654</v>
      </c>
      <c r="E1250" s="20" t="s">
        <v>1655</v>
      </c>
      <c r="F1250" s="20" t="s">
        <v>1656</v>
      </c>
      <c r="G1250" s="20" t="s">
        <v>1656</v>
      </c>
      <c r="H1250" s="20" t="s">
        <v>1657</v>
      </c>
      <c r="I1250" s="20" t="s">
        <v>1658</v>
      </c>
      <c r="J1250" s="217" t="s">
        <v>5622</v>
      </c>
      <c r="K1250" s="217" t="s">
        <v>5623</v>
      </c>
      <c r="L1250" s="218" t="s">
        <v>92</v>
      </c>
      <c r="M1250" s="219" t="s">
        <v>7738</v>
      </c>
      <c r="N1250" s="23" t="s">
        <v>1661</v>
      </c>
      <c r="O1250" s="25" t="s">
        <v>74</v>
      </c>
      <c r="P1250" s="25" t="s">
        <v>5460</v>
      </c>
      <c r="Q1250" s="20" t="s">
        <v>5624</v>
      </c>
      <c r="R1250" s="20">
        <v>43090353</v>
      </c>
      <c r="S1250" s="25" t="s">
        <v>5625</v>
      </c>
      <c r="T1250" s="221" t="s">
        <v>57</v>
      </c>
      <c r="U1250" s="23" t="s">
        <v>193</v>
      </c>
      <c r="V1250" s="27" t="s">
        <v>183</v>
      </c>
      <c r="W1250" s="20" t="s">
        <v>194</v>
      </c>
      <c r="X1250" s="20" t="s">
        <v>194</v>
      </c>
      <c r="Y1250" s="20" t="s">
        <v>194</v>
      </c>
      <c r="Z1250" s="20" t="s">
        <v>131</v>
      </c>
      <c r="AA1250" s="20" t="s">
        <v>132</v>
      </c>
      <c r="AB1250" s="20" t="s">
        <v>96</v>
      </c>
      <c r="AC1250" s="28">
        <v>369.83</v>
      </c>
      <c r="AD1250" s="223">
        <f>SUM(BASE[[#This Row],[MONTO DE RENTA ]]*1.16)</f>
        <v>429.00279999999998</v>
      </c>
      <c r="AE1250" s="28" t="s">
        <v>83</v>
      </c>
      <c r="AF1250" s="223">
        <v>559.48275862068965</v>
      </c>
      <c r="AG1250" s="223">
        <v>649</v>
      </c>
      <c r="AH1250" s="217"/>
      <c r="AI1250" s="63">
        <v>44937</v>
      </c>
      <c r="AJ1250" s="232">
        <v>46054</v>
      </c>
      <c r="AK1250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L1250" s="87"/>
      <c r="AM1250" s="225"/>
      <c r="AN1250" s="20" t="s">
        <v>99</v>
      </c>
      <c r="AP1250" s="20" t="s">
        <v>66</v>
      </c>
      <c r="AQ1250" s="20" t="s">
        <v>100</v>
      </c>
    </row>
    <row r="1251" spans="1:43" ht="16">
      <c r="A1251" s="20">
        <v>8123508505</v>
      </c>
      <c r="B1251" s="49">
        <v>6787</v>
      </c>
      <c r="C1251" s="20" t="s">
        <v>5626</v>
      </c>
      <c r="D1251" s="20" t="s">
        <v>468</v>
      </c>
      <c r="E1251" s="20" t="s">
        <v>135</v>
      </c>
      <c r="F1251" s="20" t="s">
        <v>5627</v>
      </c>
      <c r="G1251" s="20" t="s">
        <v>5627</v>
      </c>
      <c r="H1251" s="20" t="s">
        <v>5375</v>
      </c>
      <c r="I1251" s="20" t="s">
        <v>5627</v>
      </c>
      <c r="J1251" s="22" t="s">
        <v>5628</v>
      </c>
      <c r="K1251" s="32" t="s">
        <v>5629</v>
      </c>
      <c r="L1251" s="23" t="s">
        <v>92</v>
      </c>
      <c r="M1251" s="24" t="s">
        <v>7738</v>
      </c>
      <c r="N1251" s="23">
        <v>18848055</v>
      </c>
      <c r="O1251" s="25" t="s">
        <v>74</v>
      </c>
      <c r="P1251" s="25" t="s">
        <v>53</v>
      </c>
      <c r="Q1251" s="20" t="s">
        <v>5630</v>
      </c>
      <c r="R1251" s="20">
        <v>43163573</v>
      </c>
      <c r="S1251" s="25" t="s">
        <v>55</v>
      </c>
      <c r="T1251" s="26" t="s">
        <v>56</v>
      </c>
      <c r="U1251" s="23">
        <v>357894928348106</v>
      </c>
      <c r="V1251" s="27" t="s">
        <v>78</v>
      </c>
      <c r="W1251" s="20" t="s">
        <v>95</v>
      </c>
      <c r="X1251" s="20" t="s">
        <v>95</v>
      </c>
      <c r="Y1251" s="20" t="s">
        <v>95</v>
      </c>
      <c r="Z1251" s="20" t="s">
        <v>60</v>
      </c>
      <c r="AA1251" s="20" t="s">
        <v>61</v>
      </c>
      <c r="AB1251" s="20" t="s">
        <v>82</v>
      </c>
      <c r="AC1251" s="28">
        <v>559.48</v>
      </c>
      <c r="AD1251" s="28">
        <f>SUM(BASE[[#This Row],[MONTO DE RENTA ]]*1.16)</f>
        <v>648.99680000000001</v>
      </c>
      <c r="AE1251" s="28" t="s">
        <v>83</v>
      </c>
      <c r="AF1251" s="28">
        <v>559.48275862068965</v>
      </c>
      <c r="AG1251" s="28">
        <v>649</v>
      </c>
      <c r="AI1251" s="63">
        <v>44937</v>
      </c>
      <c r="AJ1251" s="73">
        <v>46043</v>
      </c>
      <c r="AK125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51" s="30"/>
      <c r="AN1251" s="20" t="s">
        <v>99</v>
      </c>
      <c r="AP1251" s="20" t="s">
        <v>84</v>
      </c>
      <c r="AQ1251" s="20" t="s">
        <v>100</v>
      </c>
    </row>
    <row r="1252" spans="1:43" ht="16">
      <c r="A1252" s="261">
        <v>8114654738</v>
      </c>
      <c r="B1252" s="237">
        <v>0</v>
      </c>
      <c r="C1252" s="230" t="s">
        <v>1653</v>
      </c>
      <c r="D1252" s="230" t="s">
        <v>1654</v>
      </c>
      <c r="E1252" s="230" t="s">
        <v>1655</v>
      </c>
      <c r="F1252" s="230" t="s">
        <v>1656</v>
      </c>
      <c r="G1252" s="230" t="s">
        <v>1656</v>
      </c>
      <c r="H1252" s="230" t="s">
        <v>1657</v>
      </c>
      <c r="I1252" s="230" t="s">
        <v>1658</v>
      </c>
      <c r="J1252" s="262" t="s">
        <v>5631</v>
      </c>
      <c r="K1252" s="263" t="s">
        <v>5632</v>
      </c>
      <c r="L1252" s="264" t="s">
        <v>92</v>
      </c>
      <c r="M1252" s="265" t="s">
        <v>7738</v>
      </c>
      <c r="N1252" s="266" t="s">
        <v>1661</v>
      </c>
      <c r="O1252" s="267" t="s">
        <v>74</v>
      </c>
      <c r="P1252" s="25" t="s">
        <v>1662</v>
      </c>
      <c r="Q1252" s="230" t="s">
        <v>5633</v>
      </c>
      <c r="R1252" s="230">
        <v>43920557</v>
      </c>
      <c r="S1252" s="267" t="s">
        <v>55</v>
      </c>
      <c r="T1252" s="268" t="s">
        <v>56</v>
      </c>
      <c r="U1252" s="266" t="s">
        <v>193</v>
      </c>
      <c r="V1252" s="269" t="s">
        <v>5634</v>
      </c>
      <c r="W1252" s="230" t="s">
        <v>194</v>
      </c>
      <c r="X1252" s="20" t="s">
        <v>194</v>
      </c>
      <c r="Y1252" s="20" t="s">
        <v>194</v>
      </c>
      <c r="Z1252" s="230" t="s">
        <v>60</v>
      </c>
      <c r="AA1252" s="230" t="s">
        <v>61</v>
      </c>
      <c r="AB1252" s="230" t="s">
        <v>5635</v>
      </c>
      <c r="AC1252" s="270">
        <v>387.07</v>
      </c>
      <c r="AD1252" s="270">
        <f>SUM(BASE[[#This Row],[MONTO DE RENTA ]]*1.16)</f>
        <v>449.00119999999998</v>
      </c>
      <c r="AE1252" s="270" t="s">
        <v>83</v>
      </c>
      <c r="AF1252" s="270">
        <v>559.48275862068965</v>
      </c>
      <c r="AG1252" s="270">
        <v>649</v>
      </c>
      <c r="AH1252" s="271" t="s">
        <v>64</v>
      </c>
      <c r="AI1252" s="272">
        <v>45323</v>
      </c>
      <c r="AJ1252" s="272">
        <v>46054</v>
      </c>
      <c r="AK1252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L1252" s="261"/>
      <c r="AM1252" s="274" t="s">
        <v>5636</v>
      </c>
      <c r="AN1252" s="230" t="s">
        <v>99</v>
      </c>
      <c r="AO1252" s="230" t="s">
        <v>355</v>
      </c>
      <c r="AP1252" s="230" t="s">
        <v>66</v>
      </c>
      <c r="AQ1252" s="230" t="s">
        <v>100</v>
      </c>
    </row>
    <row r="1253" spans="1:43" ht="16">
      <c r="A1253" s="20">
        <v>8126810922</v>
      </c>
      <c r="B1253" s="49">
        <v>1034588</v>
      </c>
      <c r="C1253" s="20" t="s">
        <v>5637</v>
      </c>
      <c r="D1253" s="20" t="s">
        <v>171</v>
      </c>
      <c r="E1253" s="20" t="s">
        <v>347</v>
      </c>
      <c r="F1253" s="20" t="s">
        <v>5638</v>
      </c>
      <c r="G1253" s="20" t="s">
        <v>5638</v>
      </c>
      <c r="H1253" s="20" t="s">
        <v>89</v>
      </c>
      <c r="I1253" s="20" t="s">
        <v>5638</v>
      </c>
      <c r="J1253" s="32" t="s">
        <v>5639</v>
      </c>
      <c r="K1253" s="32" t="s">
        <v>5639</v>
      </c>
      <c r="L1253" s="23" t="s">
        <v>92</v>
      </c>
      <c r="M1253" s="24" t="s">
        <v>7738</v>
      </c>
      <c r="N1253" s="23">
        <v>18848041</v>
      </c>
      <c r="O1253" s="25" t="s">
        <v>74</v>
      </c>
      <c r="P1253" s="25" t="s">
        <v>53</v>
      </c>
      <c r="Q1253" s="20" t="s">
        <v>5640</v>
      </c>
      <c r="R1253" s="20">
        <v>44114451</v>
      </c>
      <c r="S1253" s="25" t="s">
        <v>5641</v>
      </c>
      <c r="T1253" s="44" t="s">
        <v>57</v>
      </c>
      <c r="U1253" s="23">
        <v>860900062269659</v>
      </c>
      <c r="V1253" s="45" t="s">
        <v>110</v>
      </c>
      <c r="W1253" s="20" t="s">
        <v>58</v>
      </c>
      <c r="X1253" s="20" t="s">
        <v>59</v>
      </c>
      <c r="Y1253" s="20" t="s">
        <v>59</v>
      </c>
      <c r="Z1253" s="20" t="s">
        <v>131</v>
      </c>
      <c r="AA1253" s="20" t="s">
        <v>132</v>
      </c>
      <c r="AB1253" s="20" t="s">
        <v>82</v>
      </c>
      <c r="AC1253" s="28">
        <v>559.48</v>
      </c>
      <c r="AD1253" s="28">
        <f>SUM(BASE[[#This Row],[MONTO DE RENTA ]]*1.16)</f>
        <v>648.99680000000001</v>
      </c>
      <c r="AE1253" s="28" t="s">
        <v>83</v>
      </c>
      <c r="AF1253" s="28">
        <v>559.48275862068965</v>
      </c>
      <c r="AG1253" s="28">
        <v>649</v>
      </c>
      <c r="AH1253" s="22" t="s">
        <v>98</v>
      </c>
      <c r="AI1253" s="63">
        <v>45875</v>
      </c>
      <c r="AJ1253" s="63">
        <v>46605</v>
      </c>
      <c r="AK1253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253" s="24">
        <v>18848027</v>
      </c>
      <c r="AM1253" s="30"/>
      <c r="AN1253" s="20" t="s">
        <v>65</v>
      </c>
      <c r="AP1253" s="20" t="s">
        <v>84</v>
      </c>
    </row>
    <row r="1254" spans="1:43" s="51" customFormat="1" ht="16">
      <c r="A1254" s="20">
        <v>8112082161</v>
      </c>
      <c r="B1254" s="190">
        <v>1044271</v>
      </c>
      <c r="C1254" s="20" t="s">
        <v>5642</v>
      </c>
      <c r="D1254" s="20" t="s">
        <v>937</v>
      </c>
      <c r="E1254" s="20" t="s">
        <v>135</v>
      </c>
      <c r="F1254" s="20" t="s">
        <v>5643</v>
      </c>
      <c r="G1254" s="20" t="s">
        <v>5643</v>
      </c>
      <c r="H1254" s="20" t="s">
        <v>199</v>
      </c>
      <c r="I1254" s="20" t="s">
        <v>5643</v>
      </c>
      <c r="J1254" s="32" t="s">
        <v>5644</v>
      </c>
      <c r="K1254" s="32" t="s">
        <v>5644</v>
      </c>
      <c r="L1254" s="23" t="s">
        <v>92</v>
      </c>
      <c r="M1254" s="24" t="s">
        <v>7738</v>
      </c>
      <c r="N1254" s="23">
        <v>18848078</v>
      </c>
      <c r="O1254" s="25" t="s">
        <v>74</v>
      </c>
      <c r="P1254" s="25" t="s">
        <v>53</v>
      </c>
      <c r="Q1254" s="20" t="s">
        <v>5645</v>
      </c>
      <c r="R1254" s="20">
        <v>43163627</v>
      </c>
      <c r="S1254" s="25" t="s">
        <v>5646</v>
      </c>
      <c r="T1254" s="26" t="s">
        <v>77</v>
      </c>
      <c r="U1254" s="23">
        <v>359928213338089</v>
      </c>
      <c r="V1254" s="27" t="s">
        <v>78</v>
      </c>
      <c r="W1254" s="20" t="s">
        <v>79</v>
      </c>
      <c r="X1254" s="20" t="s">
        <v>79</v>
      </c>
      <c r="Y1254" s="20" t="s">
        <v>79</v>
      </c>
      <c r="Z1254" s="20" t="s">
        <v>167</v>
      </c>
      <c r="AA1254" s="20" t="s">
        <v>168</v>
      </c>
      <c r="AB1254" s="20" t="s">
        <v>82</v>
      </c>
      <c r="AC1254" s="28">
        <v>559.48</v>
      </c>
      <c r="AD1254" s="28">
        <f>SUM(BASE[[#This Row],[MONTO DE RENTA ]]*1.16)</f>
        <v>648.99680000000001</v>
      </c>
      <c r="AE1254" s="28" t="s">
        <v>83</v>
      </c>
      <c r="AF1254" s="28">
        <v>559.48275862068965</v>
      </c>
      <c r="AG1254" s="28">
        <v>649</v>
      </c>
      <c r="AH1254" s="22" t="s">
        <v>98</v>
      </c>
      <c r="AI1254" s="63">
        <v>45710</v>
      </c>
      <c r="AJ1254" s="63">
        <v>46472</v>
      </c>
      <c r="AK1254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254" s="20">
        <v>18848052</v>
      </c>
      <c r="AM1254" s="30"/>
      <c r="AN1254" s="20" t="s">
        <v>65</v>
      </c>
      <c r="AO1254" s="20"/>
      <c r="AP1254" s="20" t="s">
        <v>84</v>
      </c>
      <c r="AQ1254" s="20"/>
    </row>
    <row r="1255" spans="1:43" s="230" customFormat="1" ht="16">
      <c r="A1255" s="20">
        <v>8122012473</v>
      </c>
      <c r="B1255" s="21">
        <v>6813</v>
      </c>
      <c r="C1255" s="20" t="s">
        <v>1653</v>
      </c>
      <c r="D1255" s="20" t="s">
        <v>1654</v>
      </c>
      <c r="E1255" s="20" t="s">
        <v>1655</v>
      </c>
      <c r="F1255" s="20" t="s">
        <v>1656</v>
      </c>
      <c r="G1255" s="20" t="s">
        <v>1656</v>
      </c>
      <c r="H1255" s="20" t="s">
        <v>1657</v>
      </c>
      <c r="I1255" s="20" t="s">
        <v>1658</v>
      </c>
      <c r="J1255" s="22" t="s">
        <v>5647</v>
      </c>
      <c r="K1255" s="32" t="s">
        <v>5648</v>
      </c>
      <c r="L1255" s="23" t="s">
        <v>92</v>
      </c>
      <c r="M1255" s="24" t="s">
        <v>7738</v>
      </c>
      <c r="N1255" s="23" t="s">
        <v>1661</v>
      </c>
      <c r="O1255" s="25" t="s">
        <v>74</v>
      </c>
      <c r="P1255" s="25" t="s">
        <v>53</v>
      </c>
      <c r="Q1255" s="20" t="s">
        <v>5649</v>
      </c>
      <c r="R1255" s="20">
        <v>43163562</v>
      </c>
      <c r="S1255" s="25" t="s">
        <v>5650</v>
      </c>
      <c r="T1255" s="26" t="s">
        <v>57</v>
      </c>
      <c r="U1255" s="23">
        <v>860900062255328</v>
      </c>
      <c r="V1255" s="27" t="s">
        <v>57</v>
      </c>
      <c r="W1255" s="20" t="s">
        <v>58</v>
      </c>
      <c r="X1255" s="20" t="s">
        <v>59</v>
      </c>
      <c r="Y1255" s="20" t="s">
        <v>59</v>
      </c>
      <c r="Z1255" s="20" t="s">
        <v>131</v>
      </c>
      <c r="AA1255" s="20" t="s">
        <v>132</v>
      </c>
      <c r="AB1255" s="20" t="s">
        <v>96</v>
      </c>
      <c r="AC1255" s="28">
        <v>369.83</v>
      </c>
      <c r="AD1255" s="28">
        <f>SUM(BASE[[#This Row],[MONTO DE RENTA ]]*1.16)</f>
        <v>429.00279999999998</v>
      </c>
      <c r="AE1255" s="28" t="s">
        <v>63</v>
      </c>
      <c r="AF1255" s="28">
        <v>369.82758620689657</v>
      </c>
      <c r="AG1255" s="28">
        <v>429</v>
      </c>
      <c r="AH1255" s="22" t="s">
        <v>64</v>
      </c>
      <c r="AI1255" s="63">
        <v>45703</v>
      </c>
      <c r="AJ1255" s="63">
        <v>46433</v>
      </c>
      <c r="AK125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255" s="20"/>
      <c r="AM1255" s="30"/>
      <c r="AN1255" s="20" t="s">
        <v>65</v>
      </c>
      <c r="AO1255" s="20"/>
      <c r="AP1255" s="20" t="s">
        <v>84</v>
      </c>
      <c r="AQ1255" s="20"/>
    </row>
    <row r="1256" spans="1:43" ht="16">
      <c r="A1256" s="34">
        <v>8120367179</v>
      </c>
      <c r="B1256" s="275">
        <v>1055728</v>
      </c>
      <c r="C1256" s="34" t="s">
        <v>5651</v>
      </c>
      <c r="D1256" s="34" t="s">
        <v>442</v>
      </c>
      <c r="E1256" s="34" t="s">
        <v>1598</v>
      </c>
      <c r="F1256" s="34" t="s">
        <v>5504</v>
      </c>
      <c r="G1256" s="34" t="s">
        <v>5504</v>
      </c>
      <c r="H1256" s="34" t="s">
        <v>231</v>
      </c>
      <c r="I1256" s="34" t="s">
        <v>5504</v>
      </c>
      <c r="J1256" s="37" t="s">
        <v>5652</v>
      </c>
      <c r="K1256" s="37" t="s">
        <v>5652</v>
      </c>
      <c r="L1256" s="38" t="s">
        <v>92</v>
      </c>
      <c r="M1256" s="77" t="s">
        <v>7738</v>
      </c>
      <c r="N1256" s="38">
        <v>18848062</v>
      </c>
      <c r="O1256" s="110" t="s">
        <v>74</v>
      </c>
      <c r="P1256" s="25" t="s">
        <v>53</v>
      </c>
      <c r="Q1256" s="34" t="s">
        <v>5653</v>
      </c>
      <c r="R1256" s="34">
        <v>45530611</v>
      </c>
      <c r="S1256" s="110" t="s">
        <v>55</v>
      </c>
      <c r="T1256" s="39" t="s">
        <v>56</v>
      </c>
      <c r="U1256" s="38">
        <v>860900062238589</v>
      </c>
      <c r="V1256" s="60" t="s">
        <v>183</v>
      </c>
      <c r="W1256" s="34" t="s">
        <v>58</v>
      </c>
      <c r="X1256" s="20" t="s">
        <v>59</v>
      </c>
      <c r="Y1256" s="20" t="s">
        <v>59</v>
      </c>
      <c r="Z1256" s="34" t="s">
        <v>3085</v>
      </c>
      <c r="AA1256" s="34" t="s">
        <v>3086</v>
      </c>
      <c r="AB1256" s="34" t="s">
        <v>244</v>
      </c>
      <c r="AC1256" s="111">
        <v>473.28</v>
      </c>
      <c r="AD1256" s="111">
        <f>SUM(BASE[[#This Row],[MONTO DE RENTA ]]*1.16)</f>
        <v>549.00479999999993</v>
      </c>
      <c r="AE1256" s="28" t="s">
        <v>63</v>
      </c>
      <c r="AF1256" s="28">
        <v>369.82758620689657</v>
      </c>
      <c r="AG1256" s="28">
        <v>429</v>
      </c>
      <c r="AH1256" s="36" t="s">
        <v>116</v>
      </c>
      <c r="AI1256" s="84">
        <v>45903</v>
      </c>
      <c r="AJ1256" s="84">
        <v>46633</v>
      </c>
      <c r="AK1256" s="42">
        <f ca="1">IFERROR(IF(BASE[[#This Row],[FECHA DE RENOVACION ]]&gt;TODAY(), DATEDIF(TODAY(),BASE[[#This Row],[FECHA DE RENOVACION ]],"M"), -DATEDIF(BASE[[#This Row],[FECHA DE RENOVACION ]],TODAY(),"M")), "Sin fecha")</f>
        <v>18</v>
      </c>
      <c r="AL1256" s="34" t="s">
        <v>5654</v>
      </c>
      <c r="AM1256" s="42"/>
      <c r="AN1256" s="20" t="s">
        <v>65</v>
      </c>
      <c r="AP1256" s="20" t="s">
        <v>118</v>
      </c>
    </row>
    <row r="1257" spans="1:43" ht="16">
      <c r="A1257" s="20">
        <v>8126810938</v>
      </c>
      <c r="B1257" s="49">
        <v>1035232</v>
      </c>
      <c r="C1257" s="20" t="s">
        <v>5655</v>
      </c>
      <c r="D1257" s="20" t="s">
        <v>912</v>
      </c>
      <c r="E1257" s="20" t="s">
        <v>1367</v>
      </c>
      <c r="F1257" s="20" t="s">
        <v>5656</v>
      </c>
      <c r="G1257" s="20" t="s">
        <v>5656</v>
      </c>
      <c r="H1257" s="20" t="s">
        <v>199</v>
      </c>
      <c r="I1257" s="20" t="s">
        <v>5656</v>
      </c>
      <c r="J1257" s="22" t="s">
        <v>5657</v>
      </c>
      <c r="K1257" s="32" t="s">
        <v>5658</v>
      </c>
      <c r="L1257" s="23" t="s">
        <v>92</v>
      </c>
      <c r="M1257" s="24" t="s">
        <v>7738</v>
      </c>
      <c r="N1257" s="23">
        <v>18848011</v>
      </c>
      <c r="O1257" s="25" t="s">
        <v>74</v>
      </c>
      <c r="P1257" s="25" t="s">
        <v>53</v>
      </c>
      <c r="Q1257" s="20" t="s">
        <v>5659</v>
      </c>
      <c r="R1257" s="20">
        <v>44114435</v>
      </c>
      <c r="S1257" s="25" t="s">
        <v>55</v>
      </c>
      <c r="T1257" s="26" t="s">
        <v>56</v>
      </c>
      <c r="U1257" s="23">
        <v>865356065668345</v>
      </c>
      <c r="V1257" s="27" t="s">
        <v>183</v>
      </c>
      <c r="W1257" s="20" t="s">
        <v>129</v>
      </c>
      <c r="X1257" s="20" t="s">
        <v>130</v>
      </c>
      <c r="Y1257" s="20" t="s">
        <v>130</v>
      </c>
      <c r="Z1257" s="20" t="s">
        <v>60</v>
      </c>
      <c r="AA1257" s="20" t="s">
        <v>61</v>
      </c>
      <c r="AB1257" s="20" t="s">
        <v>96</v>
      </c>
      <c r="AC1257" s="28">
        <v>369.83</v>
      </c>
      <c r="AD1257" s="28">
        <f>SUM(BASE[[#This Row],[MONTO DE RENTA ]]*1.16)</f>
        <v>429.00279999999998</v>
      </c>
      <c r="AE1257" s="28" t="s">
        <v>63</v>
      </c>
      <c r="AF1257" s="28">
        <v>369.82758620689657</v>
      </c>
      <c r="AG1257" s="28">
        <v>429</v>
      </c>
      <c r="AI1257" s="63">
        <v>44937</v>
      </c>
      <c r="AJ1257" s="73">
        <v>46043</v>
      </c>
      <c r="AK12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57" s="30"/>
      <c r="AN1257" s="20" t="s">
        <v>99</v>
      </c>
      <c r="AP1257" s="20" t="s">
        <v>84</v>
      </c>
      <c r="AQ1257" s="20" t="s">
        <v>100</v>
      </c>
    </row>
    <row r="1258" spans="1:43" ht="16">
      <c r="A1258" s="20">
        <v>8118242597</v>
      </c>
      <c r="B1258" s="21">
        <v>1056457</v>
      </c>
      <c r="C1258" s="20" t="s">
        <v>5660</v>
      </c>
      <c r="D1258" s="20" t="s">
        <v>711</v>
      </c>
      <c r="E1258" s="20" t="s">
        <v>657</v>
      </c>
      <c r="F1258" s="20" t="s">
        <v>5661</v>
      </c>
      <c r="G1258" s="20" t="s">
        <v>5661</v>
      </c>
      <c r="H1258" s="20" t="s">
        <v>5662</v>
      </c>
      <c r="I1258" s="20" t="s">
        <v>5661</v>
      </c>
      <c r="J1258" s="54" t="s">
        <v>5663</v>
      </c>
      <c r="K1258" s="54" t="s">
        <v>5663</v>
      </c>
      <c r="L1258" s="23" t="s">
        <v>92</v>
      </c>
      <c r="M1258" s="24" t="s">
        <v>7738</v>
      </c>
      <c r="N1258" s="23">
        <v>18848112</v>
      </c>
      <c r="O1258" s="25" t="s">
        <v>74</v>
      </c>
      <c r="P1258" s="25" t="s">
        <v>53</v>
      </c>
      <c r="Q1258" s="20" t="s">
        <v>5664</v>
      </c>
      <c r="R1258" s="20">
        <v>45017342</v>
      </c>
      <c r="S1258" s="25" t="s">
        <v>5665</v>
      </c>
      <c r="T1258" s="65" t="s">
        <v>57</v>
      </c>
      <c r="U1258" s="23">
        <v>860900062257746</v>
      </c>
      <c r="V1258" s="27" t="s">
        <v>57</v>
      </c>
      <c r="W1258" s="20" t="s">
        <v>58</v>
      </c>
      <c r="X1258" s="20" t="s">
        <v>59</v>
      </c>
      <c r="Y1258" s="20" t="s">
        <v>59</v>
      </c>
      <c r="Z1258" s="20" t="s">
        <v>131</v>
      </c>
      <c r="AA1258" s="20" t="s">
        <v>132</v>
      </c>
      <c r="AB1258" s="20" t="s">
        <v>96</v>
      </c>
      <c r="AC1258" s="28">
        <v>369.83</v>
      </c>
      <c r="AD1258" s="28">
        <f>SUM(BASE[[#This Row],[MONTO DE RENTA ]]*1.16)</f>
        <v>429.00279999999998</v>
      </c>
      <c r="AE1258" s="28" t="s">
        <v>63</v>
      </c>
      <c r="AF1258" s="28">
        <v>369.82758620689657</v>
      </c>
      <c r="AG1258" s="28">
        <v>429</v>
      </c>
      <c r="AH1258" s="22" t="s">
        <v>5666</v>
      </c>
      <c r="AI1258" s="29">
        <v>45710</v>
      </c>
      <c r="AJ1258" s="29">
        <v>46402</v>
      </c>
      <c r="AK1258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258" s="30" t="s">
        <v>5667</v>
      </c>
      <c r="AN1258" s="20" t="s">
        <v>65</v>
      </c>
      <c r="AP1258" s="20" t="s">
        <v>84</v>
      </c>
    </row>
    <row r="1259" spans="1:43" ht="16">
      <c r="A1259" s="99">
        <v>8115638264</v>
      </c>
      <c r="B1259" s="49">
        <v>6425</v>
      </c>
      <c r="C1259" s="20" t="s">
        <v>5668</v>
      </c>
      <c r="D1259" s="20" t="s">
        <v>5669</v>
      </c>
      <c r="E1259" s="20" t="s">
        <v>187</v>
      </c>
      <c r="F1259" s="20" t="s">
        <v>5670</v>
      </c>
      <c r="G1259" s="20" t="s">
        <v>5670</v>
      </c>
      <c r="H1259" s="20" t="s">
        <v>5671</v>
      </c>
      <c r="I1259" s="20" t="s">
        <v>5670</v>
      </c>
      <c r="J1259" s="22" t="s">
        <v>5672</v>
      </c>
      <c r="K1259" s="32" t="s">
        <v>5673</v>
      </c>
      <c r="L1259" s="23" t="s">
        <v>92</v>
      </c>
      <c r="M1259" s="24" t="s">
        <v>7738</v>
      </c>
      <c r="N1259" s="23">
        <v>18848001</v>
      </c>
      <c r="O1259" s="25" t="s">
        <v>74</v>
      </c>
      <c r="P1259" s="25" t="s">
        <v>53</v>
      </c>
      <c r="Q1259" s="20" t="s">
        <v>5674</v>
      </c>
      <c r="R1259" s="20">
        <v>42888665</v>
      </c>
      <c r="S1259" s="25" t="s">
        <v>55</v>
      </c>
      <c r="T1259" s="26" t="s">
        <v>56</v>
      </c>
      <c r="U1259" s="23">
        <v>351307358000648</v>
      </c>
      <c r="V1259" s="27" t="s">
        <v>78</v>
      </c>
      <c r="W1259" s="20" t="s">
        <v>79</v>
      </c>
      <c r="X1259" s="20" t="s">
        <v>79</v>
      </c>
      <c r="Y1259" s="20" t="s">
        <v>79</v>
      </c>
      <c r="Z1259" s="20" t="s">
        <v>60</v>
      </c>
      <c r="AA1259" s="20" t="s">
        <v>61</v>
      </c>
      <c r="AB1259" s="20" t="s">
        <v>96</v>
      </c>
      <c r="AC1259" s="28">
        <v>369.83</v>
      </c>
      <c r="AD1259" s="28">
        <f>SUM(BASE[[#This Row],[MONTO DE RENTA ]]*1.16)</f>
        <v>429.00279999999998</v>
      </c>
      <c r="AE1259" s="28" t="s">
        <v>83</v>
      </c>
      <c r="AF1259" s="28">
        <v>559.48275862068965</v>
      </c>
      <c r="AG1259" s="28">
        <v>649</v>
      </c>
      <c r="AI1259" s="29">
        <v>44937</v>
      </c>
      <c r="AJ1259" s="29">
        <v>46429</v>
      </c>
      <c r="AK12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59" s="30"/>
      <c r="AN1259" s="20" t="s">
        <v>65</v>
      </c>
      <c r="AO1259" s="20" t="s">
        <v>169</v>
      </c>
      <c r="AP1259" s="20" t="s">
        <v>66</v>
      </c>
      <c r="AQ1259" s="20" t="s">
        <v>100</v>
      </c>
    </row>
    <row r="1260" spans="1:43" ht="16">
      <c r="A1260" s="20">
        <v>8126810145</v>
      </c>
      <c r="B1260" s="49">
        <v>6425</v>
      </c>
      <c r="C1260" s="20" t="s">
        <v>5668</v>
      </c>
      <c r="D1260" s="20" t="s">
        <v>5669</v>
      </c>
      <c r="E1260" s="20" t="s">
        <v>187</v>
      </c>
      <c r="F1260" s="20" t="s">
        <v>5670</v>
      </c>
      <c r="G1260" s="20" t="s">
        <v>5670</v>
      </c>
      <c r="H1260" s="20" t="s">
        <v>5671</v>
      </c>
      <c r="I1260" s="20" t="s">
        <v>5670</v>
      </c>
      <c r="J1260" s="32" t="s">
        <v>5673</v>
      </c>
      <c r="K1260" s="32" t="s">
        <v>5673</v>
      </c>
      <c r="L1260" s="23" t="s">
        <v>92</v>
      </c>
      <c r="M1260" s="24" t="s">
        <v>7738</v>
      </c>
      <c r="N1260" s="23">
        <v>18848001</v>
      </c>
      <c r="O1260" s="25" t="s">
        <v>74</v>
      </c>
      <c r="P1260" s="25" t="s">
        <v>53</v>
      </c>
      <c r="Q1260" s="20" t="s">
        <v>5675</v>
      </c>
      <c r="R1260" s="20">
        <v>44114615</v>
      </c>
      <c r="S1260" s="25" t="s">
        <v>5676</v>
      </c>
      <c r="T1260" s="26" t="s">
        <v>77</v>
      </c>
      <c r="U1260" s="23">
        <v>351307358000648</v>
      </c>
      <c r="V1260" s="27" t="s">
        <v>78</v>
      </c>
      <c r="W1260" s="20" t="s">
        <v>79</v>
      </c>
      <c r="X1260" s="20" t="s">
        <v>79</v>
      </c>
      <c r="Y1260" s="20" t="s">
        <v>79</v>
      </c>
      <c r="Z1260" s="20">
        <v>0</v>
      </c>
      <c r="AA1260" s="20">
        <v>0</v>
      </c>
      <c r="AB1260" s="20" t="s">
        <v>5677</v>
      </c>
      <c r="AC1260" s="28">
        <v>369.83</v>
      </c>
      <c r="AD1260" s="28">
        <f>SUM(BASE[[#This Row],[MONTO DE RENTA ]]*1.16)</f>
        <v>429.00279999999998</v>
      </c>
      <c r="AE1260" s="28" t="s">
        <v>83</v>
      </c>
      <c r="AF1260" s="28">
        <v>559.48275862068965</v>
      </c>
      <c r="AG1260" s="28">
        <v>649</v>
      </c>
      <c r="AI1260" s="63">
        <v>45940</v>
      </c>
      <c r="AJ1260" s="63">
        <v>46438</v>
      </c>
      <c r="AK126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60" s="30"/>
      <c r="AN1260" s="20" t="s">
        <v>65</v>
      </c>
      <c r="AO1260" s="20" t="s">
        <v>169</v>
      </c>
      <c r="AP1260" s="20" t="s">
        <v>66</v>
      </c>
      <c r="AQ1260" s="20" t="s">
        <v>100</v>
      </c>
    </row>
    <row r="1261" spans="1:43" ht="16">
      <c r="A1261" s="20">
        <v>8119991127</v>
      </c>
      <c r="B1261" s="21">
        <v>1025355</v>
      </c>
      <c r="C1261" s="20" t="s">
        <v>5678</v>
      </c>
      <c r="D1261" s="20" t="s">
        <v>1745</v>
      </c>
      <c r="E1261" s="20" t="s">
        <v>69</v>
      </c>
      <c r="F1261" s="20" t="s">
        <v>5679</v>
      </c>
      <c r="G1261" s="20" t="s">
        <v>5679</v>
      </c>
      <c r="H1261" s="20" t="s">
        <v>231</v>
      </c>
      <c r="I1261" s="20" t="s">
        <v>5679</v>
      </c>
      <c r="J1261" s="22" t="s">
        <v>5680</v>
      </c>
      <c r="K1261" s="32" t="s">
        <v>5681</v>
      </c>
      <c r="L1261" s="23" t="s">
        <v>92</v>
      </c>
      <c r="M1261" s="24" t="s">
        <v>7738</v>
      </c>
      <c r="N1261" s="23">
        <v>18848062</v>
      </c>
      <c r="O1261" s="25" t="s">
        <v>74</v>
      </c>
      <c r="P1261" s="25" t="s">
        <v>53</v>
      </c>
      <c r="Q1261" s="20" t="s">
        <v>5682</v>
      </c>
      <c r="R1261" s="20">
        <v>42913913</v>
      </c>
      <c r="S1261" s="25" t="s">
        <v>5683</v>
      </c>
      <c r="T1261" s="26" t="s">
        <v>77</v>
      </c>
      <c r="U1261" s="23">
        <v>358366320542098</v>
      </c>
      <c r="V1261" s="27" t="s">
        <v>78</v>
      </c>
      <c r="W1261" s="20" t="s">
        <v>79</v>
      </c>
      <c r="X1261" s="20" t="s">
        <v>79</v>
      </c>
      <c r="Y1261" s="20" t="s">
        <v>79</v>
      </c>
      <c r="Z1261" s="20" t="s">
        <v>167</v>
      </c>
      <c r="AA1261" s="20" t="s">
        <v>168</v>
      </c>
      <c r="AB1261" s="20" t="s">
        <v>82</v>
      </c>
      <c r="AC1261" s="28">
        <v>559.48</v>
      </c>
      <c r="AD1261" s="28">
        <f>SUM(BASE[[#This Row],[MONTO DE RENTA ]]*1.16)</f>
        <v>648.99680000000001</v>
      </c>
      <c r="AE1261" s="28" t="s">
        <v>83</v>
      </c>
      <c r="AF1261" s="28">
        <v>559.48275862068965</v>
      </c>
      <c r="AG1261" s="28">
        <v>649</v>
      </c>
      <c r="AH1261" s="22" t="s">
        <v>64</v>
      </c>
      <c r="AI1261" s="63">
        <v>45703</v>
      </c>
      <c r="AJ1261" s="63">
        <v>46433</v>
      </c>
      <c r="AK126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61" s="30"/>
      <c r="AN1261" s="20" t="s">
        <v>65</v>
      </c>
      <c r="AP1261" s="20" t="s">
        <v>84</v>
      </c>
    </row>
    <row r="1262" spans="1:43" ht="16">
      <c r="A1262" s="20">
        <v>8123650130</v>
      </c>
      <c r="B1262" s="70">
        <v>890124</v>
      </c>
      <c r="C1262" s="20" t="s">
        <v>5684</v>
      </c>
      <c r="D1262" s="20" t="s">
        <v>598</v>
      </c>
      <c r="E1262" s="20" t="s">
        <v>1432</v>
      </c>
      <c r="F1262" s="20" t="s">
        <v>5685</v>
      </c>
      <c r="G1262" s="20" t="s">
        <v>5685</v>
      </c>
      <c r="H1262" s="20" t="s">
        <v>5320</v>
      </c>
      <c r="I1262" s="20" t="s">
        <v>5685</v>
      </c>
      <c r="J1262" s="47" t="s">
        <v>5686</v>
      </c>
      <c r="K1262" s="47" t="s">
        <v>5686</v>
      </c>
      <c r="L1262" s="38" t="s">
        <v>92</v>
      </c>
      <c r="M1262" s="24" t="s">
        <v>7738</v>
      </c>
      <c r="N1262" s="23">
        <v>18848048</v>
      </c>
      <c r="O1262" s="25" t="s">
        <v>74</v>
      </c>
      <c r="P1262" s="25" t="s">
        <v>53</v>
      </c>
      <c r="Q1262" s="20" t="s">
        <v>5687</v>
      </c>
      <c r="R1262" s="20">
        <v>45542958</v>
      </c>
      <c r="S1262" s="25" t="s">
        <v>55</v>
      </c>
      <c r="T1262" s="39" t="s">
        <v>56</v>
      </c>
      <c r="U1262" s="23">
        <v>860900062337704</v>
      </c>
      <c r="V1262" s="60" t="s">
        <v>183</v>
      </c>
      <c r="W1262" s="20" t="s">
        <v>58</v>
      </c>
      <c r="X1262" s="20" t="s">
        <v>59</v>
      </c>
      <c r="Y1262" s="20" t="s">
        <v>59</v>
      </c>
      <c r="Z1262" s="20" t="s">
        <v>5527</v>
      </c>
      <c r="AA1262" s="20" t="s">
        <v>5528</v>
      </c>
      <c r="AB1262" s="20" t="s">
        <v>244</v>
      </c>
      <c r="AC1262" s="28">
        <v>473.28</v>
      </c>
      <c r="AD1262" s="28">
        <f>SUM(BASE[[#This Row],[MONTO DE RENTA ]]*1.16)</f>
        <v>549.00479999999993</v>
      </c>
      <c r="AE1262" s="28" t="s">
        <v>63</v>
      </c>
      <c r="AF1262" s="28">
        <v>369.82758620689657</v>
      </c>
      <c r="AG1262" s="28">
        <v>429</v>
      </c>
      <c r="AH1262" s="36" t="s">
        <v>64</v>
      </c>
      <c r="AI1262" s="84">
        <v>45323</v>
      </c>
      <c r="AJ1262" s="63">
        <v>46753</v>
      </c>
      <c r="AK1262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262" s="34"/>
      <c r="AM1262" s="42"/>
      <c r="AN1262" s="20" t="s">
        <v>65</v>
      </c>
      <c r="AP1262" s="20" t="s">
        <v>118</v>
      </c>
    </row>
    <row r="1263" spans="1:43" ht="16">
      <c r="A1263" s="20">
        <v>8126819533</v>
      </c>
      <c r="B1263" s="49">
        <v>1020781</v>
      </c>
      <c r="C1263" s="20" t="s">
        <v>5688</v>
      </c>
      <c r="D1263" s="20" t="s">
        <v>3074</v>
      </c>
      <c r="E1263" s="20" t="s">
        <v>143</v>
      </c>
      <c r="F1263" s="20" t="s">
        <v>5689</v>
      </c>
      <c r="G1263" s="20" t="s">
        <v>5689</v>
      </c>
      <c r="H1263" s="20" t="s">
        <v>5437</v>
      </c>
      <c r="I1263" s="20" t="s">
        <v>5689</v>
      </c>
      <c r="J1263" s="22" t="s">
        <v>5690</v>
      </c>
      <c r="K1263" s="32" t="s">
        <v>5691</v>
      </c>
      <c r="L1263" s="23" t="s">
        <v>92</v>
      </c>
      <c r="M1263" s="24" t="s">
        <v>7738</v>
      </c>
      <c r="N1263" s="23">
        <v>18848063</v>
      </c>
      <c r="O1263" s="25" t="s">
        <v>74</v>
      </c>
      <c r="P1263" s="25" t="s">
        <v>53</v>
      </c>
      <c r="Q1263" s="20" t="s">
        <v>5692</v>
      </c>
      <c r="R1263" s="20">
        <v>44114617</v>
      </c>
      <c r="S1263" s="25" t="s">
        <v>55</v>
      </c>
      <c r="T1263" s="26" t="s">
        <v>56</v>
      </c>
      <c r="U1263" s="23">
        <v>359928213538852</v>
      </c>
      <c r="V1263" s="27" t="s">
        <v>78</v>
      </c>
      <c r="W1263" s="20" t="s">
        <v>79</v>
      </c>
      <c r="X1263" s="20" t="s">
        <v>79</v>
      </c>
      <c r="Y1263" s="20" t="s">
        <v>79</v>
      </c>
      <c r="Z1263" s="20" t="s">
        <v>60</v>
      </c>
      <c r="AA1263" s="20" t="s">
        <v>61</v>
      </c>
      <c r="AB1263" s="20" t="s">
        <v>96</v>
      </c>
      <c r="AC1263" s="28">
        <v>369.83</v>
      </c>
      <c r="AD1263" s="28">
        <f>SUM(BASE[[#This Row],[MONTO DE RENTA ]]*1.16)</f>
        <v>429.00279999999998</v>
      </c>
      <c r="AE1263" s="28" t="s">
        <v>83</v>
      </c>
      <c r="AF1263" s="28">
        <v>559.48275862068965</v>
      </c>
      <c r="AG1263" s="28">
        <v>649</v>
      </c>
      <c r="AI1263" s="63">
        <v>44937</v>
      </c>
      <c r="AJ1263" s="63">
        <v>46429</v>
      </c>
      <c r="AK126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263"/>
      <c r="AM1263" s="30"/>
      <c r="AN1263" s="20" t="s">
        <v>65</v>
      </c>
      <c r="AO1263" s="20" t="s">
        <v>169</v>
      </c>
      <c r="AP1263" s="20" t="s">
        <v>66</v>
      </c>
      <c r="AQ1263" s="20" t="s">
        <v>100</v>
      </c>
    </row>
    <row r="1264" spans="1:43" ht="16">
      <c r="A1264" s="20">
        <v>8112608232</v>
      </c>
      <c r="B1264" s="49">
        <v>1031999</v>
      </c>
      <c r="C1264" s="20" t="s">
        <v>3139</v>
      </c>
      <c r="D1264" s="20" t="s">
        <v>405</v>
      </c>
      <c r="E1264" s="20" t="s">
        <v>358</v>
      </c>
      <c r="F1264" s="20" t="s">
        <v>5693</v>
      </c>
      <c r="G1264" s="20" t="s">
        <v>5693</v>
      </c>
      <c r="H1264" s="20" t="s">
        <v>5289</v>
      </c>
      <c r="I1264" s="20" t="s">
        <v>5693</v>
      </c>
      <c r="J1264" s="32" t="s">
        <v>5694</v>
      </c>
      <c r="K1264" s="32" t="s">
        <v>5694</v>
      </c>
      <c r="L1264" s="23" t="s">
        <v>92</v>
      </c>
      <c r="M1264" s="24" t="s">
        <v>7738</v>
      </c>
      <c r="N1264" s="23">
        <v>18848027</v>
      </c>
      <c r="O1264" s="25" t="s">
        <v>74</v>
      </c>
      <c r="P1264" s="25" t="s">
        <v>53</v>
      </c>
      <c r="Q1264" s="20" t="s">
        <v>5695</v>
      </c>
      <c r="R1264" s="20">
        <v>43132012</v>
      </c>
      <c r="S1264" s="25" t="s">
        <v>55</v>
      </c>
      <c r="T1264" s="26" t="s">
        <v>56</v>
      </c>
      <c r="U1264" s="23">
        <v>860900062238480</v>
      </c>
      <c r="V1264" s="27" t="s">
        <v>57</v>
      </c>
      <c r="W1264" s="20" t="s">
        <v>58</v>
      </c>
      <c r="X1264" s="20" t="s">
        <v>59</v>
      </c>
      <c r="Y1264" s="20" t="s">
        <v>59</v>
      </c>
      <c r="Z1264" s="20" t="s">
        <v>60</v>
      </c>
      <c r="AA1264" s="20" t="s">
        <v>61</v>
      </c>
      <c r="AB1264" s="20" t="s">
        <v>96</v>
      </c>
      <c r="AC1264" s="28">
        <v>369.83</v>
      </c>
      <c r="AD1264" s="28">
        <f>SUM(BASE[[#This Row],[MONTO DE RENTA ]]*1.16)</f>
        <v>429.00279999999998</v>
      </c>
      <c r="AE1264" s="28" t="s">
        <v>63</v>
      </c>
      <c r="AF1264" s="28">
        <v>369.82758620689657</v>
      </c>
      <c r="AG1264" s="28">
        <v>429</v>
      </c>
      <c r="AI1264" s="63">
        <v>44937</v>
      </c>
      <c r="AJ1264" s="63">
        <v>46429</v>
      </c>
      <c r="AK12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64" s="30"/>
      <c r="AN1264" s="20" t="s">
        <v>65</v>
      </c>
      <c r="AP1264" s="20" t="s">
        <v>84</v>
      </c>
    </row>
    <row r="1265" spans="1:43" ht="16">
      <c r="A1265" s="20">
        <v>8112634707</v>
      </c>
      <c r="B1265" s="49">
        <v>10636</v>
      </c>
      <c r="C1265" s="20" t="s">
        <v>5696</v>
      </c>
      <c r="D1265" s="20" t="s">
        <v>187</v>
      </c>
      <c r="E1265" s="20" t="s">
        <v>5697</v>
      </c>
      <c r="F1265" s="20" t="s">
        <v>88</v>
      </c>
      <c r="G1265" s="20" t="s">
        <v>88</v>
      </c>
      <c r="H1265" s="20" t="s">
        <v>89</v>
      </c>
      <c r="I1265" s="20" t="s">
        <v>88</v>
      </c>
      <c r="J1265" s="22" t="s">
        <v>5698</v>
      </c>
      <c r="K1265" s="22" t="s">
        <v>5699</v>
      </c>
      <c r="L1265" s="23" t="s">
        <v>92</v>
      </c>
      <c r="M1265" s="24" t="s">
        <v>7738</v>
      </c>
      <c r="N1265" s="23">
        <v>18848041</v>
      </c>
      <c r="O1265" s="25" t="s">
        <v>74</v>
      </c>
      <c r="P1265" s="25" t="s">
        <v>53</v>
      </c>
      <c r="Q1265" s="20" t="s">
        <v>5700</v>
      </c>
      <c r="R1265" s="20">
        <v>42888628</v>
      </c>
      <c r="S1265" s="25" t="s">
        <v>55</v>
      </c>
      <c r="T1265" s="26" t="s">
        <v>56</v>
      </c>
      <c r="U1265" s="23">
        <v>357654178961309</v>
      </c>
      <c r="V1265" s="27" t="s">
        <v>78</v>
      </c>
      <c r="W1265" s="20" t="s">
        <v>95</v>
      </c>
      <c r="X1265" s="20" t="s">
        <v>95</v>
      </c>
      <c r="Y1265" s="20" t="s">
        <v>95</v>
      </c>
      <c r="Z1265" s="20" t="s">
        <v>60</v>
      </c>
      <c r="AA1265" s="20" t="s">
        <v>61</v>
      </c>
      <c r="AB1265" s="20" t="s">
        <v>82</v>
      </c>
      <c r="AC1265" s="28">
        <v>559.48</v>
      </c>
      <c r="AD1265" s="28">
        <f>SUM(BASE[[#This Row],[MONTO DE RENTA ]]*1.16)</f>
        <v>648.99680000000001</v>
      </c>
      <c r="AE1265" s="28" t="s">
        <v>83</v>
      </c>
      <c r="AF1265" s="28">
        <v>559.48275862068965</v>
      </c>
      <c r="AG1265" s="28">
        <v>649</v>
      </c>
      <c r="AI1265" s="63">
        <v>44937</v>
      </c>
      <c r="AJ1265" s="73">
        <v>46043</v>
      </c>
      <c r="AK12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65" s="30"/>
      <c r="AN1265" s="20" t="s">
        <v>99</v>
      </c>
      <c r="AP1265" s="20" t="s">
        <v>84</v>
      </c>
      <c r="AQ1265" s="20" t="s">
        <v>100</v>
      </c>
    </row>
    <row r="1266" spans="1:43" ht="16">
      <c r="A1266" s="146">
        <v>8115367922</v>
      </c>
      <c r="B1266" s="276">
        <v>1001418</v>
      </c>
      <c r="C1266" s="20" t="s">
        <v>5701</v>
      </c>
      <c r="D1266" s="20" t="s">
        <v>45</v>
      </c>
      <c r="E1266" s="20" t="s">
        <v>152</v>
      </c>
      <c r="F1266" s="20" t="s">
        <v>5702</v>
      </c>
      <c r="G1266" s="20" t="s">
        <v>5702</v>
      </c>
      <c r="H1266" s="20" t="s">
        <v>199</v>
      </c>
      <c r="I1266" s="20" t="s">
        <v>5702</v>
      </c>
      <c r="J1266" s="277" t="s">
        <v>5703</v>
      </c>
      <c r="K1266" s="277" t="s">
        <v>5703</v>
      </c>
      <c r="L1266" s="23" t="s">
        <v>92</v>
      </c>
      <c r="M1266" s="24" t="s">
        <v>7738</v>
      </c>
      <c r="N1266" s="23">
        <v>18848076</v>
      </c>
      <c r="O1266" s="25" t="s">
        <v>74</v>
      </c>
      <c r="P1266" s="25" t="s">
        <v>53</v>
      </c>
      <c r="Q1266" s="20" t="s">
        <v>5704</v>
      </c>
      <c r="R1266" s="20">
        <v>43163634</v>
      </c>
      <c r="S1266" s="25" t="s">
        <v>5705</v>
      </c>
      <c r="T1266" s="251" t="s">
        <v>57</v>
      </c>
      <c r="U1266" s="23" t="s">
        <v>193</v>
      </c>
      <c r="V1266" s="27" t="s">
        <v>78</v>
      </c>
      <c r="W1266" s="20" t="s">
        <v>194</v>
      </c>
      <c r="X1266" s="20" t="s">
        <v>194</v>
      </c>
      <c r="Y1266" s="20" t="s">
        <v>194</v>
      </c>
      <c r="Z1266" s="20" t="s">
        <v>167</v>
      </c>
      <c r="AA1266" s="20" t="s">
        <v>168</v>
      </c>
      <c r="AB1266" s="20" t="s">
        <v>96</v>
      </c>
      <c r="AC1266" s="28">
        <v>369.83</v>
      </c>
      <c r="AD1266" s="28">
        <f>SUM(BASE[[#This Row],[MONTO DE RENTA ]]*1.16)</f>
        <v>429.00279999999998</v>
      </c>
      <c r="AE1266" s="28" t="s">
        <v>83</v>
      </c>
      <c r="AF1266" s="28">
        <v>559.48275862068965</v>
      </c>
      <c r="AG1266" s="28">
        <v>649</v>
      </c>
      <c r="AH1266" s="250"/>
      <c r="AI1266" s="63">
        <v>44937</v>
      </c>
      <c r="AJ1266" s="84">
        <v>46681</v>
      </c>
      <c r="AK126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266" s="146"/>
      <c r="AM1266" s="253"/>
      <c r="AN1266" s="20" t="s">
        <v>65</v>
      </c>
      <c r="AO1266" s="20" t="s">
        <v>169</v>
      </c>
      <c r="AP1266" s="20" t="s">
        <v>66</v>
      </c>
      <c r="AQ1266" s="20" t="s">
        <v>100</v>
      </c>
    </row>
    <row r="1267" spans="1:43" ht="16">
      <c r="A1267" s="20">
        <v>8126810153</v>
      </c>
      <c r="B1267" s="49">
        <v>1011551</v>
      </c>
      <c r="C1267" s="20" t="s">
        <v>4584</v>
      </c>
      <c r="D1267" s="20" t="s">
        <v>5706</v>
      </c>
      <c r="E1267" s="20" t="s">
        <v>376</v>
      </c>
      <c r="F1267" s="20" t="s">
        <v>5707</v>
      </c>
      <c r="G1267" s="20" t="s">
        <v>5707</v>
      </c>
      <c r="H1267" s="20" t="s">
        <v>5381</v>
      </c>
      <c r="I1267" s="20" t="s">
        <v>5707</v>
      </c>
      <c r="J1267" s="22" t="s">
        <v>5708</v>
      </c>
      <c r="K1267" s="22" t="s">
        <v>5708</v>
      </c>
      <c r="L1267" s="23" t="s">
        <v>92</v>
      </c>
      <c r="M1267" s="24" t="s">
        <v>7738</v>
      </c>
      <c r="N1267" s="23">
        <v>18848017</v>
      </c>
      <c r="O1267" s="25" t="s">
        <v>74</v>
      </c>
      <c r="P1267" s="25" t="s">
        <v>53</v>
      </c>
      <c r="Q1267" s="20" t="s">
        <v>5709</v>
      </c>
      <c r="R1267" s="20">
        <v>44114613</v>
      </c>
      <c r="S1267" s="25" t="s">
        <v>55</v>
      </c>
      <c r="T1267" s="26" t="s">
        <v>56</v>
      </c>
      <c r="U1267" s="23">
        <v>865356065671620</v>
      </c>
      <c r="V1267" s="27" t="s">
        <v>183</v>
      </c>
      <c r="W1267" s="20" t="s">
        <v>129</v>
      </c>
      <c r="X1267" s="20" t="s">
        <v>130</v>
      </c>
      <c r="Y1267" s="20" t="s">
        <v>130</v>
      </c>
      <c r="Z1267" s="20" t="s">
        <v>60</v>
      </c>
      <c r="AA1267" s="20" t="s">
        <v>61</v>
      </c>
      <c r="AB1267" s="20" t="s">
        <v>96</v>
      </c>
      <c r="AC1267" s="28">
        <v>369.83</v>
      </c>
      <c r="AD1267" s="28">
        <f>SUM(BASE[[#This Row],[MONTO DE RENTA ]]*1.16)</f>
        <v>429.00279999999998</v>
      </c>
      <c r="AE1267" s="28" t="s">
        <v>63</v>
      </c>
      <c r="AF1267" s="28">
        <v>369.82758620689657</v>
      </c>
      <c r="AG1267" s="28">
        <v>429</v>
      </c>
      <c r="AI1267" s="63">
        <v>44937</v>
      </c>
      <c r="AJ1267" s="73">
        <v>46043</v>
      </c>
      <c r="AK12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67" s="30"/>
      <c r="AN1267" s="20" t="s">
        <v>99</v>
      </c>
      <c r="AP1267" s="20" t="s">
        <v>84</v>
      </c>
      <c r="AQ1267" s="20" t="s">
        <v>100</v>
      </c>
    </row>
    <row r="1268" spans="1:43" ht="16">
      <c r="A1268" s="20">
        <v>8123533675</v>
      </c>
      <c r="B1268" s="49">
        <v>1000572</v>
      </c>
      <c r="C1268" s="20" t="s">
        <v>740</v>
      </c>
      <c r="D1268" s="20" t="s">
        <v>2513</v>
      </c>
      <c r="E1268" s="20" t="s">
        <v>5710</v>
      </c>
      <c r="F1268" s="20" t="s">
        <v>5711</v>
      </c>
      <c r="G1268" s="20" t="s">
        <v>5711</v>
      </c>
      <c r="H1268" s="20" t="s">
        <v>199</v>
      </c>
      <c r="I1268" s="20" t="s">
        <v>5711</v>
      </c>
      <c r="J1268" s="22" t="s">
        <v>5712</v>
      </c>
      <c r="K1268" s="32" t="s">
        <v>5713</v>
      </c>
      <c r="L1268" s="23" t="s">
        <v>92</v>
      </c>
      <c r="M1268" s="24" t="s">
        <v>7738</v>
      </c>
      <c r="N1268" s="23">
        <v>18848097</v>
      </c>
      <c r="O1268" s="25" t="s">
        <v>74</v>
      </c>
      <c r="P1268" s="25" t="s">
        <v>53</v>
      </c>
      <c r="Q1268" s="20" t="s">
        <v>5714</v>
      </c>
      <c r="R1268" s="20">
        <v>44114427</v>
      </c>
      <c r="S1268" s="25" t="s">
        <v>55</v>
      </c>
      <c r="T1268" s="26" t="s">
        <v>56</v>
      </c>
      <c r="U1268" s="23">
        <v>354244474007818</v>
      </c>
      <c r="V1268" s="27" t="s">
        <v>78</v>
      </c>
      <c r="W1268" s="20" t="s">
        <v>5715</v>
      </c>
      <c r="X1268" s="20" t="s">
        <v>5715</v>
      </c>
      <c r="Y1268" s="20" t="s">
        <v>5715</v>
      </c>
      <c r="Z1268" s="20" t="s">
        <v>60</v>
      </c>
      <c r="AA1268" s="20" t="s">
        <v>61</v>
      </c>
      <c r="AB1268" s="20" t="s">
        <v>82</v>
      </c>
      <c r="AC1268" s="28">
        <v>559.48</v>
      </c>
      <c r="AD1268" s="28">
        <f>SUM(BASE[[#This Row],[MONTO DE RENTA ]]*1.16)</f>
        <v>648.99680000000001</v>
      </c>
      <c r="AE1268" s="28" t="s">
        <v>83</v>
      </c>
      <c r="AF1268" s="28">
        <v>559.48275862068965</v>
      </c>
      <c r="AG1268" s="28">
        <v>649</v>
      </c>
      <c r="AI1268" s="29">
        <v>44937</v>
      </c>
      <c r="AJ1268" s="50">
        <v>46043</v>
      </c>
      <c r="AK12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68" s="30"/>
      <c r="AN1268" s="20" t="s">
        <v>99</v>
      </c>
      <c r="AP1268" s="20" t="s">
        <v>84</v>
      </c>
      <c r="AQ1268" s="20" t="s">
        <v>100</v>
      </c>
    </row>
    <row r="1269" spans="1:43" ht="16">
      <c r="A1269" s="20">
        <v>8135512878</v>
      </c>
      <c r="B1269" s="49">
        <v>70015</v>
      </c>
      <c r="C1269" s="20" t="s">
        <v>5701</v>
      </c>
      <c r="D1269" s="20" t="s">
        <v>347</v>
      </c>
      <c r="E1269" s="20" t="s">
        <v>324</v>
      </c>
      <c r="F1269" s="20" t="s">
        <v>5334</v>
      </c>
      <c r="G1269" s="20" t="s">
        <v>5334</v>
      </c>
      <c r="H1269" s="20" t="s">
        <v>5320</v>
      </c>
      <c r="I1269" s="20" t="s">
        <v>5334</v>
      </c>
      <c r="J1269" s="54" t="s">
        <v>5716</v>
      </c>
      <c r="K1269" s="54" t="s">
        <v>5716</v>
      </c>
      <c r="L1269" s="23" t="s">
        <v>92</v>
      </c>
      <c r="M1269" s="24" t="s">
        <v>7738</v>
      </c>
      <c r="N1269" s="23">
        <v>18848031</v>
      </c>
      <c r="O1269" s="25" t="s">
        <v>74</v>
      </c>
      <c r="P1269" s="25" t="s">
        <v>53</v>
      </c>
      <c r="Q1269" s="20" t="s">
        <v>5717</v>
      </c>
      <c r="R1269" s="20">
        <v>43435342</v>
      </c>
      <c r="S1269" s="25" t="s">
        <v>55</v>
      </c>
      <c r="T1269" s="44" t="s">
        <v>56</v>
      </c>
      <c r="U1269" s="23">
        <v>357654178235860</v>
      </c>
      <c r="V1269" s="27" t="s">
        <v>78</v>
      </c>
      <c r="W1269" s="20" t="s">
        <v>5299</v>
      </c>
      <c r="X1269" s="20" t="s">
        <v>5299</v>
      </c>
      <c r="Y1269" s="20" t="s">
        <v>5299</v>
      </c>
      <c r="Z1269" s="20" t="s">
        <v>60</v>
      </c>
      <c r="AA1269" s="20" t="s">
        <v>61</v>
      </c>
      <c r="AB1269" s="20" t="s">
        <v>82</v>
      </c>
      <c r="AC1269" s="28">
        <v>559.48</v>
      </c>
      <c r="AD1269" s="28">
        <f>SUM(BASE[[#This Row],[MONTO DE RENTA ]]*1.16)</f>
        <v>648.99680000000001</v>
      </c>
      <c r="AE1269" s="28" t="s">
        <v>83</v>
      </c>
      <c r="AF1269" s="28">
        <v>559.48275862068965</v>
      </c>
      <c r="AG1269" s="28">
        <v>649</v>
      </c>
      <c r="AH1269" s="22" t="s">
        <v>98</v>
      </c>
      <c r="AI1269" s="29">
        <v>46071</v>
      </c>
      <c r="AJ1269" s="29">
        <v>46801</v>
      </c>
      <c r="AK1269" s="30">
        <f ca="1">IFERROR(IF(BASE[[#This Row],[FECHA DE RENOVACION ]]&gt;TODAY(), DATEDIF(TODAY(),BASE[[#This Row],[FECHA DE RENOVACION ]],"M"), -DATEDIF(BASE[[#This Row],[FECHA DE RENOVACION ]],TODAY(),"M")), "Sin fecha")</f>
        <v>23</v>
      </c>
      <c r="AL1269" s="82" t="s">
        <v>5718</v>
      </c>
      <c r="AM1269" s="30"/>
      <c r="AN1269" s="20" t="s">
        <v>4574</v>
      </c>
      <c r="AP1269" s="20" t="s">
        <v>84</v>
      </c>
    </row>
    <row r="1270" spans="1:43" ht="16">
      <c r="A1270" s="20">
        <v>8122021577</v>
      </c>
      <c r="B1270" s="21">
        <v>1070848</v>
      </c>
      <c r="C1270" s="20" t="s">
        <v>5719</v>
      </c>
      <c r="D1270" s="20" t="s">
        <v>5720</v>
      </c>
      <c r="E1270" s="20" t="s">
        <v>1013</v>
      </c>
      <c r="F1270" s="20" t="s">
        <v>5504</v>
      </c>
      <c r="G1270" s="20" t="s">
        <v>5504</v>
      </c>
      <c r="H1270" s="20" t="s">
        <v>231</v>
      </c>
      <c r="I1270" s="20" t="s">
        <v>5504</v>
      </c>
      <c r="J1270" s="32" t="s">
        <v>5721</v>
      </c>
      <c r="K1270" s="32" t="s">
        <v>5721</v>
      </c>
      <c r="L1270" s="23" t="s">
        <v>92</v>
      </c>
      <c r="M1270" s="24" t="s">
        <v>7738</v>
      </c>
      <c r="N1270" s="23">
        <v>18848062</v>
      </c>
      <c r="O1270" s="25" t="s">
        <v>74</v>
      </c>
      <c r="P1270" s="25" t="s">
        <v>53</v>
      </c>
      <c r="Q1270" s="20" t="s">
        <v>5722</v>
      </c>
      <c r="R1270" s="20">
        <v>45142588</v>
      </c>
      <c r="S1270" s="25" t="s">
        <v>55</v>
      </c>
      <c r="T1270" s="26" t="s">
        <v>56</v>
      </c>
      <c r="U1270" s="23">
        <v>865356065730335</v>
      </c>
      <c r="V1270" s="27" t="s">
        <v>183</v>
      </c>
      <c r="W1270" s="20" t="s">
        <v>129</v>
      </c>
      <c r="X1270" s="20" t="s">
        <v>130</v>
      </c>
      <c r="Y1270" s="20" t="s">
        <v>130</v>
      </c>
      <c r="Z1270" s="20" t="s">
        <v>60</v>
      </c>
      <c r="AA1270" s="20" t="s">
        <v>61</v>
      </c>
      <c r="AB1270" s="20" t="s">
        <v>62</v>
      </c>
      <c r="AC1270" s="28">
        <v>197.41</v>
      </c>
      <c r="AD1270" s="28">
        <f>SUM(BASE[[#This Row],[MONTO DE RENTA ]]*1.16)</f>
        <v>228.99559999999997</v>
      </c>
      <c r="AE1270" s="28" t="s">
        <v>63</v>
      </c>
      <c r="AF1270" s="28">
        <v>369.82758620689657</v>
      </c>
      <c r="AG1270" s="28">
        <v>429</v>
      </c>
      <c r="AI1270" s="63">
        <v>44937</v>
      </c>
      <c r="AJ1270" s="84">
        <v>46054</v>
      </c>
      <c r="AK127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0" s="30"/>
      <c r="AN1270" s="20" t="s">
        <v>99</v>
      </c>
      <c r="AP1270" s="20" t="s">
        <v>66</v>
      </c>
      <c r="AQ1270" s="20" t="s">
        <v>100</v>
      </c>
    </row>
    <row r="1271" spans="1:43" ht="16">
      <c r="A1271" s="20">
        <v>8116690487</v>
      </c>
      <c r="B1271" s="49">
        <v>4113</v>
      </c>
      <c r="C1271" s="20" t="s">
        <v>5723</v>
      </c>
      <c r="D1271" s="20" t="s">
        <v>1000</v>
      </c>
      <c r="E1271" s="20" t="s">
        <v>4313</v>
      </c>
      <c r="F1271" s="20" t="s">
        <v>5724</v>
      </c>
      <c r="G1271" s="20" t="s">
        <v>5724</v>
      </c>
      <c r="H1271" s="20" t="s">
        <v>208</v>
      </c>
      <c r="I1271" s="20" t="s">
        <v>5724</v>
      </c>
      <c r="J1271" s="22" t="s">
        <v>5725</v>
      </c>
      <c r="K1271" s="22" t="s">
        <v>5725</v>
      </c>
      <c r="L1271" s="23" t="s">
        <v>92</v>
      </c>
      <c r="M1271" s="24" t="s">
        <v>7738</v>
      </c>
      <c r="N1271" s="23">
        <v>18848090</v>
      </c>
      <c r="O1271" s="25" t="s">
        <v>74</v>
      </c>
      <c r="P1271" s="25" t="s">
        <v>53</v>
      </c>
      <c r="Q1271" s="20" t="s">
        <v>5726</v>
      </c>
      <c r="R1271" s="20">
        <v>43132046</v>
      </c>
      <c r="S1271" s="25" t="s">
        <v>55</v>
      </c>
      <c r="T1271" s="26" t="s">
        <v>56</v>
      </c>
      <c r="U1271" s="23">
        <v>357654178412303</v>
      </c>
      <c r="V1271" s="27" t="s">
        <v>78</v>
      </c>
      <c r="W1271" s="20" t="s">
        <v>5299</v>
      </c>
      <c r="X1271" s="20" t="s">
        <v>5299</v>
      </c>
      <c r="Y1271" s="20" t="s">
        <v>5299</v>
      </c>
      <c r="Z1271" s="20" t="s">
        <v>60</v>
      </c>
      <c r="AA1271" s="20" t="s">
        <v>61</v>
      </c>
      <c r="AB1271" s="20" t="s">
        <v>96</v>
      </c>
      <c r="AC1271" s="28">
        <v>369.83</v>
      </c>
      <c r="AD1271" s="28">
        <f>SUM(BASE[[#This Row],[MONTO DE RENTA ]]*1.16)</f>
        <v>429.00279999999998</v>
      </c>
      <c r="AE1271" s="28" t="s">
        <v>83</v>
      </c>
      <c r="AF1271" s="28">
        <v>559.48275862068965</v>
      </c>
      <c r="AG1271" s="28">
        <v>649</v>
      </c>
      <c r="AI1271" s="63">
        <v>44937</v>
      </c>
      <c r="AJ1271" s="73">
        <v>46043</v>
      </c>
      <c r="AK127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1" s="30"/>
      <c r="AN1271" s="20" t="s">
        <v>99</v>
      </c>
      <c r="AP1271" s="20" t="s">
        <v>66</v>
      </c>
      <c r="AQ1271" s="20" t="s">
        <v>100</v>
      </c>
    </row>
    <row r="1272" spans="1:43" ht="15.75" customHeight="1">
      <c r="A1272" s="20">
        <v>8126810137</v>
      </c>
      <c r="B1272" s="49">
        <v>1050834</v>
      </c>
      <c r="C1272" s="20" t="s">
        <v>5727</v>
      </c>
      <c r="D1272" s="20" t="s">
        <v>5728</v>
      </c>
      <c r="E1272" s="20" t="s">
        <v>1104</v>
      </c>
      <c r="F1272" s="20" t="s">
        <v>5729</v>
      </c>
      <c r="G1272" s="20" t="s">
        <v>5729</v>
      </c>
      <c r="H1272" s="20" t="s">
        <v>5730</v>
      </c>
      <c r="I1272" s="20" t="s">
        <v>5729</v>
      </c>
      <c r="J1272" s="54" t="s">
        <v>5731</v>
      </c>
      <c r="K1272" s="54" t="s">
        <v>5731</v>
      </c>
      <c r="L1272" s="23" t="s">
        <v>92</v>
      </c>
      <c r="M1272" s="24" t="s">
        <v>7738</v>
      </c>
      <c r="N1272" s="23">
        <v>18848088</v>
      </c>
      <c r="O1272" s="25" t="s">
        <v>74</v>
      </c>
      <c r="P1272" s="25" t="s">
        <v>53</v>
      </c>
      <c r="Q1272" s="20" t="s">
        <v>5732</v>
      </c>
      <c r="R1272" s="20">
        <v>44114504</v>
      </c>
      <c r="S1272" s="25" t="s">
        <v>55</v>
      </c>
      <c r="T1272" s="221" t="s">
        <v>56</v>
      </c>
      <c r="U1272" s="23">
        <v>860900062319082</v>
      </c>
      <c r="V1272" s="27" t="s">
        <v>183</v>
      </c>
      <c r="W1272" s="20" t="s">
        <v>58</v>
      </c>
      <c r="X1272" s="20" t="s">
        <v>59</v>
      </c>
      <c r="Y1272" s="20" t="s">
        <v>59</v>
      </c>
      <c r="Z1272" s="20" t="s">
        <v>60</v>
      </c>
      <c r="AA1272" s="20" t="s">
        <v>61</v>
      </c>
      <c r="AB1272" s="20" t="s">
        <v>96</v>
      </c>
      <c r="AC1272" s="28">
        <v>369.83</v>
      </c>
      <c r="AD1272" s="28">
        <f>SUM(BASE[[#This Row],[MONTO DE RENTA ]]*1.16)</f>
        <v>429.00279999999998</v>
      </c>
      <c r="AE1272" s="28" t="s">
        <v>63</v>
      </c>
      <c r="AF1272" s="28">
        <v>369.82758620689657</v>
      </c>
      <c r="AG1272" s="28">
        <v>429</v>
      </c>
      <c r="AH1272" s="22" t="s">
        <v>116</v>
      </c>
      <c r="AI1272" s="63">
        <v>45895</v>
      </c>
      <c r="AJ1272" s="63">
        <v>46625</v>
      </c>
      <c r="AK1272" s="30">
        <f ca="1">IFERROR(IF(BASE[[#This Row],[FECHA DE RENOVACION ]]&gt;TODAY(), DATEDIF(TODAY(),BASE[[#This Row],[FECHA DE RENOVACION ]],"M"), -DATEDIF(BASE[[#This Row],[FECHA DE RENOVACION ]],TODAY(),"M")), "Sin fecha")</f>
        <v>17</v>
      </c>
      <c r="AM1272" s="30"/>
      <c r="AN1272" s="20" t="s">
        <v>65</v>
      </c>
      <c r="AP1272" s="20" t="s">
        <v>84</v>
      </c>
    </row>
    <row r="1273" spans="1:43" ht="16">
      <c r="A1273" s="20">
        <v>8128602642</v>
      </c>
      <c r="B1273" s="59">
        <v>1049266</v>
      </c>
      <c r="C1273" s="20" t="s">
        <v>5733</v>
      </c>
      <c r="D1273" s="20" t="s">
        <v>187</v>
      </c>
      <c r="E1273" s="20" t="s">
        <v>937</v>
      </c>
      <c r="F1273" s="20" t="s">
        <v>5734</v>
      </c>
      <c r="G1273" s="20" t="s">
        <v>5734</v>
      </c>
      <c r="H1273" s="20" t="s">
        <v>5662</v>
      </c>
      <c r="I1273" s="20" t="s">
        <v>5734</v>
      </c>
      <c r="J1273" s="22" t="s">
        <v>5735</v>
      </c>
      <c r="K1273" s="22" t="s">
        <v>5735</v>
      </c>
      <c r="L1273" s="23" t="s">
        <v>92</v>
      </c>
      <c r="M1273" s="24" t="s">
        <v>7738</v>
      </c>
      <c r="N1273" s="23">
        <v>18848058</v>
      </c>
      <c r="O1273" s="25" t="s">
        <v>74</v>
      </c>
      <c r="P1273" s="25" t="s">
        <v>53</v>
      </c>
      <c r="Q1273" s="20" t="s">
        <v>5736</v>
      </c>
      <c r="R1273" s="20">
        <v>45017351</v>
      </c>
      <c r="S1273" s="25" t="s">
        <v>5737</v>
      </c>
      <c r="T1273" s="26" t="s">
        <v>57</v>
      </c>
      <c r="U1273" s="23">
        <v>860900062338116</v>
      </c>
      <c r="V1273" s="27" t="s">
        <v>57</v>
      </c>
      <c r="W1273" s="20" t="s">
        <v>58</v>
      </c>
      <c r="X1273" s="20" t="s">
        <v>59</v>
      </c>
      <c r="Y1273" s="20" t="s">
        <v>59</v>
      </c>
      <c r="Z1273" s="20" t="s">
        <v>167</v>
      </c>
      <c r="AA1273" s="20" t="s">
        <v>168</v>
      </c>
      <c r="AB1273" s="20" t="s">
        <v>96</v>
      </c>
      <c r="AC1273" s="28">
        <v>369.83</v>
      </c>
      <c r="AD1273" s="28">
        <f>SUM(BASE[[#This Row],[MONTO DE RENTA ]]*1.16)</f>
        <v>429.00279999999998</v>
      </c>
      <c r="AE1273" s="28" t="s">
        <v>63</v>
      </c>
      <c r="AF1273" s="28">
        <v>369.82758620689657</v>
      </c>
      <c r="AG1273" s="28">
        <v>429</v>
      </c>
      <c r="AH1273" s="22" t="s">
        <v>64</v>
      </c>
      <c r="AI1273" s="29">
        <v>45713</v>
      </c>
      <c r="AJ1273" s="29">
        <v>46433</v>
      </c>
      <c r="AK127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73" s="30"/>
      <c r="AN1273" s="20" t="s">
        <v>65</v>
      </c>
      <c r="AP1273" s="20" t="s">
        <v>84</v>
      </c>
    </row>
    <row r="1274" spans="1:43" s="230" customFormat="1" ht="16">
      <c r="A1274" s="20">
        <v>8113980212</v>
      </c>
      <c r="B1274" s="21">
        <v>0</v>
      </c>
      <c r="C1274" s="20" t="s">
        <v>1653</v>
      </c>
      <c r="D1274" s="20" t="s">
        <v>1654</v>
      </c>
      <c r="E1274" s="20" t="s">
        <v>1655</v>
      </c>
      <c r="F1274" s="20" t="s">
        <v>1656</v>
      </c>
      <c r="G1274" s="20" t="s">
        <v>1656</v>
      </c>
      <c r="H1274" s="20" t="s">
        <v>1657</v>
      </c>
      <c r="I1274" s="20" t="s">
        <v>1658</v>
      </c>
      <c r="J1274" s="22" t="s">
        <v>5738</v>
      </c>
      <c r="K1274" s="54" t="s">
        <v>5739</v>
      </c>
      <c r="L1274" s="23" t="s">
        <v>92</v>
      </c>
      <c r="M1274" s="24" t="s">
        <v>7738</v>
      </c>
      <c r="N1274" s="23" t="s">
        <v>1661</v>
      </c>
      <c r="O1274" s="25" t="s">
        <v>74</v>
      </c>
      <c r="P1274" s="25" t="s">
        <v>3857</v>
      </c>
      <c r="Q1274" s="20" t="s">
        <v>5740</v>
      </c>
      <c r="R1274" s="20">
        <v>43163587</v>
      </c>
      <c r="S1274" s="25" t="s">
        <v>5741</v>
      </c>
      <c r="T1274" s="278" t="s">
        <v>57</v>
      </c>
      <c r="U1274" s="23" t="s">
        <v>193</v>
      </c>
      <c r="V1274" s="27" t="s">
        <v>57</v>
      </c>
      <c r="W1274" s="20" t="s">
        <v>194</v>
      </c>
      <c r="X1274" s="20" t="s">
        <v>194</v>
      </c>
      <c r="Y1274" s="20" t="s">
        <v>194</v>
      </c>
      <c r="Z1274" s="20" t="s">
        <v>167</v>
      </c>
      <c r="AA1274" s="20" t="s">
        <v>168</v>
      </c>
      <c r="AB1274" s="20" t="s">
        <v>96</v>
      </c>
      <c r="AC1274" s="28">
        <v>369.83</v>
      </c>
      <c r="AD1274" s="28">
        <f>SUM(BASE[[#This Row],[MONTO DE RENTA ]]*1.16)</f>
        <v>429.00279999999998</v>
      </c>
      <c r="AE1274" s="28" t="s">
        <v>63</v>
      </c>
      <c r="AF1274" s="28">
        <v>369.82758620689657</v>
      </c>
      <c r="AG1274" s="28">
        <v>429</v>
      </c>
      <c r="AH1274" s="22"/>
      <c r="AI1274" s="63">
        <v>44937</v>
      </c>
      <c r="AJ1274" s="63">
        <v>46681</v>
      </c>
      <c r="AK127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274" s="20"/>
      <c r="AM1274" s="30"/>
      <c r="AN1274" s="20" t="s">
        <v>65</v>
      </c>
      <c r="AO1274" s="20"/>
      <c r="AP1274" s="20" t="s">
        <v>84</v>
      </c>
      <c r="AQ1274" s="20"/>
    </row>
    <row r="1275" spans="1:43" ht="16">
      <c r="A1275" s="20">
        <v>8128607554</v>
      </c>
      <c r="B1275" s="21">
        <v>740462</v>
      </c>
      <c r="C1275" s="20" t="s">
        <v>5742</v>
      </c>
      <c r="D1275" s="20" t="s">
        <v>546</v>
      </c>
      <c r="E1275" s="20" t="s">
        <v>5743</v>
      </c>
      <c r="F1275" s="20" t="s">
        <v>5587</v>
      </c>
      <c r="G1275" s="20" t="s">
        <v>5587</v>
      </c>
      <c r="H1275" s="20" t="s">
        <v>5320</v>
      </c>
      <c r="I1275" s="20" t="s">
        <v>5587</v>
      </c>
      <c r="J1275" s="22" t="s">
        <v>5744</v>
      </c>
      <c r="K1275" s="22" t="s">
        <v>5744</v>
      </c>
      <c r="L1275" s="23" t="s">
        <v>92</v>
      </c>
      <c r="M1275" s="24" t="s">
        <v>7738</v>
      </c>
      <c r="N1275" s="23">
        <v>18848044</v>
      </c>
      <c r="O1275" s="25" t="s">
        <v>74</v>
      </c>
      <c r="P1275" s="25" t="s">
        <v>53</v>
      </c>
      <c r="Q1275" s="20" t="s">
        <v>5745</v>
      </c>
      <c r="R1275" s="20">
        <v>45017354</v>
      </c>
      <c r="S1275" s="25" t="s">
        <v>5746</v>
      </c>
      <c r="T1275" s="26" t="s">
        <v>57</v>
      </c>
      <c r="U1275" s="23">
        <v>351307355050042</v>
      </c>
      <c r="V1275" s="27" t="s">
        <v>78</v>
      </c>
      <c r="W1275" s="20" t="s">
        <v>79</v>
      </c>
      <c r="X1275" s="20" t="s">
        <v>79</v>
      </c>
      <c r="Y1275" s="20" t="s">
        <v>79</v>
      </c>
      <c r="Z1275" s="20" t="s">
        <v>167</v>
      </c>
      <c r="AA1275" s="20" t="s">
        <v>168</v>
      </c>
      <c r="AB1275" s="20" t="s">
        <v>96</v>
      </c>
      <c r="AC1275" s="28">
        <v>369.83</v>
      </c>
      <c r="AD1275" s="28">
        <f>SUM(BASE[[#This Row],[MONTO DE RENTA ]]*1.16)</f>
        <v>429.00279999999998</v>
      </c>
      <c r="AE1275" s="28" t="s">
        <v>83</v>
      </c>
      <c r="AF1275" s="28">
        <v>559.48275862068965</v>
      </c>
      <c r="AG1275" s="28">
        <v>649</v>
      </c>
      <c r="AH1275" s="22" t="s">
        <v>64</v>
      </c>
      <c r="AI1275" s="63">
        <v>45713</v>
      </c>
      <c r="AJ1275" s="63">
        <v>46433</v>
      </c>
      <c r="AK12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75" s="30"/>
      <c r="AN1275" s="20" t="s">
        <v>65</v>
      </c>
      <c r="AO1275" s="20" t="s">
        <v>169</v>
      </c>
      <c r="AP1275" s="20" t="s">
        <v>66</v>
      </c>
      <c r="AQ1275" s="20" t="s">
        <v>100</v>
      </c>
    </row>
    <row r="1276" spans="1:43" ht="16">
      <c r="A1276" s="20">
        <v>2225410225</v>
      </c>
      <c r="B1276" s="49">
        <v>400089</v>
      </c>
      <c r="C1276" s="20" t="s">
        <v>5747</v>
      </c>
      <c r="D1276" s="20" t="s">
        <v>1067</v>
      </c>
      <c r="E1276" s="20" t="s">
        <v>5748</v>
      </c>
      <c r="F1276" s="20" t="s">
        <v>5385</v>
      </c>
      <c r="G1276" s="20" t="s">
        <v>5385</v>
      </c>
      <c r="H1276" s="20" t="s">
        <v>5381</v>
      </c>
      <c r="I1276" s="20" t="s">
        <v>5385</v>
      </c>
      <c r="J1276" s="22" t="s">
        <v>5749</v>
      </c>
      <c r="K1276" s="22" t="s">
        <v>5750</v>
      </c>
      <c r="L1276" s="23" t="s">
        <v>92</v>
      </c>
      <c r="M1276" s="24" t="s">
        <v>7738</v>
      </c>
      <c r="N1276" s="23">
        <v>18848083</v>
      </c>
      <c r="O1276" s="25" t="s">
        <v>828</v>
      </c>
      <c r="P1276" s="25" t="s">
        <v>53</v>
      </c>
      <c r="Q1276" s="20" t="s">
        <v>5751</v>
      </c>
      <c r="R1276" s="20">
        <v>72828731</v>
      </c>
      <c r="S1276" s="25" t="s">
        <v>55</v>
      </c>
      <c r="T1276" s="26" t="s">
        <v>56</v>
      </c>
      <c r="U1276" s="23" t="s">
        <v>5752</v>
      </c>
      <c r="V1276" s="27" t="s">
        <v>78</v>
      </c>
      <c r="W1276" s="20" t="s">
        <v>5299</v>
      </c>
      <c r="X1276" s="20" t="s">
        <v>5299</v>
      </c>
      <c r="Y1276" s="20" t="s">
        <v>5299</v>
      </c>
      <c r="Z1276" s="20" t="s">
        <v>60</v>
      </c>
      <c r="AA1276" s="20" t="s">
        <v>61</v>
      </c>
      <c r="AB1276" s="20" t="s">
        <v>82</v>
      </c>
      <c r="AC1276" s="28">
        <v>559.48</v>
      </c>
      <c r="AD1276" s="28">
        <f>SUM(BASE[[#This Row],[MONTO DE RENTA ]]*1.16)</f>
        <v>648.99680000000001</v>
      </c>
      <c r="AE1276" s="28" t="s">
        <v>83</v>
      </c>
      <c r="AF1276" s="28">
        <v>559.48275862068965</v>
      </c>
      <c r="AG1276" s="28">
        <v>649</v>
      </c>
      <c r="AI1276" s="63">
        <v>44937</v>
      </c>
      <c r="AJ1276" s="63">
        <v>46043</v>
      </c>
      <c r="AK12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6" s="30"/>
      <c r="AN1276" s="20" t="s">
        <v>99</v>
      </c>
      <c r="AP1276" s="20" t="s">
        <v>84</v>
      </c>
      <c r="AQ1276" s="20" t="s">
        <v>100</v>
      </c>
    </row>
    <row r="1277" spans="1:43" ht="16">
      <c r="A1277" s="20">
        <v>8120406356</v>
      </c>
      <c r="B1277" s="21">
        <v>520500</v>
      </c>
      <c r="C1277" s="20" t="s">
        <v>5753</v>
      </c>
      <c r="D1277" s="20" t="s">
        <v>5754</v>
      </c>
      <c r="E1277" s="20">
        <v>0</v>
      </c>
      <c r="F1277" s="20" t="s">
        <v>509</v>
      </c>
      <c r="G1277" s="20" t="s">
        <v>509</v>
      </c>
      <c r="H1277" s="20" t="s">
        <v>48</v>
      </c>
      <c r="I1277" s="20" t="s">
        <v>509</v>
      </c>
      <c r="J1277" s="54" t="s">
        <v>5755</v>
      </c>
      <c r="K1277" s="54" t="s">
        <v>5755</v>
      </c>
      <c r="L1277" s="23" t="s">
        <v>2754</v>
      </c>
      <c r="M1277" s="24" t="s">
        <v>7737</v>
      </c>
      <c r="N1277" s="23">
        <v>18861000</v>
      </c>
      <c r="O1277" s="25" t="s">
        <v>74</v>
      </c>
      <c r="P1277" s="25" t="s">
        <v>53</v>
      </c>
      <c r="Q1277" s="20" t="s">
        <v>5756</v>
      </c>
      <c r="R1277" s="20">
        <v>45142567</v>
      </c>
      <c r="S1277" s="25" t="s">
        <v>2768</v>
      </c>
      <c r="T1277" s="65" t="s">
        <v>57</v>
      </c>
      <c r="U1277" s="23">
        <v>860900062321179</v>
      </c>
      <c r="V1277" s="27" t="s">
        <v>183</v>
      </c>
      <c r="W1277" s="20" t="s">
        <v>58</v>
      </c>
      <c r="X1277" s="20" t="s">
        <v>59</v>
      </c>
      <c r="Y1277" s="20" t="s">
        <v>59</v>
      </c>
      <c r="Z1277" s="20" t="s">
        <v>167</v>
      </c>
      <c r="AA1277" s="20" t="s">
        <v>168</v>
      </c>
      <c r="AB1277" s="20" t="s">
        <v>96</v>
      </c>
      <c r="AC1277" s="28">
        <v>369.83</v>
      </c>
      <c r="AD1277" s="28">
        <f>SUM(BASE[[#This Row],[MONTO DE RENTA ]]*1.16)</f>
        <v>429.00279999999998</v>
      </c>
      <c r="AE1277" s="28" t="s">
        <v>63</v>
      </c>
      <c r="AF1277" s="28">
        <v>369.82758620689657</v>
      </c>
      <c r="AG1277" s="28">
        <v>429</v>
      </c>
      <c r="AH1277" s="22" t="s">
        <v>140</v>
      </c>
      <c r="AI1277" s="29">
        <v>45370</v>
      </c>
      <c r="AJ1277" s="29">
        <v>46040</v>
      </c>
      <c r="AK127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7" s="30"/>
      <c r="AN1277" s="20" t="s">
        <v>99</v>
      </c>
      <c r="AP1277" s="20" t="s">
        <v>84</v>
      </c>
      <c r="AQ1277" s="20" t="s">
        <v>100</v>
      </c>
    </row>
    <row r="1278" spans="1:43" ht="14" customHeight="1">
      <c r="A1278" s="20">
        <v>7223324741</v>
      </c>
      <c r="B1278" s="49">
        <v>6417</v>
      </c>
      <c r="C1278" s="20" t="s">
        <v>5757</v>
      </c>
      <c r="D1278" s="20" t="s">
        <v>1875</v>
      </c>
      <c r="E1278" s="20" t="s">
        <v>5758</v>
      </c>
      <c r="F1278" s="20" t="s">
        <v>5689</v>
      </c>
      <c r="G1278" s="20" t="s">
        <v>5689</v>
      </c>
      <c r="H1278" s="20" t="s">
        <v>5437</v>
      </c>
      <c r="I1278" s="20" t="s">
        <v>5689</v>
      </c>
      <c r="J1278" s="22" t="s">
        <v>5759</v>
      </c>
      <c r="K1278" s="22" t="s">
        <v>5760</v>
      </c>
      <c r="L1278" s="23" t="s">
        <v>92</v>
      </c>
      <c r="M1278" s="24" t="s">
        <v>7738</v>
      </c>
      <c r="N1278" s="23">
        <v>18848063</v>
      </c>
      <c r="O1278" s="25" t="s">
        <v>52</v>
      </c>
      <c r="P1278" s="25" t="s">
        <v>53</v>
      </c>
      <c r="Q1278" s="20" t="s">
        <v>5761</v>
      </c>
      <c r="R1278" s="20">
        <v>9676359</v>
      </c>
      <c r="S1278" s="25" t="s">
        <v>55</v>
      </c>
      <c r="T1278" s="26" t="s">
        <v>56</v>
      </c>
      <c r="U1278" s="23">
        <v>357654178351493</v>
      </c>
      <c r="V1278" s="27" t="s">
        <v>78</v>
      </c>
      <c r="W1278" s="20" t="s">
        <v>5299</v>
      </c>
      <c r="X1278" s="20" t="s">
        <v>5299</v>
      </c>
      <c r="Y1278" s="20" t="s">
        <v>5299</v>
      </c>
      <c r="Z1278" s="20" t="s">
        <v>60</v>
      </c>
      <c r="AA1278" s="20" t="s">
        <v>61</v>
      </c>
      <c r="AB1278" s="20" t="s">
        <v>82</v>
      </c>
      <c r="AC1278" s="28">
        <v>559.48</v>
      </c>
      <c r="AD1278" s="28">
        <f>SUM(BASE[[#This Row],[MONTO DE RENTA ]]*1.16)</f>
        <v>648.99680000000001</v>
      </c>
      <c r="AE1278" s="28" t="s">
        <v>83</v>
      </c>
      <c r="AF1278" s="28">
        <v>559.48275862068965</v>
      </c>
      <c r="AG1278" s="28">
        <v>649</v>
      </c>
      <c r="AI1278" s="63">
        <v>44937</v>
      </c>
      <c r="AJ1278" s="73">
        <v>46043</v>
      </c>
      <c r="AK12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78" s="30"/>
      <c r="AN1278" s="20" t="s">
        <v>99</v>
      </c>
      <c r="AP1278" s="20" t="s">
        <v>84</v>
      </c>
      <c r="AQ1278" s="20" t="s">
        <v>100</v>
      </c>
    </row>
    <row r="1279" spans="1:43" s="87" customFormat="1" ht="16">
      <c r="A1279" s="230">
        <v>8126810927</v>
      </c>
      <c r="B1279" s="237">
        <v>0</v>
      </c>
      <c r="C1279" s="230" t="s">
        <v>1653</v>
      </c>
      <c r="D1279" s="230" t="s">
        <v>1654</v>
      </c>
      <c r="E1279" s="230" t="s">
        <v>1655</v>
      </c>
      <c r="F1279" s="230" t="s">
        <v>1656</v>
      </c>
      <c r="G1279" s="230" t="s">
        <v>1656</v>
      </c>
      <c r="H1279" s="230" t="s">
        <v>1657</v>
      </c>
      <c r="I1279" s="230" t="s">
        <v>1658</v>
      </c>
      <c r="J1279" s="271" t="s">
        <v>5762</v>
      </c>
      <c r="K1279" s="271" t="s">
        <v>5762</v>
      </c>
      <c r="L1279" s="266" t="s">
        <v>92</v>
      </c>
      <c r="M1279" s="265" t="s">
        <v>7738</v>
      </c>
      <c r="N1279" s="266" t="s">
        <v>1661</v>
      </c>
      <c r="O1279" s="267" t="s">
        <v>74</v>
      </c>
      <c r="P1279" s="25" t="s">
        <v>1662</v>
      </c>
      <c r="Q1279" s="230" t="s">
        <v>5763</v>
      </c>
      <c r="R1279" s="230">
        <v>44114431</v>
      </c>
      <c r="S1279" s="267" t="s">
        <v>55</v>
      </c>
      <c r="T1279" s="279" t="s">
        <v>56</v>
      </c>
      <c r="U1279" s="266" t="s">
        <v>193</v>
      </c>
      <c r="V1279" s="280" t="s">
        <v>5634</v>
      </c>
      <c r="W1279" s="230" t="s">
        <v>194</v>
      </c>
      <c r="X1279" s="20" t="s">
        <v>194</v>
      </c>
      <c r="Y1279" s="20" t="s">
        <v>194</v>
      </c>
      <c r="Z1279" s="230" t="s">
        <v>60</v>
      </c>
      <c r="AA1279" s="230" t="s">
        <v>61</v>
      </c>
      <c r="AB1279" s="230" t="s">
        <v>96</v>
      </c>
      <c r="AC1279" s="270">
        <v>369.83</v>
      </c>
      <c r="AD1279" s="270">
        <f>SUM(BASE[[#This Row],[MONTO DE RENTA ]]*1.16)</f>
        <v>429.00279999999998</v>
      </c>
      <c r="AE1279" s="28" t="s">
        <v>63</v>
      </c>
      <c r="AF1279" s="270">
        <v>369.82758620689657</v>
      </c>
      <c r="AG1279" s="270">
        <v>429</v>
      </c>
      <c r="AH1279" s="271" t="s">
        <v>64</v>
      </c>
      <c r="AI1279" s="272">
        <v>45323</v>
      </c>
      <c r="AJ1279" s="272">
        <v>46054</v>
      </c>
      <c r="AK1279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L1279" s="230"/>
      <c r="AM1279" s="273"/>
      <c r="AN1279" s="230" t="s">
        <v>99</v>
      </c>
      <c r="AO1279" s="230" t="s">
        <v>355</v>
      </c>
      <c r="AP1279" s="20" t="s">
        <v>84</v>
      </c>
      <c r="AQ1279" s="230" t="s">
        <v>100</v>
      </c>
    </row>
    <row r="1280" spans="1:43" s="230" customFormat="1" ht="16">
      <c r="A1280" s="87">
        <v>8116198751</v>
      </c>
      <c r="B1280" s="49">
        <v>0</v>
      </c>
      <c r="C1280" s="87" t="s">
        <v>1653</v>
      </c>
      <c r="D1280" s="87" t="s">
        <v>1654</v>
      </c>
      <c r="E1280" s="87" t="s">
        <v>1655</v>
      </c>
      <c r="F1280" s="87" t="s">
        <v>1656</v>
      </c>
      <c r="G1280" s="87" t="s">
        <v>1656</v>
      </c>
      <c r="H1280" s="20" t="s">
        <v>1657</v>
      </c>
      <c r="I1280" s="87" t="s">
        <v>1658</v>
      </c>
      <c r="J1280" s="217" t="s">
        <v>5764</v>
      </c>
      <c r="K1280" s="217" t="s">
        <v>5764</v>
      </c>
      <c r="L1280" s="218" t="s">
        <v>92</v>
      </c>
      <c r="M1280" s="219" t="s">
        <v>7738</v>
      </c>
      <c r="N1280" s="218" t="s">
        <v>1661</v>
      </c>
      <c r="O1280" s="220" t="s">
        <v>74</v>
      </c>
      <c r="P1280" s="25" t="s">
        <v>5460</v>
      </c>
      <c r="Q1280" s="87" t="s">
        <v>5765</v>
      </c>
      <c r="R1280" s="87">
        <v>43131787</v>
      </c>
      <c r="S1280" s="220" t="s">
        <v>5766</v>
      </c>
      <c r="T1280" s="221" t="s">
        <v>57</v>
      </c>
      <c r="U1280" s="218" t="s">
        <v>193</v>
      </c>
      <c r="V1280" s="222" t="s">
        <v>57</v>
      </c>
      <c r="W1280" s="87" t="s">
        <v>194</v>
      </c>
      <c r="X1280" s="20" t="s">
        <v>194</v>
      </c>
      <c r="Y1280" s="20" t="s">
        <v>194</v>
      </c>
      <c r="Z1280" s="87" t="s">
        <v>167</v>
      </c>
      <c r="AA1280" s="87" t="s">
        <v>168</v>
      </c>
      <c r="AB1280" s="87" t="s">
        <v>96</v>
      </c>
      <c r="AC1280" s="223">
        <v>369.83</v>
      </c>
      <c r="AD1280" s="223">
        <f>SUM(BASE[[#This Row],[MONTO DE RENTA ]]*1.16)</f>
        <v>429.00279999999998</v>
      </c>
      <c r="AE1280" s="28" t="s">
        <v>63</v>
      </c>
      <c r="AF1280" s="223">
        <v>369.82758620689657</v>
      </c>
      <c r="AG1280" s="223">
        <v>429</v>
      </c>
      <c r="AH1280" s="217"/>
      <c r="AI1280" s="232">
        <v>44937</v>
      </c>
      <c r="AJ1280" s="232">
        <v>46681</v>
      </c>
      <c r="AK1280" s="225">
        <f ca="1">IFERROR(IF(BASE[[#This Row],[FECHA DE RENOVACION ]]&gt;TODAY(), DATEDIF(TODAY(),BASE[[#This Row],[FECHA DE RENOVACION ]],"M"), -DATEDIF(BASE[[#This Row],[FECHA DE RENOVACION ]],TODAY(),"M")), "Sin fecha")</f>
        <v>19</v>
      </c>
      <c r="AL1280" s="87"/>
      <c r="AM1280" s="225"/>
      <c r="AN1280" s="87" t="s">
        <v>65</v>
      </c>
      <c r="AO1280" s="87"/>
      <c r="AP1280" s="20" t="s">
        <v>84</v>
      </c>
      <c r="AQ1280" s="87"/>
    </row>
    <row r="1281" spans="1:43" ht="16">
      <c r="A1281" s="20">
        <v>8122018692</v>
      </c>
      <c r="B1281" s="49">
        <v>1003015</v>
      </c>
      <c r="C1281" s="20" t="s">
        <v>5767</v>
      </c>
      <c r="D1281" s="20" t="s">
        <v>1271</v>
      </c>
      <c r="E1281" s="20" t="s">
        <v>598</v>
      </c>
      <c r="F1281" s="20" t="s">
        <v>5768</v>
      </c>
      <c r="G1281" s="20" t="s">
        <v>5768</v>
      </c>
      <c r="H1281" s="20" t="s">
        <v>208</v>
      </c>
      <c r="I1281" s="20" t="s">
        <v>5768</v>
      </c>
      <c r="J1281" s="22" t="s">
        <v>5769</v>
      </c>
      <c r="K1281" s="22" t="s">
        <v>5770</v>
      </c>
      <c r="L1281" s="23" t="s">
        <v>92</v>
      </c>
      <c r="M1281" s="24" t="s">
        <v>7738</v>
      </c>
      <c r="N1281" s="23">
        <v>18848052</v>
      </c>
      <c r="O1281" s="25" t="s">
        <v>74</v>
      </c>
      <c r="P1281" s="25" t="s">
        <v>53</v>
      </c>
      <c r="Q1281" s="20" t="s">
        <v>5771</v>
      </c>
      <c r="R1281" s="20">
        <v>42943866</v>
      </c>
      <c r="S1281" s="25" t="s">
        <v>55</v>
      </c>
      <c r="T1281" s="26" t="s">
        <v>56</v>
      </c>
      <c r="U1281" s="23">
        <v>357654179334167</v>
      </c>
      <c r="V1281" s="27" t="s">
        <v>78</v>
      </c>
      <c r="W1281" s="20" t="s">
        <v>95</v>
      </c>
      <c r="X1281" s="20" t="s">
        <v>95</v>
      </c>
      <c r="Y1281" s="20" t="s">
        <v>95</v>
      </c>
      <c r="Z1281" s="20" t="s">
        <v>60</v>
      </c>
      <c r="AA1281" s="20" t="s">
        <v>61</v>
      </c>
      <c r="AB1281" s="20" t="s">
        <v>96</v>
      </c>
      <c r="AC1281" s="28">
        <v>369.83</v>
      </c>
      <c r="AD1281" s="28">
        <f>SUM(BASE[[#This Row],[MONTO DE RENTA ]]*1.16)</f>
        <v>429.00279999999998</v>
      </c>
      <c r="AE1281" s="28" t="s">
        <v>83</v>
      </c>
      <c r="AF1281" s="28">
        <v>559.48275862068965</v>
      </c>
      <c r="AG1281" s="28">
        <v>649</v>
      </c>
      <c r="AI1281" s="63">
        <v>44937</v>
      </c>
      <c r="AJ1281" s="73">
        <v>46043</v>
      </c>
      <c r="AK128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81" s="30"/>
      <c r="AN1281" s="20" t="s">
        <v>99</v>
      </c>
      <c r="AP1281" s="20" t="s">
        <v>66</v>
      </c>
      <c r="AQ1281" s="20" t="s">
        <v>100</v>
      </c>
    </row>
    <row r="1282" spans="1:43" ht="16">
      <c r="A1282" s="146">
        <v>8117980127</v>
      </c>
      <c r="B1282" s="281">
        <v>1040315</v>
      </c>
      <c r="C1282" s="20" t="s">
        <v>5772</v>
      </c>
      <c r="D1282" s="20" t="s">
        <v>2234</v>
      </c>
      <c r="E1282" s="20" t="s">
        <v>2840</v>
      </c>
      <c r="F1282" s="20" t="s">
        <v>223</v>
      </c>
      <c r="G1282" s="20" t="s">
        <v>223</v>
      </c>
      <c r="H1282" s="20" t="s">
        <v>155</v>
      </c>
      <c r="I1282" s="20" t="s">
        <v>223</v>
      </c>
      <c r="J1282" s="250" t="s">
        <v>5773</v>
      </c>
      <c r="K1282" s="250" t="s">
        <v>5773</v>
      </c>
      <c r="L1282" s="23" t="s">
        <v>92</v>
      </c>
      <c r="M1282" s="24" t="s">
        <v>7738</v>
      </c>
      <c r="N1282" s="23">
        <v>18848003</v>
      </c>
      <c r="O1282" s="25" t="s">
        <v>74</v>
      </c>
      <c r="P1282" s="25" t="s">
        <v>53</v>
      </c>
      <c r="Q1282" s="20" t="s">
        <v>5774</v>
      </c>
      <c r="R1282" s="20">
        <v>42888666</v>
      </c>
      <c r="S1282" s="25" t="s">
        <v>55</v>
      </c>
      <c r="T1282" s="251" t="s">
        <v>56</v>
      </c>
      <c r="U1282" s="23" t="s">
        <v>193</v>
      </c>
      <c r="V1282" s="27" t="s">
        <v>183</v>
      </c>
      <c r="W1282" s="20" t="s">
        <v>194</v>
      </c>
      <c r="X1282" s="20" t="s">
        <v>194</v>
      </c>
      <c r="Y1282" s="20" t="s">
        <v>194</v>
      </c>
      <c r="Z1282" s="20" t="s">
        <v>60</v>
      </c>
      <c r="AA1282" s="20" t="s">
        <v>61</v>
      </c>
      <c r="AB1282" s="20" t="s">
        <v>96</v>
      </c>
      <c r="AC1282" s="28">
        <v>369.83</v>
      </c>
      <c r="AD1282" s="28">
        <f>SUM(BASE[[#This Row],[MONTO DE RENTA ]]*1.16)</f>
        <v>429.00279999999998</v>
      </c>
      <c r="AE1282" s="28" t="s">
        <v>63</v>
      </c>
      <c r="AF1282" s="28">
        <v>369.82758620689657</v>
      </c>
      <c r="AG1282" s="28">
        <v>429</v>
      </c>
      <c r="AH1282" s="36" t="s">
        <v>64</v>
      </c>
      <c r="AI1282" s="46">
        <v>45323</v>
      </c>
      <c r="AJ1282" s="46">
        <v>46054</v>
      </c>
      <c r="AK12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282" s="146"/>
      <c r="AM1282" s="253"/>
      <c r="AN1282" s="20" t="s">
        <v>99</v>
      </c>
      <c r="AP1282" s="20" t="s">
        <v>84</v>
      </c>
      <c r="AQ1282" s="20" t="s">
        <v>100</v>
      </c>
    </row>
    <row r="1283" spans="1:43" ht="16">
      <c r="A1283" s="20">
        <v>8183090903</v>
      </c>
      <c r="B1283" s="49">
        <v>997319</v>
      </c>
      <c r="C1283" s="20" t="s">
        <v>5775</v>
      </c>
      <c r="D1283" s="20" t="s">
        <v>1562</v>
      </c>
      <c r="E1283" s="20" t="s">
        <v>5776</v>
      </c>
      <c r="F1283" s="20" t="s">
        <v>5777</v>
      </c>
      <c r="G1283" s="20" t="s">
        <v>5777</v>
      </c>
      <c r="H1283" s="20" t="s">
        <v>5730</v>
      </c>
      <c r="I1283" s="20" t="s">
        <v>5777</v>
      </c>
      <c r="J1283" s="32" t="s">
        <v>5778</v>
      </c>
      <c r="K1283" s="32" t="s">
        <v>5778</v>
      </c>
      <c r="L1283" s="23" t="s">
        <v>92</v>
      </c>
      <c r="M1283" s="24" t="s">
        <v>7738</v>
      </c>
      <c r="N1283" s="23">
        <v>18848088</v>
      </c>
      <c r="O1283" s="25" t="s">
        <v>74</v>
      </c>
      <c r="P1283" s="25" t="s">
        <v>53</v>
      </c>
      <c r="Q1283" s="20" t="s">
        <v>5779</v>
      </c>
      <c r="R1283" s="20">
        <v>43090362</v>
      </c>
      <c r="S1283" s="25" t="s">
        <v>5780</v>
      </c>
      <c r="T1283" s="26" t="s">
        <v>57</v>
      </c>
      <c r="U1283" s="23">
        <v>860900062338371</v>
      </c>
      <c r="V1283" s="27" t="s">
        <v>57</v>
      </c>
      <c r="W1283" s="20" t="s">
        <v>58</v>
      </c>
      <c r="X1283" s="20" t="s">
        <v>59</v>
      </c>
      <c r="Y1283" s="20" t="s">
        <v>59</v>
      </c>
      <c r="Z1283" s="20" t="s">
        <v>167</v>
      </c>
      <c r="AA1283" s="20" t="s">
        <v>168</v>
      </c>
      <c r="AB1283" s="20" t="s">
        <v>96</v>
      </c>
      <c r="AC1283" s="28">
        <v>369.83</v>
      </c>
      <c r="AD1283" s="28">
        <f>SUM(BASE[[#This Row],[MONTO DE RENTA ]]*1.16)</f>
        <v>429.00279999999998</v>
      </c>
      <c r="AE1283" s="28" t="s">
        <v>63</v>
      </c>
      <c r="AF1283" s="28">
        <v>369.82758620689657</v>
      </c>
      <c r="AG1283" s="28">
        <v>429</v>
      </c>
      <c r="AH1283" s="22" t="s">
        <v>64</v>
      </c>
      <c r="AI1283" s="63">
        <v>45713</v>
      </c>
      <c r="AJ1283" s="63">
        <v>46433</v>
      </c>
      <c r="AK12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83" s="30"/>
      <c r="AN1283" s="20" t="s">
        <v>65</v>
      </c>
      <c r="AP1283" s="20" t="s">
        <v>84</v>
      </c>
    </row>
    <row r="1284" spans="1:43" ht="16">
      <c r="A1284" s="134">
        <v>8110506509</v>
      </c>
      <c r="B1284" s="135">
        <v>6721</v>
      </c>
      <c r="C1284" s="20" t="s">
        <v>5781</v>
      </c>
      <c r="D1284" s="20" t="s">
        <v>1012</v>
      </c>
      <c r="E1284" s="20" t="s">
        <v>172</v>
      </c>
      <c r="F1284" s="20" t="s">
        <v>5782</v>
      </c>
      <c r="G1284" s="20" t="s">
        <v>5782</v>
      </c>
      <c r="H1284" s="20" t="s">
        <v>5414</v>
      </c>
      <c r="I1284" s="20" t="s">
        <v>5782</v>
      </c>
      <c r="J1284" s="136" t="s">
        <v>5783</v>
      </c>
      <c r="K1284" s="136" t="s">
        <v>5784</v>
      </c>
      <c r="L1284" s="23" t="s">
        <v>92</v>
      </c>
      <c r="M1284" s="24" t="s">
        <v>7738</v>
      </c>
      <c r="N1284" s="23">
        <v>18848061</v>
      </c>
      <c r="O1284" s="25" t="s">
        <v>74</v>
      </c>
      <c r="P1284" s="25" t="s">
        <v>53</v>
      </c>
      <c r="Q1284" s="20" t="s">
        <v>5785</v>
      </c>
      <c r="R1284" s="20">
        <v>42862122</v>
      </c>
      <c r="S1284" s="25" t="s">
        <v>55</v>
      </c>
      <c r="T1284" s="81" t="s">
        <v>56</v>
      </c>
      <c r="U1284" s="23">
        <v>351835921027722</v>
      </c>
      <c r="V1284" s="27" t="s">
        <v>78</v>
      </c>
      <c r="W1284" s="20" t="s">
        <v>95</v>
      </c>
      <c r="X1284" s="20" t="s">
        <v>95</v>
      </c>
      <c r="Y1284" s="20" t="s">
        <v>95</v>
      </c>
      <c r="Z1284" s="20" t="s">
        <v>60</v>
      </c>
      <c r="AA1284" s="20" t="s">
        <v>61</v>
      </c>
      <c r="AB1284" s="20" t="s">
        <v>82</v>
      </c>
      <c r="AC1284" s="28">
        <v>559.48</v>
      </c>
      <c r="AD1284" s="28">
        <f>SUM(BASE[[#This Row],[MONTO DE RENTA ]]*1.16)</f>
        <v>648.99680000000001</v>
      </c>
      <c r="AE1284" s="28" t="s">
        <v>83</v>
      </c>
      <c r="AF1284" s="28">
        <v>559.48275862068965</v>
      </c>
      <c r="AG1284" s="28">
        <v>649</v>
      </c>
      <c r="AH1284" s="137" t="s">
        <v>253</v>
      </c>
      <c r="AI1284" s="282">
        <v>45567</v>
      </c>
      <c r="AJ1284" s="282">
        <v>45567</v>
      </c>
      <c r="AK1284" s="30">
        <f ca="1">IFERROR(IF(BASE[[#This Row],[FECHA DE RENOVACION ]]&gt;TODAY(), DATEDIF(TODAY(),BASE[[#This Row],[FECHA DE RENOVACION ]],"M"), -DATEDIF(BASE[[#This Row],[FECHA DE RENOVACION ]],TODAY(),"M")), "Sin fecha")</f>
        <v>-17</v>
      </c>
      <c r="AL1284" s="134">
        <v>18848061</v>
      </c>
      <c r="AM1284" s="139" t="s">
        <v>5786</v>
      </c>
      <c r="AN1284" s="20" t="s">
        <v>99</v>
      </c>
      <c r="AP1284" s="20" t="s">
        <v>84</v>
      </c>
      <c r="AQ1284" s="20" t="s">
        <v>100</v>
      </c>
    </row>
    <row r="1285" spans="1:43" ht="16">
      <c r="A1285" s="20">
        <v>8112190040</v>
      </c>
      <c r="B1285" s="21">
        <v>6666</v>
      </c>
      <c r="C1285" s="20" t="s">
        <v>5787</v>
      </c>
      <c r="D1285" s="20" t="s">
        <v>5788</v>
      </c>
      <c r="E1285" s="20" t="s">
        <v>171</v>
      </c>
      <c r="F1285" s="20" t="s">
        <v>5789</v>
      </c>
      <c r="G1285" s="20" t="s">
        <v>5789</v>
      </c>
      <c r="H1285" s="20" t="s">
        <v>5289</v>
      </c>
      <c r="I1285" s="20" t="s">
        <v>5789</v>
      </c>
      <c r="J1285" s="22" t="s">
        <v>5790</v>
      </c>
      <c r="K1285" s="32" t="s">
        <v>5791</v>
      </c>
      <c r="L1285" s="23" t="s">
        <v>92</v>
      </c>
      <c r="M1285" s="24" t="s">
        <v>7738</v>
      </c>
      <c r="N1285" s="23">
        <v>18848028</v>
      </c>
      <c r="O1285" s="25" t="s">
        <v>74</v>
      </c>
      <c r="P1285" s="25" t="s">
        <v>53</v>
      </c>
      <c r="Q1285" s="20" t="s">
        <v>5792</v>
      </c>
      <c r="R1285" s="20">
        <v>43163446</v>
      </c>
      <c r="S1285" s="25" t="s">
        <v>5793</v>
      </c>
      <c r="T1285" s="26" t="s">
        <v>57</v>
      </c>
      <c r="U1285" s="23">
        <v>860900062337639</v>
      </c>
      <c r="V1285" s="27" t="s">
        <v>57</v>
      </c>
      <c r="W1285" s="20" t="s">
        <v>58</v>
      </c>
      <c r="X1285" s="20" t="s">
        <v>59</v>
      </c>
      <c r="Y1285" s="20" t="s">
        <v>59</v>
      </c>
      <c r="Z1285" s="20" t="s">
        <v>167</v>
      </c>
      <c r="AA1285" s="20" t="s">
        <v>168</v>
      </c>
      <c r="AB1285" s="20" t="s">
        <v>96</v>
      </c>
      <c r="AC1285" s="28">
        <v>369.83</v>
      </c>
      <c r="AD1285" s="28">
        <f>SUM(BASE[[#This Row],[MONTO DE RENTA ]]*1.16)</f>
        <v>429.00279999999998</v>
      </c>
      <c r="AE1285" s="28" t="s">
        <v>63</v>
      </c>
      <c r="AF1285" s="28">
        <v>369.82758620689657</v>
      </c>
      <c r="AG1285" s="28">
        <v>429</v>
      </c>
      <c r="AH1285" s="22" t="s">
        <v>64</v>
      </c>
      <c r="AI1285" s="63">
        <v>45703</v>
      </c>
      <c r="AJ1285" s="63">
        <v>46433</v>
      </c>
      <c r="AK12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85" s="30"/>
      <c r="AN1285" s="20" t="s">
        <v>65</v>
      </c>
      <c r="AP1285" s="20" t="s">
        <v>84</v>
      </c>
    </row>
    <row r="1286" spans="1:43" s="51" customFormat="1" ht="16">
      <c r="A1286" s="20">
        <v>8135513128</v>
      </c>
      <c r="B1286" s="49">
        <v>1083182</v>
      </c>
      <c r="C1286" s="20" t="s">
        <v>5794</v>
      </c>
      <c r="D1286" s="20" t="s">
        <v>1144</v>
      </c>
      <c r="E1286" s="20" t="s">
        <v>293</v>
      </c>
      <c r="F1286" s="20" t="s">
        <v>5555</v>
      </c>
      <c r="G1286" s="20" t="s">
        <v>5555</v>
      </c>
      <c r="H1286" s="20" t="s">
        <v>208</v>
      </c>
      <c r="I1286" s="20" t="s">
        <v>5555</v>
      </c>
      <c r="J1286" s="32" t="s">
        <v>5795</v>
      </c>
      <c r="K1286" s="54" t="s">
        <v>5795</v>
      </c>
      <c r="L1286" s="23" t="s">
        <v>92</v>
      </c>
      <c r="M1286" s="24" t="s">
        <v>7738</v>
      </c>
      <c r="N1286" s="23">
        <v>18848087</v>
      </c>
      <c r="O1286" s="25" t="s">
        <v>74</v>
      </c>
      <c r="P1286" s="25" t="s">
        <v>53</v>
      </c>
      <c r="Q1286" s="20" t="s">
        <v>5796</v>
      </c>
      <c r="R1286" s="20">
        <v>44114626</v>
      </c>
      <c r="S1286" s="25" t="s">
        <v>55</v>
      </c>
      <c r="T1286" s="44" t="s">
        <v>56</v>
      </c>
      <c r="U1286" s="23">
        <v>860900062337266</v>
      </c>
      <c r="V1286" s="27" t="s">
        <v>57</v>
      </c>
      <c r="W1286" s="20" t="s">
        <v>58</v>
      </c>
      <c r="X1286" s="20" t="s">
        <v>59</v>
      </c>
      <c r="Y1286" s="20" t="s">
        <v>59</v>
      </c>
      <c r="Z1286" s="20" t="s">
        <v>60</v>
      </c>
      <c r="AA1286" s="20" t="s">
        <v>61</v>
      </c>
      <c r="AB1286" s="20" t="s">
        <v>96</v>
      </c>
      <c r="AC1286" s="28">
        <v>369.83</v>
      </c>
      <c r="AD1286" s="28">
        <f>SUM(BASE[[#This Row],[MONTO DE RENTA ]]*1.16)</f>
        <v>429.00279999999998</v>
      </c>
      <c r="AE1286" s="28" t="s">
        <v>63</v>
      </c>
      <c r="AF1286" s="28">
        <v>369.82758620689657</v>
      </c>
      <c r="AG1286" s="28">
        <v>429</v>
      </c>
      <c r="AH1286" s="22" t="s">
        <v>116</v>
      </c>
      <c r="AI1286" s="63">
        <v>45939</v>
      </c>
      <c r="AJ1286" s="63">
        <v>46669</v>
      </c>
      <c r="AK128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286" s="20"/>
      <c r="AM1286" s="30"/>
      <c r="AN1286" s="20" t="s">
        <v>65</v>
      </c>
      <c r="AO1286" s="20"/>
      <c r="AP1286" s="20" t="s">
        <v>84</v>
      </c>
      <c r="AQ1286" s="20"/>
    </row>
    <row r="1287" spans="1:43" ht="16">
      <c r="A1287" s="20">
        <v>8183961180</v>
      </c>
      <c r="B1287" s="49">
        <v>6018</v>
      </c>
      <c r="C1287" s="20" t="s">
        <v>5797</v>
      </c>
      <c r="D1287" s="20" t="s">
        <v>5798</v>
      </c>
      <c r="E1287" s="20" t="s">
        <v>86</v>
      </c>
      <c r="F1287" s="20" t="s">
        <v>5799</v>
      </c>
      <c r="G1287" s="20" t="s">
        <v>5799</v>
      </c>
      <c r="H1287" s="20" t="s">
        <v>208</v>
      </c>
      <c r="I1287" s="20" t="s">
        <v>5799</v>
      </c>
      <c r="J1287" s="22" t="s">
        <v>5800</v>
      </c>
      <c r="K1287" s="32" t="s">
        <v>5801</v>
      </c>
      <c r="L1287" s="23" t="s">
        <v>92</v>
      </c>
      <c r="M1287" s="24" t="s">
        <v>7738</v>
      </c>
      <c r="N1287" s="23">
        <v>18848049</v>
      </c>
      <c r="O1287" s="25" t="s">
        <v>74</v>
      </c>
      <c r="P1287" s="25" t="s">
        <v>53</v>
      </c>
      <c r="Q1287" s="20" t="s">
        <v>5802</v>
      </c>
      <c r="R1287" s="20">
        <v>42862129</v>
      </c>
      <c r="S1287" s="25" t="s">
        <v>55</v>
      </c>
      <c r="T1287" s="26" t="s">
        <v>56</v>
      </c>
      <c r="U1287" s="23">
        <v>357149974959458</v>
      </c>
      <c r="V1287" s="27" t="s">
        <v>78</v>
      </c>
      <c r="W1287" s="20" t="s">
        <v>5803</v>
      </c>
      <c r="X1287" s="20" t="s">
        <v>5803</v>
      </c>
      <c r="Y1287" s="20" t="s">
        <v>5803</v>
      </c>
      <c r="Z1287" s="20" t="s">
        <v>584</v>
      </c>
      <c r="AA1287" s="20" t="s">
        <v>585</v>
      </c>
      <c r="AB1287" s="20" t="s">
        <v>82</v>
      </c>
      <c r="AC1287" s="28">
        <v>559.48</v>
      </c>
      <c r="AD1287" s="28">
        <f>SUM(BASE[[#This Row],[MONTO DE RENTA ]]*1.16)</f>
        <v>648.99680000000001</v>
      </c>
      <c r="AE1287" s="28" t="s">
        <v>83</v>
      </c>
      <c r="AF1287" s="28">
        <v>559.48275862068965</v>
      </c>
      <c r="AG1287" s="28">
        <v>649</v>
      </c>
      <c r="AI1287" s="63">
        <v>44937</v>
      </c>
      <c r="AJ1287" s="73">
        <v>46043</v>
      </c>
      <c r="AK128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87" s="30"/>
      <c r="AN1287" s="20" t="s">
        <v>99</v>
      </c>
      <c r="AP1287" s="20" t="s">
        <v>84</v>
      </c>
      <c r="AQ1287" s="20" t="s">
        <v>100</v>
      </c>
    </row>
    <row r="1288" spans="1:43" ht="16">
      <c r="A1288" s="20">
        <v>8183664786</v>
      </c>
      <c r="B1288" s="49">
        <v>1001494</v>
      </c>
      <c r="C1288" s="20" t="s">
        <v>5804</v>
      </c>
      <c r="D1288" s="20" t="s">
        <v>5313</v>
      </c>
      <c r="E1288" s="20" t="s">
        <v>5805</v>
      </c>
      <c r="F1288" s="20" t="s">
        <v>5806</v>
      </c>
      <c r="G1288" s="20" t="s">
        <v>5806</v>
      </c>
      <c r="H1288" s="20" t="s">
        <v>5289</v>
      </c>
      <c r="I1288" s="20" t="s">
        <v>5806</v>
      </c>
      <c r="J1288" s="32" t="s">
        <v>5807</v>
      </c>
      <c r="K1288" s="32" t="s">
        <v>5807</v>
      </c>
      <c r="L1288" s="23" t="s">
        <v>92</v>
      </c>
      <c r="M1288" s="24" t="s">
        <v>7738</v>
      </c>
      <c r="N1288" s="23">
        <v>18848027</v>
      </c>
      <c r="O1288" s="25" t="s">
        <v>74</v>
      </c>
      <c r="P1288" s="25" t="s">
        <v>53</v>
      </c>
      <c r="Q1288" s="20" t="s">
        <v>5808</v>
      </c>
      <c r="R1288" s="20">
        <v>42888622</v>
      </c>
      <c r="S1288" s="25" t="s">
        <v>5809</v>
      </c>
      <c r="T1288" s="44" t="s">
        <v>57</v>
      </c>
      <c r="U1288" s="23">
        <v>860900062335369</v>
      </c>
      <c r="V1288" s="27" t="s">
        <v>183</v>
      </c>
      <c r="W1288" s="20" t="s">
        <v>58</v>
      </c>
      <c r="X1288" s="20" t="s">
        <v>59</v>
      </c>
      <c r="Y1288" s="20" t="s">
        <v>59</v>
      </c>
      <c r="Z1288" s="20" t="s">
        <v>584</v>
      </c>
      <c r="AA1288" s="20" t="s">
        <v>585</v>
      </c>
      <c r="AB1288" s="20" t="s">
        <v>82</v>
      </c>
      <c r="AC1288" s="28">
        <v>559.48</v>
      </c>
      <c r="AD1288" s="28">
        <f>SUM(BASE[[#This Row],[MONTO DE RENTA ]]*1.16)</f>
        <v>648.99680000000001</v>
      </c>
      <c r="AE1288" s="28" t="s">
        <v>83</v>
      </c>
      <c r="AF1288" s="28">
        <v>559.48275862068965</v>
      </c>
      <c r="AG1288" s="28">
        <v>649</v>
      </c>
      <c r="AH1288" s="22" t="s">
        <v>116</v>
      </c>
      <c r="AI1288" s="63">
        <v>45736</v>
      </c>
      <c r="AJ1288" s="63">
        <v>46466</v>
      </c>
      <c r="AK1288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288" s="20">
        <v>18848027</v>
      </c>
      <c r="AM1288" s="30"/>
      <c r="AN1288" s="20" t="s">
        <v>65</v>
      </c>
      <c r="AP1288" s="20" t="s">
        <v>84</v>
      </c>
    </row>
    <row r="1289" spans="1:43" ht="16">
      <c r="A1289" s="51">
        <v>8112859626</v>
      </c>
      <c r="B1289" s="49">
        <v>1057938</v>
      </c>
      <c r="C1289" s="20" t="s">
        <v>5810</v>
      </c>
      <c r="D1289" s="20" t="s">
        <v>347</v>
      </c>
      <c r="E1289" s="20" t="s">
        <v>5811</v>
      </c>
      <c r="F1289" s="20" t="s">
        <v>5812</v>
      </c>
      <c r="G1289" s="20" t="s">
        <v>5812</v>
      </c>
      <c r="H1289" s="20" t="s">
        <v>199</v>
      </c>
      <c r="I1289" s="20" t="s">
        <v>5812</v>
      </c>
      <c r="J1289" s="54" t="s">
        <v>5813</v>
      </c>
      <c r="K1289" s="54" t="s">
        <v>5813</v>
      </c>
      <c r="L1289" s="23" t="s">
        <v>92</v>
      </c>
      <c r="M1289" s="24" t="s">
        <v>7738</v>
      </c>
      <c r="N1289" s="23">
        <v>18848010</v>
      </c>
      <c r="O1289" s="25" t="s">
        <v>74</v>
      </c>
      <c r="P1289" s="25" t="s">
        <v>53</v>
      </c>
      <c r="Q1289" s="20" t="s">
        <v>5814</v>
      </c>
      <c r="R1289" s="20">
        <v>44918931</v>
      </c>
      <c r="S1289" s="25" t="s">
        <v>55</v>
      </c>
      <c r="T1289" s="283" t="s">
        <v>56</v>
      </c>
      <c r="U1289" s="23">
        <v>865356065673303</v>
      </c>
      <c r="V1289" s="27" t="s">
        <v>183</v>
      </c>
      <c r="W1289" s="20" t="s">
        <v>129</v>
      </c>
      <c r="X1289" s="20" t="s">
        <v>130</v>
      </c>
      <c r="Y1289" s="20" t="s">
        <v>130</v>
      </c>
      <c r="Z1289" s="20" t="s">
        <v>60</v>
      </c>
      <c r="AA1289" s="20" t="s">
        <v>61</v>
      </c>
      <c r="AB1289" s="20" t="s">
        <v>96</v>
      </c>
      <c r="AC1289" s="28">
        <v>369.83</v>
      </c>
      <c r="AD1289" s="28">
        <f>SUM(BASE[[#This Row],[MONTO DE RENTA ]]*1.16)</f>
        <v>429.00279999999998</v>
      </c>
      <c r="AE1289" s="28" t="s">
        <v>63</v>
      </c>
      <c r="AF1289" s="28">
        <v>369.82758620689657</v>
      </c>
      <c r="AG1289" s="28">
        <v>429</v>
      </c>
      <c r="AH1289" s="56" t="s">
        <v>116</v>
      </c>
      <c r="AI1289" s="165">
        <v>45511</v>
      </c>
      <c r="AJ1289" s="63">
        <v>46040</v>
      </c>
      <c r="AK128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289" s="51">
        <v>18848012</v>
      </c>
      <c r="AM1289" s="58"/>
      <c r="AN1289" s="20" t="s">
        <v>99</v>
      </c>
      <c r="AP1289" s="20" t="s">
        <v>84</v>
      </c>
      <c r="AQ1289" s="20" t="s">
        <v>100</v>
      </c>
    </row>
    <row r="1290" spans="1:43" ht="16">
      <c r="A1290" s="20">
        <v>8115449655</v>
      </c>
      <c r="B1290" s="21">
        <v>6185</v>
      </c>
      <c r="C1290" s="20" t="s">
        <v>5815</v>
      </c>
      <c r="D1290" s="20" t="s">
        <v>45</v>
      </c>
      <c r="E1290" s="20" t="s">
        <v>924</v>
      </c>
      <c r="F1290" s="20" t="s">
        <v>5549</v>
      </c>
      <c r="G1290" s="20" t="s">
        <v>5549</v>
      </c>
      <c r="H1290" s="20" t="s">
        <v>208</v>
      </c>
      <c r="I1290" s="20" t="s">
        <v>5549</v>
      </c>
      <c r="J1290" s="32" t="s">
        <v>5816</v>
      </c>
      <c r="K1290" s="32" t="s">
        <v>5817</v>
      </c>
      <c r="L1290" s="23" t="s">
        <v>92</v>
      </c>
      <c r="M1290" s="24" t="s">
        <v>7738</v>
      </c>
      <c r="N1290" s="23">
        <v>18848052</v>
      </c>
      <c r="O1290" s="25" t="s">
        <v>74</v>
      </c>
      <c r="P1290" s="25" t="s">
        <v>53</v>
      </c>
      <c r="Q1290" s="20" t="s">
        <v>5818</v>
      </c>
      <c r="R1290" s="20">
        <v>45017348</v>
      </c>
      <c r="S1290" s="25" t="s">
        <v>5819</v>
      </c>
      <c r="T1290" s="26" t="s">
        <v>57</v>
      </c>
      <c r="U1290" s="23">
        <v>860900062735923</v>
      </c>
      <c r="V1290" s="27" t="s">
        <v>57</v>
      </c>
      <c r="W1290" s="20" t="s">
        <v>58</v>
      </c>
      <c r="X1290" s="20" t="s">
        <v>59</v>
      </c>
      <c r="Y1290" s="20" t="s">
        <v>59</v>
      </c>
      <c r="Z1290" s="20" t="s">
        <v>167</v>
      </c>
      <c r="AA1290" s="20" t="s">
        <v>168</v>
      </c>
      <c r="AB1290" s="20" t="s">
        <v>96</v>
      </c>
      <c r="AC1290" s="28">
        <v>369.83</v>
      </c>
      <c r="AD1290" s="28">
        <f>SUM(BASE[[#This Row],[MONTO DE RENTA ]]*1.16)</f>
        <v>429.00279999999998</v>
      </c>
      <c r="AE1290" s="28" t="s">
        <v>63</v>
      </c>
      <c r="AF1290" s="28">
        <v>369.82758620689657</v>
      </c>
      <c r="AG1290" s="28">
        <v>429</v>
      </c>
      <c r="AH1290" s="22" t="s">
        <v>64</v>
      </c>
      <c r="AI1290" s="63">
        <v>45703</v>
      </c>
      <c r="AJ1290" s="63">
        <v>46433</v>
      </c>
      <c r="AK12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90" s="30"/>
      <c r="AN1290" s="20" t="s">
        <v>65</v>
      </c>
      <c r="AP1290" s="20" t="s">
        <v>84</v>
      </c>
    </row>
    <row r="1291" spans="1:43" ht="16">
      <c r="A1291" s="20">
        <v>8126810935</v>
      </c>
      <c r="B1291" s="49">
        <v>1038788</v>
      </c>
      <c r="C1291" s="20" t="s">
        <v>5820</v>
      </c>
      <c r="D1291" s="20" t="s">
        <v>1587</v>
      </c>
      <c r="E1291" s="20" t="s">
        <v>756</v>
      </c>
      <c r="F1291" s="20" t="s">
        <v>5821</v>
      </c>
      <c r="G1291" s="20" t="s">
        <v>5821</v>
      </c>
      <c r="H1291" s="20" t="s">
        <v>208</v>
      </c>
      <c r="I1291" s="20" t="s">
        <v>5821</v>
      </c>
      <c r="J1291" s="22" t="s">
        <v>5822</v>
      </c>
      <c r="K1291" s="32" t="s">
        <v>5823</v>
      </c>
      <c r="L1291" s="23" t="s">
        <v>92</v>
      </c>
      <c r="M1291" s="24" t="s">
        <v>7738</v>
      </c>
      <c r="N1291" s="23">
        <v>18848052</v>
      </c>
      <c r="O1291" s="25" t="s">
        <v>74</v>
      </c>
      <c r="P1291" s="25" t="s">
        <v>53</v>
      </c>
      <c r="Q1291" s="20" t="s">
        <v>5824</v>
      </c>
      <c r="R1291" s="20">
        <v>44114442</v>
      </c>
      <c r="S1291" s="25" t="s">
        <v>55</v>
      </c>
      <c r="T1291" s="26" t="s">
        <v>56</v>
      </c>
      <c r="U1291" s="23">
        <v>357894929461189</v>
      </c>
      <c r="V1291" s="27" t="s">
        <v>78</v>
      </c>
      <c r="W1291" s="20" t="s">
        <v>95</v>
      </c>
      <c r="X1291" s="20" t="s">
        <v>95</v>
      </c>
      <c r="Y1291" s="20" t="s">
        <v>95</v>
      </c>
      <c r="Z1291" s="20" t="s">
        <v>60</v>
      </c>
      <c r="AA1291" s="20" t="s">
        <v>61</v>
      </c>
      <c r="AB1291" s="20" t="s">
        <v>82</v>
      </c>
      <c r="AC1291" s="28">
        <v>559.48</v>
      </c>
      <c r="AD1291" s="28">
        <f>SUM(BASE[[#This Row],[MONTO DE RENTA ]]*1.16)</f>
        <v>648.99680000000001</v>
      </c>
      <c r="AE1291" s="28" t="s">
        <v>83</v>
      </c>
      <c r="AF1291" s="28">
        <v>559.48275862068965</v>
      </c>
      <c r="AG1291" s="28">
        <v>649</v>
      </c>
      <c r="AI1291" s="63">
        <v>44937</v>
      </c>
      <c r="AJ1291" s="73">
        <v>46043</v>
      </c>
      <c r="AK12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91" s="30"/>
      <c r="AN1291" s="20" t="s">
        <v>99</v>
      </c>
      <c r="AP1291" s="20" t="s">
        <v>84</v>
      </c>
      <c r="AQ1291" s="20" t="s">
        <v>100</v>
      </c>
    </row>
    <row r="1292" spans="1:43" ht="16">
      <c r="A1292" s="20">
        <v>8115666926</v>
      </c>
      <c r="B1292" s="49">
        <v>6434</v>
      </c>
      <c r="C1292" s="20" t="s">
        <v>5825</v>
      </c>
      <c r="D1292" s="20" t="s">
        <v>5369</v>
      </c>
      <c r="E1292" s="20" t="s">
        <v>4270</v>
      </c>
      <c r="F1292" s="20" t="s">
        <v>5826</v>
      </c>
      <c r="G1292" s="20" t="s">
        <v>5826</v>
      </c>
      <c r="H1292" s="20" t="s">
        <v>5381</v>
      </c>
      <c r="I1292" s="20" t="s">
        <v>5826</v>
      </c>
      <c r="J1292" s="22" t="s">
        <v>5827</v>
      </c>
      <c r="K1292" s="22" t="s">
        <v>5828</v>
      </c>
      <c r="L1292" s="23" t="s">
        <v>92</v>
      </c>
      <c r="M1292" s="24" t="s">
        <v>7738</v>
      </c>
      <c r="N1292" s="23">
        <v>18848018</v>
      </c>
      <c r="O1292" s="25" t="s">
        <v>74</v>
      </c>
      <c r="P1292" s="25" t="s">
        <v>53</v>
      </c>
      <c r="Q1292" s="20" t="s">
        <v>5829</v>
      </c>
      <c r="R1292" s="20">
        <v>42896357</v>
      </c>
      <c r="S1292" s="25" t="s">
        <v>55</v>
      </c>
      <c r="T1292" s="26" t="s">
        <v>56</v>
      </c>
      <c r="U1292" s="23">
        <v>357654177600924</v>
      </c>
      <c r="V1292" s="27" t="s">
        <v>78</v>
      </c>
      <c r="W1292" s="20" t="s">
        <v>95</v>
      </c>
      <c r="X1292" s="20" t="s">
        <v>95</v>
      </c>
      <c r="Y1292" s="20" t="s">
        <v>95</v>
      </c>
      <c r="Z1292" s="20" t="s">
        <v>584</v>
      </c>
      <c r="AA1292" s="20" t="s">
        <v>585</v>
      </c>
      <c r="AB1292" s="20" t="s">
        <v>82</v>
      </c>
      <c r="AC1292" s="28">
        <v>559.48</v>
      </c>
      <c r="AD1292" s="28">
        <f>SUM(BASE[[#This Row],[MONTO DE RENTA ]]*1.16)</f>
        <v>648.99680000000001</v>
      </c>
      <c r="AE1292" s="28" t="s">
        <v>83</v>
      </c>
      <c r="AF1292" s="28">
        <v>559.48275862068965</v>
      </c>
      <c r="AG1292" s="28">
        <v>649</v>
      </c>
      <c r="AI1292" s="63">
        <v>44937</v>
      </c>
      <c r="AJ1292" s="73">
        <v>46043</v>
      </c>
      <c r="AK129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92" s="30"/>
      <c r="AN1292" s="20" t="s">
        <v>99</v>
      </c>
      <c r="AP1292" s="20" t="s">
        <v>84</v>
      </c>
      <c r="AQ1292" s="20" t="s">
        <v>100</v>
      </c>
    </row>
    <row r="1293" spans="1:43" ht="16">
      <c r="A1293" s="20">
        <v>8112449224</v>
      </c>
      <c r="B1293" s="21">
        <v>1051887</v>
      </c>
      <c r="C1293" s="20" t="s">
        <v>5830</v>
      </c>
      <c r="D1293" s="20" t="s">
        <v>5831</v>
      </c>
      <c r="E1293" s="20" t="s">
        <v>1346</v>
      </c>
      <c r="F1293" s="20" t="s">
        <v>223</v>
      </c>
      <c r="G1293" s="20" t="s">
        <v>223</v>
      </c>
      <c r="H1293" s="20" t="s">
        <v>155</v>
      </c>
      <c r="I1293" s="20" t="s">
        <v>223</v>
      </c>
      <c r="J1293" s="54" t="s">
        <v>5832</v>
      </c>
      <c r="K1293" s="22" t="s">
        <v>5833</v>
      </c>
      <c r="L1293" s="23" t="s">
        <v>92</v>
      </c>
      <c r="M1293" s="24" t="s">
        <v>7738</v>
      </c>
      <c r="N1293" s="23">
        <v>18848002</v>
      </c>
      <c r="O1293" s="25" t="s">
        <v>74</v>
      </c>
      <c r="P1293" s="25" t="s">
        <v>53</v>
      </c>
      <c r="Q1293" s="20" t="s">
        <v>5834</v>
      </c>
      <c r="R1293" s="20">
        <v>43132023</v>
      </c>
      <c r="S1293" s="25" t="s">
        <v>5835</v>
      </c>
      <c r="T1293" s="191" t="s">
        <v>57</v>
      </c>
      <c r="U1293" s="23" t="s">
        <v>193</v>
      </c>
      <c r="V1293" s="27" t="s">
        <v>57</v>
      </c>
      <c r="W1293" s="20" t="s">
        <v>194</v>
      </c>
      <c r="X1293" s="20" t="s">
        <v>194</v>
      </c>
      <c r="Y1293" s="20" t="s">
        <v>194</v>
      </c>
      <c r="Z1293" s="20" t="s">
        <v>167</v>
      </c>
      <c r="AA1293" s="20" t="s">
        <v>168</v>
      </c>
      <c r="AB1293" s="20" t="s">
        <v>96</v>
      </c>
      <c r="AC1293" s="28">
        <v>369.83</v>
      </c>
      <c r="AD1293" s="28">
        <f>SUM(BASE[[#This Row],[MONTO DE RENTA ]]*1.16)</f>
        <v>429.00279999999998</v>
      </c>
      <c r="AE1293" s="28" t="s">
        <v>63</v>
      </c>
      <c r="AF1293" s="28">
        <v>369.82758620689657</v>
      </c>
      <c r="AG1293" s="28">
        <v>429</v>
      </c>
      <c r="AH1293" s="22" t="s">
        <v>116</v>
      </c>
      <c r="AI1293" s="29">
        <v>45532</v>
      </c>
      <c r="AJ1293" s="29">
        <v>46262</v>
      </c>
      <c r="AK1293" s="30">
        <f ca="1">IFERROR(IF(BASE[[#This Row],[FECHA DE RENOVACION ]]&gt;TODAY(), DATEDIF(TODAY(),BASE[[#This Row],[FECHA DE RENOVACION ]],"M"), -DATEDIF(BASE[[#This Row],[FECHA DE RENOVACION ]],TODAY(),"M")), "Sin fecha")</f>
        <v>5</v>
      </c>
      <c r="AM1293" s="30"/>
      <c r="AN1293" s="20" t="s">
        <v>65</v>
      </c>
      <c r="AP1293" s="20" t="s">
        <v>84</v>
      </c>
    </row>
    <row r="1294" spans="1:43" s="87" customFormat="1" ht="16">
      <c r="A1294" s="230">
        <v>8112986355</v>
      </c>
      <c r="B1294" s="237">
        <v>0</v>
      </c>
      <c r="C1294" s="230" t="s">
        <v>1653</v>
      </c>
      <c r="D1294" s="230" t="s">
        <v>1654</v>
      </c>
      <c r="E1294" s="230" t="s">
        <v>1655</v>
      </c>
      <c r="F1294" s="230" t="s">
        <v>1656</v>
      </c>
      <c r="G1294" s="230" t="s">
        <v>1656</v>
      </c>
      <c r="H1294" s="230" t="s">
        <v>1657</v>
      </c>
      <c r="I1294" s="230" t="s">
        <v>1658</v>
      </c>
      <c r="J1294" s="271" t="s">
        <v>5836</v>
      </c>
      <c r="K1294" s="271" t="s">
        <v>5836</v>
      </c>
      <c r="L1294" s="266" t="s">
        <v>92</v>
      </c>
      <c r="M1294" s="265" t="s">
        <v>7738</v>
      </c>
      <c r="N1294" s="266" t="s">
        <v>1661</v>
      </c>
      <c r="O1294" s="267" t="s">
        <v>74</v>
      </c>
      <c r="P1294" s="25" t="s">
        <v>1662</v>
      </c>
      <c r="Q1294" s="230" t="s">
        <v>5837</v>
      </c>
      <c r="R1294" s="230">
        <v>41181834</v>
      </c>
      <c r="S1294" s="267" t="s">
        <v>55</v>
      </c>
      <c r="T1294" s="279" t="s">
        <v>56</v>
      </c>
      <c r="U1294" s="266" t="s">
        <v>193</v>
      </c>
      <c r="V1294" s="280" t="s">
        <v>5634</v>
      </c>
      <c r="W1294" s="230" t="s">
        <v>194</v>
      </c>
      <c r="X1294" s="20" t="s">
        <v>194</v>
      </c>
      <c r="Y1294" s="20" t="s">
        <v>194</v>
      </c>
      <c r="Z1294" s="230" t="s">
        <v>60</v>
      </c>
      <c r="AA1294" s="230" t="s">
        <v>61</v>
      </c>
      <c r="AB1294" s="230" t="s">
        <v>184</v>
      </c>
      <c r="AC1294" s="270">
        <v>473.28</v>
      </c>
      <c r="AD1294" s="270">
        <f>SUM(BASE[[#This Row],[MONTO DE RENTA ]]*1.16)</f>
        <v>549.00479999999993</v>
      </c>
      <c r="AE1294" s="28" t="s">
        <v>63</v>
      </c>
      <c r="AF1294" s="270">
        <v>369.82758620689657</v>
      </c>
      <c r="AG1294" s="270">
        <v>429</v>
      </c>
      <c r="AH1294" s="271"/>
      <c r="AI1294" s="272">
        <v>44937</v>
      </c>
      <c r="AJ1294" s="272">
        <v>46681</v>
      </c>
      <c r="AK1294" s="273">
        <f ca="1">IFERROR(IF(BASE[[#This Row],[FECHA DE RENOVACION ]]&gt;TODAY(), DATEDIF(TODAY(),BASE[[#This Row],[FECHA DE RENOVACION ]],"M"), -DATEDIF(BASE[[#This Row],[FECHA DE RENOVACION ]],TODAY(),"M")), "Sin fecha")</f>
        <v>19</v>
      </c>
      <c r="AL1294" s="230"/>
      <c r="AM1294" s="273" t="s">
        <v>5838</v>
      </c>
      <c r="AN1294" s="230" t="s">
        <v>65</v>
      </c>
      <c r="AO1294" s="230"/>
      <c r="AP1294" s="20" t="s">
        <v>118</v>
      </c>
      <c r="AQ1294" s="230"/>
    </row>
    <row r="1295" spans="1:43" ht="16">
      <c r="A1295" s="20">
        <v>8180883730</v>
      </c>
      <c r="B1295" s="49">
        <v>1035454</v>
      </c>
      <c r="C1295" s="20" t="s">
        <v>1855</v>
      </c>
      <c r="D1295" s="20" t="s">
        <v>437</v>
      </c>
      <c r="E1295" s="20" t="s">
        <v>3134</v>
      </c>
      <c r="F1295" s="20" t="s">
        <v>5839</v>
      </c>
      <c r="G1295" s="20" t="s">
        <v>5839</v>
      </c>
      <c r="H1295" s="20" t="s">
        <v>199</v>
      </c>
      <c r="I1295" s="20" t="s">
        <v>5839</v>
      </c>
      <c r="J1295" s="22" t="s">
        <v>5840</v>
      </c>
      <c r="K1295" s="32" t="s">
        <v>5841</v>
      </c>
      <c r="L1295" s="23" t="s">
        <v>92</v>
      </c>
      <c r="M1295" s="24" t="s">
        <v>7738</v>
      </c>
      <c r="N1295" s="23">
        <v>18848078</v>
      </c>
      <c r="O1295" s="25" t="s">
        <v>74</v>
      </c>
      <c r="P1295" s="25" t="s">
        <v>53</v>
      </c>
      <c r="Q1295" s="20" t="s">
        <v>5842</v>
      </c>
      <c r="R1295" s="20">
        <v>43859084</v>
      </c>
      <c r="S1295" s="25" t="s">
        <v>55</v>
      </c>
      <c r="T1295" s="26" t="s">
        <v>56</v>
      </c>
      <c r="U1295" s="23">
        <v>860478063772534</v>
      </c>
      <c r="V1295" s="45" t="s">
        <v>110</v>
      </c>
      <c r="W1295" s="20" t="s">
        <v>302</v>
      </c>
      <c r="X1295" s="20" t="s">
        <v>303</v>
      </c>
      <c r="Y1295" s="20" t="s">
        <v>303</v>
      </c>
      <c r="Z1295" s="20" t="s">
        <v>60</v>
      </c>
      <c r="AA1295" s="20" t="s">
        <v>61</v>
      </c>
      <c r="AB1295" s="20" t="s">
        <v>96</v>
      </c>
      <c r="AC1295" s="28">
        <v>369.83</v>
      </c>
      <c r="AD1295" s="28">
        <f>SUM(BASE[[#This Row],[MONTO DE RENTA ]]*1.16)</f>
        <v>429.00279999999998</v>
      </c>
      <c r="AE1295" s="28" t="s">
        <v>83</v>
      </c>
      <c r="AF1295" s="28">
        <v>559.48275862068965</v>
      </c>
      <c r="AG1295" s="28">
        <v>649</v>
      </c>
      <c r="AI1295" s="63">
        <v>44937</v>
      </c>
      <c r="AJ1295" s="63">
        <v>46429</v>
      </c>
      <c r="AK12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295" s="30"/>
      <c r="AN1295" s="20" t="s">
        <v>65</v>
      </c>
      <c r="AP1295" s="20" t="s">
        <v>66</v>
      </c>
    </row>
    <row r="1296" spans="1:43" ht="16">
      <c r="A1296" s="20">
        <v>8182549202</v>
      </c>
      <c r="B1296" s="21">
        <v>1061820</v>
      </c>
      <c r="C1296" s="20" t="s">
        <v>5843</v>
      </c>
      <c r="D1296" s="20" t="s">
        <v>5844</v>
      </c>
      <c r="E1296" s="20" t="s">
        <v>3521</v>
      </c>
      <c r="F1296" s="20" t="s">
        <v>5504</v>
      </c>
      <c r="G1296" s="20" t="s">
        <v>5504</v>
      </c>
      <c r="H1296" s="20" t="s">
        <v>231</v>
      </c>
      <c r="I1296" s="20" t="s">
        <v>5504</v>
      </c>
      <c r="J1296" s="54" t="s">
        <v>5845</v>
      </c>
      <c r="K1296" s="54" t="s">
        <v>5845</v>
      </c>
      <c r="L1296" s="23" t="s">
        <v>92</v>
      </c>
      <c r="M1296" s="24" t="s">
        <v>7738</v>
      </c>
      <c r="N1296" s="23">
        <v>18848109</v>
      </c>
      <c r="O1296" s="25" t="s">
        <v>74</v>
      </c>
      <c r="P1296" s="25" t="s">
        <v>53</v>
      </c>
      <c r="Q1296" s="20" t="s">
        <v>5846</v>
      </c>
      <c r="R1296" s="20">
        <v>43163571</v>
      </c>
      <c r="S1296" s="25" t="s">
        <v>5847</v>
      </c>
      <c r="T1296" s="65" t="s">
        <v>57</v>
      </c>
      <c r="U1296" s="23">
        <v>865356065720856</v>
      </c>
      <c r="V1296" s="27" t="s">
        <v>183</v>
      </c>
      <c r="W1296" s="20" t="s">
        <v>129</v>
      </c>
      <c r="X1296" s="20" t="s">
        <v>130</v>
      </c>
      <c r="Y1296" s="20" t="s">
        <v>130</v>
      </c>
      <c r="Z1296" s="20" t="s">
        <v>167</v>
      </c>
      <c r="AA1296" s="20" t="s">
        <v>168</v>
      </c>
      <c r="AB1296" s="20" t="s">
        <v>96</v>
      </c>
      <c r="AC1296" s="28">
        <v>369.83</v>
      </c>
      <c r="AD1296" s="28">
        <f>SUM(BASE[[#This Row],[MONTO DE RENTA ]]*1.16)</f>
        <v>429.00279999999998</v>
      </c>
      <c r="AE1296" s="28" t="s">
        <v>63</v>
      </c>
      <c r="AF1296" s="28">
        <v>369.82758620689657</v>
      </c>
      <c r="AG1296" s="28">
        <v>429</v>
      </c>
      <c r="AH1296" s="22" t="s">
        <v>116</v>
      </c>
      <c r="AI1296" s="63">
        <v>45434</v>
      </c>
      <c r="AJ1296" s="63">
        <v>46040</v>
      </c>
      <c r="AK129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96" s="30"/>
      <c r="AN1296" s="20" t="s">
        <v>99</v>
      </c>
      <c r="AP1296" s="20" t="s">
        <v>84</v>
      </c>
      <c r="AQ1296" s="20" t="s">
        <v>100</v>
      </c>
    </row>
    <row r="1297" spans="1:43" ht="16">
      <c r="A1297" s="20">
        <v>8126810924</v>
      </c>
      <c r="B1297" s="49">
        <v>1039826</v>
      </c>
      <c r="C1297" s="20" t="s">
        <v>5848</v>
      </c>
      <c r="D1297" s="20" t="s">
        <v>1012</v>
      </c>
      <c r="E1297" s="20" t="s">
        <v>1182</v>
      </c>
      <c r="F1297" s="20" t="s">
        <v>5849</v>
      </c>
      <c r="G1297" s="20" t="s">
        <v>5849</v>
      </c>
      <c r="H1297" s="20" t="s">
        <v>208</v>
      </c>
      <c r="I1297" s="20" t="s">
        <v>5849</v>
      </c>
      <c r="J1297" s="22" t="s">
        <v>5850</v>
      </c>
      <c r="K1297" s="32" t="s">
        <v>5851</v>
      </c>
      <c r="L1297" s="23" t="s">
        <v>92</v>
      </c>
      <c r="M1297" s="24" t="s">
        <v>7738</v>
      </c>
      <c r="N1297" s="23">
        <v>18848087</v>
      </c>
      <c r="O1297" s="25" t="s">
        <v>74</v>
      </c>
      <c r="P1297" s="25" t="s">
        <v>53</v>
      </c>
      <c r="Q1297" s="20" t="s">
        <v>5852</v>
      </c>
      <c r="R1297" s="20">
        <v>44114456</v>
      </c>
      <c r="S1297" s="25" t="s">
        <v>55</v>
      </c>
      <c r="T1297" s="26" t="s">
        <v>56</v>
      </c>
      <c r="U1297" s="23">
        <v>354435325227304</v>
      </c>
      <c r="V1297" s="27" t="s">
        <v>78</v>
      </c>
      <c r="W1297" s="20" t="s">
        <v>5430</v>
      </c>
      <c r="X1297" s="20" t="s">
        <v>5430</v>
      </c>
      <c r="Y1297" s="20" t="s">
        <v>5430</v>
      </c>
      <c r="Z1297" s="20" t="s">
        <v>60</v>
      </c>
      <c r="AA1297" s="20" t="s">
        <v>61</v>
      </c>
      <c r="AB1297" s="20" t="s">
        <v>82</v>
      </c>
      <c r="AC1297" s="28">
        <v>559.48</v>
      </c>
      <c r="AD1297" s="28">
        <f>SUM(BASE[[#This Row],[MONTO DE RENTA ]]*1.16)</f>
        <v>648.99680000000001</v>
      </c>
      <c r="AE1297" s="28" t="s">
        <v>83</v>
      </c>
      <c r="AF1297" s="28">
        <v>559.48275862068965</v>
      </c>
      <c r="AG1297" s="28">
        <v>649</v>
      </c>
      <c r="AI1297" s="63">
        <v>44937</v>
      </c>
      <c r="AJ1297" s="73">
        <v>46043</v>
      </c>
      <c r="AK12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97" s="30"/>
      <c r="AN1297" s="20" t="s">
        <v>99</v>
      </c>
      <c r="AP1297" s="20" t="s">
        <v>84</v>
      </c>
      <c r="AQ1297" s="20" t="s">
        <v>100</v>
      </c>
    </row>
    <row r="1298" spans="1:43" ht="16">
      <c r="A1298" s="20">
        <v>8123202210</v>
      </c>
      <c r="B1298" s="49">
        <v>1002911</v>
      </c>
      <c r="C1298" s="20" t="s">
        <v>5853</v>
      </c>
      <c r="D1298" s="20" t="s">
        <v>5854</v>
      </c>
      <c r="E1298" s="20" t="s">
        <v>2202</v>
      </c>
      <c r="F1298" s="20" t="s">
        <v>5855</v>
      </c>
      <c r="G1298" s="20" t="s">
        <v>5855</v>
      </c>
      <c r="H1298" s="20" t="s">
        <v>208</v>
      </c>
      <c r="I1298" s="20" t="s">
        <v>5855</v>
      </c>
      <c r="J1298" s="22" t="s">
        <v>5856</v>
      </c>
      <c r="K1298" s="32" t="s">
        <v>5857</v>
      </c>
      <c r="L1298" s="23" t="s">
        <v>92</v>
      </c>
      <c r="M1298" s="24" t="s">
        <v>7738</v>
      </c>
      <c r="N1298" s="23">
        <v>18848090</v>
      </c>
      <c r="O1298" s="25" t="s">
        <v>74</v>
      </c>
      <c r="P1298" s="25" t="s">
        <v>53</v>
      </c>
      <c r="Q1298" s="20" t="s">
        <v>5858</v>
      </c>
      <c r="R1298" s="20">
        <v>43163622</v>
      </c>
      <c r="S1298" s="25" t="s">
        <v>55</v>
      </c>
      <c r="T1298" s="26" t="s">
        <v>56</v>
      </c>
      <c r="U1298" s="23">
        <v>865356065728446</v>
      </c>
      <c r="V1298" s="27" t="s">
        <v>183</v>
      </c>
      <c r="W1298" s="20" t="s">
        <v>129</v>
      </c>
      <c r="X1298" s="20" t="s">
        <v>130</v>
      </c>
      <c r="Y1298" s="20" t="s">
        <v>130</v>
      </c>
      <c r="Z1298" s="20" t="s">
        <v>60</v>
      </c>
      <c r="AA1298" s="20" t="s">
        <v>61</v>
      </c>
      <c r="AB1298" s="20" t="s">
        <v>96</v>
      </c>
      <c r="AC1298" s="28">
        <v>369.83</v>
      </c>
      <c r="AD1298" s="28">
        <f>SUM(BASE[[#This Row],[MONTO DE RENTA ]]*1.16)</f>
        <v>429.00279999999998</v>
      </c>
      <c r="AE1298" s="28" t="s">
        <v>63</v>
      </c>
      <c r="AF1298" s="28">
        <v>369.82758620689657</v>
      </c>
      <c r="AG1298" s="28">
        <v>429</v>
      </c>
      <c r="AI1298" s="63">
        <v>44937</v>
      </c>
      <c r="AJ1298" s="73">
        <v>46043</v>
      </c>
      <c r="AK12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298" s="30"/>
      <c r="AN1298" s="20" t="s">
        <v>99</v>
      </c>
      <c r="AP1298" s="20" t="s">
        <v>84</v>
      </c>
      <c r="AQ1298" s="20" t="s">
        <v>100</v>
      </c>
    </row>
    <row r="1299" spans="1:43" ht="16">
      <c r="A1299" s="34">
        <v>8120367025</v>
      </c>
      <c r="B1299" s="76">
        <v>1081298</v>
      </c>
      <c r="C1299" s="34" t="s">
        <v>506</v>
      </c>
      <c r="D1299" s="34" t="s">
        <v>3074</v>
      </c>
      <c r="E1299" s="34" t="s">
        <v>206</v>
      </c>
      <c r="F1299" s="34" t="s">
        <v>5859</v>
      </c>
      <c r="G1299" s="34" t="s">
        <v>5859</v>
      </c>
      <c r="H1299" s="34" t="s">
        <v>5437</v>
      </c>
      <c r="I1299" s="34" t="s">
        <v>5859</v>
      </c>
      <c r="J1299" s="37" t="s">
        <v>5860</v>
      </c>
      <c r="K1299" s="37" t="s">
        <v>5860</v>
      </c>
      <c r="L1299" s="38" t="s">
        <v>92</v>
      </c>
      <c r="M1299" s="77" t="s">
        <v>7738</v>
      </c>
      <c r="N1299" s="38">
        <v>18848063</v>
      </c>
      <c r="O1299" s="110" t="s">
        <v>74</v>
      </c>
      <c r="P1299" s="25" t="s">
        <v>53</v>
      </c>
      <c r="Q1299" s="34" t="s">
        <v>5861</v>
      </c>
      <c r="R1299" s="34">
        <v>45530610</v>
      </c>
      <c r="S1299" s="110" t="s">
        <v>55</v>
      </c>
      <c r="T1299" s="39" t="s">
        <v>56</v>
      </c>
      <c r="U1299" s="38">
        <v>860900062270798</v>
      </c>
      <c r="V1299" s="60" t="s">
        <v>183</v>
      </c>
      <c r="W1299" s="34" t="s">
        <v>58</v>
      </c>
      <c r="X1299" s="20" t="s">
        <v>59</v>
      </c>
      <c r="Y1299" s="20" t="s">
        <v>59</v>
      </c>
      <c r="Z1299" s="34" t="s">
        <v>3085</v>
      </c>
      <c r="AA1299" s="34" t="s">
        <v>3086</v>
      </c>
      <c r="AB1299" s="34" t="s">
        <v>244</v>
      </c>
      <c r="AC1299" s="111">
        <v>473.28</v>
      </c>
      <c r="AD1299" s="111">
        <f>SUM(BASE[[#This Row],[MONTO DE RENTA ]]*1.16)</f>
        <v>549.00479999999993</v>
      </c>
      <c r="AE1299" s="28" t="s">
        <v>63</v>
      </c>
      <c r="AF1299" s="28">
        <v>369.82758620689657</v>
      </c>
      <c r="AG1299" s="28">
        <v>429</v>
      </c>
      <c r="AH1299" s="36" t="s">
        <v>116</v>
      </c>
      <c r="AI1299" s="84">
        <v>45889</v>
      </c>
      <c r="AJ1299" s="84">
        <v>46619</v>
      </c>
      <c r="AK1299" s="42">
        <f ca="1">IFERROR(IF(BASE[[#This Row],[FECHA DE RENOVACION ]]&gt;TODAY(), DATEDIF(TODAY(),BASE[[#This Row],[FECHA DE RENOVACION ]],"M"), -DATEDIF(BASE[[#This Row],[FECHA DE RENOVACION ]],TODAY(),"M")), "Sin fecha")</f>
        <v>17</v>
      </c>
      <c r="AL1299" s="34">
        <v>18848063</v>
      </c>
      <c r="AM1299" s="42"/>
      <c r="AN1299" s="20" t="s">
        <v>65</v>
      </c>
      <c r="AP1299" s="20" t="s">
        <v>118</v>
      </c>
    </row>
    <row r="1300" spans="1:43" ht="16">
      <c r="A1300" s="20">
        <v>8113229675</v>
      </c>
      <c r="B1300" s="49">
        <v>1040307</v>
      </c>
      <c r="C1300" s="20" t="s">
        <v>1950</v>
      </c>
      <c r="D1300" s="20" t="s">
        <v>178</v>
      </c>
      <c r="E1300" s="20" t="s">
        <v>1516</v>
      </c>
      <c r="F1300" s="20" t="s">
        <v>5295</v>
      </c>
      <c r="G1300" s="20" t="s">
        <v>5295</v>
      </c>
      <c r="H1300" s="20" t="s">
        <v>155</v>
      </c>
      <c r="I1300" s="20" t="s">
        <v>5295</v>
      </c>
      <c r="J1300" s="22" t="s">
        <v>5862</v>
      </c>
      <c r="K1300" s="22" t="s">
        <v>5863</v>
      </c>
      <c r="L1300" s="23" t="s">
        <v>92</v>
      </c>
      <c r="M1300" s="24" t="s">
        <v>7738</v>
      </c>
      <c r="N1300" s="23">
        <v>18848002</v>
      </c>
      <c r="O1300" s="25" t="s">
        <v>74</v>
      </c>
      <c r="P1300" s="25" t="s">
        <v>53</v>
      </c>
      <c r="Q1300" s="20" t="s">
        <v>5864</v>
      </c>
      <c r="R1300" s="20">
        <v>42896246</v>
      </c>
      <c r="S1300" s="25" t="s">
        <v>55</v>
      </c>
      <c r="T1300" s="26" t="s">
        <v>56</v>
      </c>
      <c r="U1300" s="23">
        <v>357654179671162</v>
      </c>
      <c r="V1300" s="27" t="s">
        <v>78</v>
      </c>
      <c r="W1300" s="20" t="s">
        <v>95</v>
      </c>
      <c r="X1300" s="20" t="s">
        <v>95</v>
      </c>
      <c r="Y1300" s="20" t="s">
        <v>95</v>
      </c>
      <c r="Z1300" s="20" t="s">
        <v>60</v>
      </c>
      <c r="AA1300" s="20" t="s">
        <v>61</v>
      </c>
      <c r="AB1300" s="20" t="s">
        <v>82</v>
      </c>
      <c r="AC1300" s="28">
        <v>559.48</v>
      </c>
      <c r="AD1300" s="28">
        <f>SUM(BASE[[#This Row],[MONTO DE RENTA ]]*1.16)</f>
        <v>648.99680000000001</v>
      </c>
      <c r="AE1300" s="28" t="s">
        <v>83</v>
      </c>
      <c r="AF1300" s="28">
        <v>559.48275862068965</v>
      </c>
      <c r="AG1300" s="28">
        <v>649</v>
      </c>
      <c r="AI1300" s="29">
        <v>44937</v>
      </c>
      <c r="AJ1300" s="50">
        <v>46043</v>
      </c>
      <c r="AK130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00" s="30"/>
      <c r="AN1300" s="20" t="s">
        <v>99</v>
      </c>
      <c r="AP1300" s="20" t="s">
        <v>84</v>
      </c>
      <c r="AQ1300" s="20" t="s">
        <v>100</v>
      </c>
    </row>
    <row r="1301" spans="1:43" ht="16">
      <c r="A1301" s="20">
        <v>8113224380</v>
      </c>
      <c r="B1301" s="21">
        <v>6710</v>
      </c>
      <c r="C1301" s="20" t="s">
        <v>5865</v>
      </c>
      <c r="D1301" s="20" t="s">
        <v>376</v>
      </c>
      <c r="E1301" s="20" t="s">
        <v>152</v>
      </c>
      <c r="F1301" s="20" t="s">
        <v>5329</v>
      </c>
      <c r="G1301" s="20" t="s">
        <v>5329</v>
      </c>
      <c r="H1301" s="20" t="s">
        <v>155</v>
      </c>
      <c r="I1301" s="20" t="s">
        <v>5329</v>
      </c>
      <c r="J1301" s="22" t="s">
        <v>5866</v>
      </c>
      <c r="K1301" s="32" t="s">
        <v>5867</v>
      </c>
      <c r="L1301" s="23" t="s">
        <v>92</v>
      </c>
      <c r="M1301" s="24" t="s">
        <v>7738</v>
      </c>
      <c r="N1301" s="23">
        <v>18848003</v>
      </c>
      <c r="O1301" s="25" t="s">
        <v>74</v>
      </c>
      <c r="P1301" s="25" t="s">
        <v>53</v>
      </c>
      <c r="Q1301" s="20" t="s">
        <v>5868</v>
      </c>
      <c r="R1301" s="20">
        <v>43163554</v>
      </c>
      <c r="S1301" s="25" t="s">
        <v>5869</v>
      </c>
      <c r="T1301" s="26" t="s">
        <v>57</v>
      </c>
      <c r="U1301" s="23">
        <v>860900062335708</v>
      </c>
      <c r="V1301" s="27" t="s">
        <v>57</v>
      </c>
      <c r="W1301" s="20" t="s">
        <v>58</v>
      </c>
      <c r="X1301" s="20" t="s">
        <v>59</v>
      </c>
      <c r="Y1301" s="20" t="s">
        <v>59</v>
      </c>
      <c r="Z1301" s="20" t="s">
        <v>167</v>
      </c>
      <c r="AA1301" s="20" t="s">
        <v>168</v>
      </c>
      <c r="AB1301" s="20" t="s">
        <v>96</v>
      </c>
      <c r="AC1301" s="28">
        <v>369.83</v>
      </c>
      <c r="AD1301" s="28">
        <f>SUM(BASE[[#This Row],[MONTO DE RENTA ]]*1.16)</f>
        <v>429.00279999999998</v>
      </c>
      <c r="AE1301" s="28" t="s">
        <v>63</v>
      </c>
      <c r="AF1301" s="28">
        <v>369.82758620689657</v>
      </c>
      <c r="AG1301" s="28">
        <v>429</v>
      </c>
      <c r="AH1301" s="22" t="s">
        <v>64</v>
      </c>
      <c r="AI1301" s="63">
        <v>45703</v>
      </c>
      <c r="AJ1301" s="63">
        <v>46433</v>
      </c>
      <c r="AK13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01" s="30"/>
      <c r="AN1301" s="20" t="s">
        <v>65</v>
      </c>
      <c r="AP1301" s="20" t="s">
        <v>84</v>
      </c>
    </row>
    <row r="1302" spans="1:43" ht="16">
      <c r="A1302" s="20">
        <v>8113230073</v>
      </c>
      <c r="B1302" s="86">
        <v>6763</v>
      </c>
      <c r="C1302" s="20" t="s">
        <v>506</v>
      </c>
      <c r="D1302" s="20" t="s">
        <v>1000</v>
      </c>
      <c r="E1302" s="20" t="s">
        <v>5870</v>
      </c>
      <c r="F1302" s="20" t="s">
        <v>5295</v>
      </c>
      <c r="G1302" s="20" t="s">
        <v>5295</v>
      </c>
      <c r="H1302" s="20" t="s">
        <v>155</v>
      </c>
      <c r="I1302" s="20" t="s">
        <v>5295</v>
      </c>
      <c r="J1302" s="22" t="s">
        <v>5871</v>
      </c>
      <c r="K1302" s="22" t="s">
        <v>5872</v>
      </c>
      <c r="L1302" s="23" t="s">
        <v>92</v>
      </c>
      <c r="M1302" s="24" t="s">
        <v>7738</v>
      </c>
      <c r="N1302" s="23">
        <v>18848002</v>
      </c>
      <c r="O1302" s="25" t="s">
        <v>74</v>
      </c>
      <c r="P1302" s="25" t="s">
        <v>53</v>
      </c>
      <c r="Q1302" s="20" t="s">
        <v>5873</v>
      </c>
      <c r="R1302" s="20">
        <v>42896242</v>
      </c>
      <c r="S1302" s="25" t="s">
        <v>55</v>
      </c>
      <c r="T1302" s="26" t="s">
        <v>56</v>
      </c>
      <c r="U1302" s="23">
        <v>357654178768001</v>
      </c>
      <c r="V1302" s="27" t="s">
        <v>78</v>
      </c>
      <c r="W1302" s="20" t="s">
        <v>95</v>
      </c>
      <c r="X1302" s="20" t="s">
        <v>95</v>
      </c>
      <c r="Y1302" s="20" t="s">
        <v>95</v>
      </c>
      <c r="Z1302" s="20" t="s">
        <v>60</v>
      </c>
      <c r="AA1302" s="20" t="s">
        <v>61</v>
      </c>
      <c r="AB1302" s="20" t="s">
        <v>82</v>
      </c>
      <c r="AC1302" s="28">
        <v>559.48</v>
      </c>
      <c r="AD1302" s="28">
        <f>SUM(BASE[[#This Row],[MONTO DE RENTA ]]*1.16)</f>
        <v>648.99680000000001</v>
      </c>
      <c r="AE1302" s="28" t="s">
        <v>83</v>
      </c>
      <c r="AF1302" s="28">
        <v>559.48275862068965</v>
      </c>
      <c r="AG1302" s="28">
        <v>649</v>
      </c>
      <c r="AI1302" s="63">
        <v>44937</v>
      </c>
      <c r="AJ1302" s="73">
        <v>46043</v>
      </c>
      <c r="AK130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02" s="30"/>
      <c r="AN1302" s="20" t="s">
        <v>99</v>
      </c>
      <c r="AP1302" s="20" t="s">
        <v>84</v>
      </c>
      <c r="AQ1302" s="20" t="s">
        <v>100</v>
      </c>
    </row>
    <row r="1303" spans="1:43" ht="16">
      <c r="A1303" s="20">
        <v>8113813598</v>
      </c>
      <c r="B1303" s="49">
        <v>6377</v>
      </c>
      <c r="C1303" s="20" t="s">
        <v>5874</v>
      </c>
      <c r="D1303" s="20" t="s">
        <v>999</v>
      </c>
      <c r="E1303" s="20" t="s">
        <v>1516</v>
      </c>
      <c r="F1303" s="20" t="s">
        <v>5295</v>
      </c>
      <c r="G1303" s="20" t="s">
        <v>5295</v>
      </c>
      <c r="H1303" s="20" t="s">
        <v>155</v>
      </c>
      <c r="I1303" s="20" t="s">
        <v>5295</v>
      </c>
      <c r="J1303" s="22" t="s">
        <v>5875</v>
      </c>
      <c r="K1303" s="22" t="s">
        <v>5876</v>
      </c>
      <c r="L1303" s="23" t="s">
        <v>92</v>
      </c>
      <c r="M1303" s="24" t="s">
        <v>7738</v>
      </c>
      <c r="N1303" s="23">
        <v>18848003</v>
      </c>
      <c r="O1303" s="25" t="s">
        <v>74</v>
      </c>
      <c r="P1303" s="25" t="s">
        <v>53</v>
      </c>
      <c r="Q1303" s="20" t="s">
        <v>5877</v>
      </c>
      <c r="R1303" s="20">
        <v>42842018</v>
      </c>
      <c r="S1303" s="25" t="s">
        <v>55</v>
      </c>
      <c r="T1303" s="26" t="s">
        <v>56</v>
      </c>
      <c r="U1303" s="23">
        <v>357654179562460</v>
      </c>
      <c r="V1303" s="27" t="s">
        <v>78</v>
      </c>
      <c r="W1303" s="20" t="s">
        <v>5299</v>
      </c>
      <c r="X1303" s="20" t="s">
        <v>5299</v>
      </c>
      <c r="Y1303" s="20" t="s">
        <v>5299</v>
      </c>
      <c r="Z1303" s="20" t="s">
        <v>60</v>
      </c>
      <c r="AA1303" s="20" t="s">
        <v>61</v>
      </c>
      <c r="AB1303" s="20" t="s">
        <v>5878</v>
      </c>
      <c r="AC1303" s="28">
        <v>516.38</v>
      </c>
      <c r="AD1303" s="28">
        <f>SUM(BASE[[#This Row],[MONTO DE RENTA ]]*1.16)</f>
        <v>599.00079999999991</v>
      </c>
      <c r="AE1303" s="28" t="s">
        <v>83</v>
      </c>
      <c r="AF1303" s="28">
        <v>559.48275862068965</v>
      </c>
      <c r="AG1303" s="28">
        <v>649</v>
      </c>
      <c r="AI1303" s="63">
        <v>44937</v>
      </c>
      <c r="AJ1303" s="73">
        <v>46043</v>
      </c>
      <c r="AK13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03" s="30"/>
      <c r="AN1303" s="20" t="s">
        <v>99</v>
      </c>
      <c r="AP1303" s="20" t="s">
        <v>66</v>
      </c>
      <c r="AQ1303" s="20" t="s">
        <v>100</v>
      </c>
    </row>
    <row r="1304" spans="1:43" ht="16">
      <c r="A1304" s="284">
        <v>7771033799</v>
      </c>
      <c r="B1304" s="21">
        <v>480467</v>
      </c>
      <c r="C1304" s="20" t="s">
        <v>5879</v>
      </c>
      <c r="D1304" s="20" t="s">
        <v>937</v>
      </c>
      <c r="E1304" s="20" t="s">
        <v>1581</v>
      </c>
      <c r="F1304" s="20" t="s">
        <v>5385</v>
      </c>
      <c r="G1304" s="20" t="s">
        <v>5385</v>
      </c>
      <c r="H1304" s="20" t="s">
        <v>5381</v>
      </c>
      <c r="I1304" s="20" t="s">
        <v>5385</v>
      </c>
      <c r="J1304" s="54" t="s">
        <v>5880</v>
      </c>
      <c r="K1304" s="54" t="s">
        <v>5880</v>
      </c>
      <c r="L1304" s="23" t="s">
        <v>92</v>
      </c>
      <c r="M1304" s="24" t="s">
        <v>7738</v>
      </c>
      <c r="N1304" s="23">
        <v>18848094</v>
      </c>
      <c r="O1304" s="25" t="s">
        <v>52</v>
      </c>
      <c r="P1304" s="25" t="s">
        <v>53</v>
      </c>
      <c r="Q1304" s="20" t="s">
        <v>5881</v>
      </c>
      <c r="R1304" s="20">
        <v>90759235</v>
      </c>
      <c r="S1304" s="25" t="s">
        <v>5882</v>
      </c>
      <c r="T1304" s="285" t="s">
        <v>57</v>
      </c>
      <c r="U1304" s="23">
        <v>358366320832325</v>
      </c>
      <c r="V1304" s="27" t="s">
        <v>78</v>
      </c>
      <c r="W1304" s="20" t="s">
        <v>79</v>
      </c>
      <c r="X1304" s="20" t="s">
        <v>79</v>
      </c>
      <c r="Y1304" s="20" t="s">
        <v>79</v>
      </c>
      <c r="Z1304" s="20" t="s">
        <v>167</v>
      </c>
      <c r="AA1304" s="20" t="s">
        <v>168</v>
      </c>
      <c r="AB1304" s="20" t="s">
        <v>96</v>
      </c>
      <c r="AC1304" s="28">
        <v>369.83</v>
      </c>
      <c r="AD1304" s="28">
        <f>SUM(BASE[[#This Row],[MONTO DE RENTA ]]*1.16)</f>
        <v>429.00279999999998</v>
      </c>
      <c r="AE1304" s="28" t="s">
        <v>83</v>
      </c>
      <c r="AF1304" s="28">
        <v>559.48275862068965</v>
      </c>
      <c r="AG1304" s="28">
        <v>649</v>
      </c>
      <c r="AH1304" s="56" t="s">
        <v>116</v>
      </c>
      <c r="AI1304" s="29">
        <v>45710</v>
      </c>
      <c r="AJ1304" s="29">
        <v>46402</v>
      </c>
      <c r="AK130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304" s="51">
        <v>18848094</v>
      </c>
      <c r="AM1304" s="58"/>
      <c r="AN1304" s="20" t="s">
        <v>65</v>
      </c>
      <c r="AO1304" s="20" t="s">
        <v>169</v>
      </c>
      <c r="AP1304" s="20" t="s">
        <v>66</v>
      </c>
      <c r="AQ1304" s="20" t="s">
        <v>100</v>
      </c>
    </row>
    <row r="1305" spans="1:43" ht="16">
      <c r="A1305" s="20">
        <v>8126810937</v>
      </c>
      <c r="B1305" s="21">
        <v>1040311</v>
      </c>
      <c r="C1305" s="20" t="s">
        <v>5883</v>
      </c>
      <c r="D1305" s="20" t="s">
        <v>45</v>
      </c>
      <c r="E1305" s="20" t="s">
        <v>2845</v>
      </c>
      <c r="F1305" s="20" t="s">
        <v>5884</v>
      </c>
      <c r="G1305" s="20" t="s">
        <v>5884</v>
      </c>
      <c r="H1305" s="20" t="s">
        <v>5381</v>
      </c>
      <c r="I1305" s="20" t="s">
        <v>5884</v>
      </c>
      <c r="J1305" s="22" t="s">
        <v>5885</v>
      </c>
      <c r="K1305" s="32" t="s">
        <v>5886</v>
      </c>
      <c r="L1305" s="23" t="s">
        <v>92</v>
      </c>
      <c r="M1305" s="24" t="s">
        <v>7738</v>
      </c>
      <c r="N1305" s="23">
        <v>18848017</v>
      </c>
      <c r="O1305" s="25" t="s">
        <v>74</v>
      </c>
      <c r="P1305" s="25" t="s">
        <v>53</v>
      </c>
      <c r="Q1305" s="20" t="s">
        <v>5887</v>
      </c>
      <c r="R1305" s="20">
        <v>44114439</v>
      </c>
      <c r="S1305" s="25" t="s">
        <v>5888</v>
      </c>
      <c r="T1305" s="26" t="s">
        <v>77</v>
      </c>
      <c r="U1305" s="23">
        <v>358366320605051</v>
      </c>
      <c r="V1305" s="27" t="s">
        <v>78</v>
      </c>
      <c r="W1305" s="20" t="s">
        <v>79</v>
      </c>
      <c r="X1305" s="20" t="s">
        <v>79</v>
      </c>
      <c r="Y1305" s="20" t="s">
        <v>79</v>
      </c>
      <c r="Z1305" s="20" t="s">
        <v>167</v>
      </c>
      <c r="AA1305" s="20" t="s">
        <v>168</v>
      </c>
      <c r="AB1305" s="20" t="s">
        <v>82</v>
      </c>
      <c r="AC1305" s="28">
        <v>559.48</v>
      </c>
      <c r="AD1305" s="28">
        <f>SUM(BASE[[#This Row],[MONTO DE RENTA ]]*1.16)</f>
        <v>648.99680000000001</v>
      </c>
      <c r="AE1305" s="28" t="s">
        <v>83</v>
      </c>
      <c r="AF1305" s="28">
        <v>559.48275862068965</v>
      </c>
      <c r="AG1305" s="28">
        <v>649</v>
      </c>
      <c r="AH1305" s="22" t="s">
        <v>64</v>
      </c>
      <c r="AI1305" s="63">
        <v>45669</v>
      </c>
      <c r="AJ1305" s="63">
        <v>46399</v>
      </c>
      <c r="AK1305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305" s="30"/>
      <c r="AN1305" s="20" t="s">
        <v>65</v>
      </c>
      <c r="AP1305" s="20" t="s">
        <v>84</v>
      </c>
    </row>
    <row r="1306" spans="1:43" ht="16">
      <c r="A1306" s="20">
        <v>8122014858</v>
      </c>
      <c r="B1306" s="21">
        <v>1014613</v>
      </c>
      <c r="C1306" s="20" t="s">
        <v>5889</v>
      </c>
      <c r="D1306" s="20" t="s">
        <v>797</v>
      </c>
      <c r="E1306" s="20" t="s">
        <v>143</v>
      </c>
      <c r="F1306" s="20" t="s">
        <v>5890</v>
      </c>
      <c r="G1306" s="20" t="s">
        <v>5890</v>
      </c>
      <c r="H1306" s="20" t="s">
        <v>199</v>
      </c>
      <c r="I1306" s="20" t="s">
        <v>5890</v>
      </c>
      <c r="J1306" s="22" t="s">
        <v>5891</v>
      </c>
      <c r="K1306" s="32" t="s">
        <v>5892</v>
      </c>
      <c r="L1306" s="23" t="s">
        <v>92</v>
      </c>
      <c r="M1306" s="24" t="s">
        <v>7738</v>
      </c>
      <c r="N1306" s="23">
        <v>18848076</v>
      </c>
      <c r="O1306" s="25" t="s">
        <v>74</v>
      </c>
      <c r="P1306" s="25" t="s">
        <v>53</v>
      </c>
      <c r="Q1306" s="20" t="s">
        <v>5893</v>
      </c>
      <c r="R1306" s="20">
        <v>43163551</v>
      </c>
      <c r="S1306" s="25" t="s">
        <v>5894</v>
      </c>
      <c r="T1306" s="26" t="s">
        <v>77</v>
      </c>
      <c r="U1306" s="23">
        <v>356427674872440</v>
      </c>
      <c r="V1306" s="27" t="s">
        <v>78</v>
      </c>
      <c r="W1306" s="20" t="s">
        <v>1086</v>
      </c>
      <c r="X1306" s="20" t="s">
        <v>1086</v>
      </c>
      <c r="Y1306" s="20" t="s">
        <v>1086</v>
      </c>
      <c r="Z1306" s="20" t="s">
        <v>167</v>
      </c>
      <c r="AA1306" s="20" t="s">
        <v>168</v>
      </c>
      <c r="AB1306" s="20" t="s">
        <v>82</v>
      </c>
      <c r="AC1306" s="28">
        <v>559.48</v>
      </c>
      <c r="AD1306" s="28">
        <f>SUM(BASE[[#This Row],[MONTO DE RENTA ]]*1.16)</f>
        <v>648.99680000000001</v>
      </c>
      <c r="AE1306" s="28" t="s">
        <v>83</v>
      </c>
      <c r="AF1306" s="28">
        <v>559.48275862068965</v>
      </c>
      <c r="AG1306" s="28">
        <v>649</v>
      </c>
      <c r="AH1306" s="22" t="s">
        <v>253</v>
      </c>
      <c r="AI1306" s="63">
        <v>45669</v>
      </c>
      <c r="AJ1306" s="63">
        <v>46399</v>
      </c>
      <c r="AK130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306" s="286" t="s">
        <v>5895</v>
      </c>
      <c r="AN1306" s="20" t="s">
        <v>65</v>
      </c>
      <c r="AP1306" s="20" t="s">
        <v>84</v>
      </c>
    </row>
    <row r="1307" spans="1:43" ht="16">
      <c r="A1307" s="20">
        <v>5541336585</v>
      </c>
      <c r="B1307" s="59">
        <v>1040412</v>
      </c>
      <c r="C1307" s="20" t="s">
        <v>5896</v>
      </c>
      <c r="D1307" s="20" t="s">
        <v>1167</v>
      </c>
      <c r="E1307" s="20" t="s">
        <v>229</v>
      </c>
      <c r="F1307" s="20" t="s">
        <v>5295</v>
      </c>
      <c r="G1307" s="20" t="s">
        <v>5295</v>
      </c>
      <c r="H1307" s="20" t="s">
        <v>155</v>
      </c>
      <c r="I1307" s="20" t="s">
        <v>5295</v>
      </c>
      <c r="J1307" s="22" t="s">
        <v>5897</v>
      </c>
      <c r="K1307" s="32" t="s">
        <v>5898</v>
      </c>
      <c r="L1307" s="23" t="s">
        <v>92</v>
      </c>
      <c r="M1307" s="24" t="s">
        <v>7738</v>
      </c>
      <c r="N1307" s="23">
        <v>18848002</v>
      </c>
      <c r="O1307" s="25" t="s">
        <v>52</v>
      </c>
      <c r="P1307" s="25" t="s">
        <v>53</v>
      </c>
      <c r="Q1307" s="20" t="s">
        <v>5899</v>
      </c>
      <c r="R1307" s="20">
        <v>96071051</v>
      </c>
      <c r="S1307" s="25" t="s">
        <v>5900</v>
      </c>
      <c r="T1307" s="26" t="s">
        <v>77</v>
      </c>
      <c r="U1307" s="23">
        <v>358366320270575</v>
      </c>
      <c r="V1307" s="27" t="s">
        <v>78</v>
      </c>
      <c r="W1307" s="20" t="s">
        <v>79</v>
      </c>
      <c r="X1307" s="20" t="s">
        <v>79</v>
      </c>
      <c r="Y1307" s="20" t="s">
        <v>79</v>
      </c>
      <c r="Z1307" s="20" t="s">
        <v>167</v>
      </c>
      <c r="AA1307" s="20" t="s">
        <v>168</v>
      </c>
      <c r="AB1307" s="20" t="s">
        <v>82</v>
      </c>
      <c r="AC1307" s="28">
        <v>559.48</v>
      </c>
      <c r="AD1307" s="28">
        <f>SUM(BASE[[#This Row],[MONTO DE RENTA ]]*1.16)</f>
        <v>648.99680000000001</v>
      </c>
      <c r="AE1307" s="28" t="s">
        <v>83</v>
      </c>
      <c r="AF1307" s="28">
        <v>559.48275862068965</v>
      </c>
      <c r="AG1307" s="28">
        <v>649</v>
      </c>
      <c r="AH1307" s="22" t="s">
        <v>64</v>
      </c>
      <c r="AI1307" s="63">
        <v>45703</v>
      </c>
      <c r="AJ1307" s="63">
        <v>46433</v>
      </c>
      <c r="AK130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07" s="30"/>
      <c r="AN1307" s="20" t="s">
        <v>65</v>
      </c>
      <c r="AP1307" s="20" t="s">
        <v>84</v>
      </c>
    </row>
    <row r="1308" spans="1:43" ht="16">
      <c r="A1308" s="20">
        <v>8112583555</v>
      </c>
      <c r="B1308" s="21">
        <v>1039053</v>
      </c>
      <c r="C1308" s="20" t="s">
        <v>5901</v>
      </c>
      <c r="D1308" s="20" t="s">
        <v>172</v>
      </c>
      <c r="E1308" s="20" t="s">
        <v>519</v>
      </c>
      <c r="F1308" s="20" t="s">
        <v>5902</v>
      </c>
      <c r="G1308" s="20" t="s">
        <v>5902</v>
      </c>
      <c r="H1308" s="20" t="s">
        <v>5381</v>
      </c>
      <c r="I1308" s="20" t="s">
        <v>5902</v>
      </c>
      <c r="J1308" s="22" t="s">
        <v>5903</v>
      </c>
      <c r="K1308" s="32" t="s">
        <v>5904</v>
      </c>
      <c r="L1308" s="23" t="s">
        <v>92</v>
      </c>
      <c r="M1308" s="24" t="s">
        <v>7738</v>
      </c>
      <c r="N1308" s="23">
        <v>18848074</v>
      </c>
      <c r="O1308" s="25" t="s">
        <v>74</v>
      </c>
      <c r="P1308" s="25" t="s">
        <v>53</v>
      </c>
      <c r="Q1308" s="20" t="s">
        <v>5905</v>
      </c>
      <c r="R1308" s="20">
        <v>43090462</v>
      </c>
      <c r="S1308" s="25" t="s">
        <v>5906</v>
      </c>
      <c r="T1308" s="26" t="s">
        <v>77</v>
      </c>
      <c r="U1308" s="23">
        <v>358366320308284</v>
      </c>
      <c r="V1308" s="27" t="s">
        <v>78</v>
      </c>
      <c r="W1308" s="20" t="s">
        <v>79</v>
      </c>
      <c r="X1308" s="20" t="s">
        <v>79</v>
      </c>
      <c r="Y1308" s="20" t="s">
        <v>79</v>
      </c>
      <c r="Z1308" s="20" t="s">
        <v>167</v>
      </c>
      <c r="AA1308" s="20" t="s">
        <v>168</v>
      </c>
      <c r="AB1308" s="20" t="s">
        <v>82</v>
      </c>
      <c r="AC1308" s="28">
        <v>559.48</v>
      </c>
      <c r="AD1308" s="28">
        <f>SUM(BASE[[#This Row],[MONTO DE RENTA ]]*1.16)</f>
        <v>648.99680000000001</v>
      </c>
      <c r="AE1308" s="28" t="s">
        <v>83</v>
      </c>
      <c r="AF1308" s="28">
        <v>559.48275862068965</v>
      </c>
      <c r="AG1308" s="28">
        <v>649</v>
      </c>
      <c r="AH1308" s="22" t="s">
        <v>64</v>
      </c>
      <c r="AI1308" s="63">
        <v>45703</v>
      </c>
      <c r="AJ1308" s="63">
        <v>46433</v>
      </c>
      <c r="AK130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08" s="30"/>
      <c r="AN1308" s="20" t="s">
        <v>65</v>
      </c>
      <c r="AP1308" s="20" t="s">
        <v>84</v>
      </c>
    </row>
    <row r="1309" spans="1:43" ht="16">
      <c r="A1309" s="20">
        <v>8122012478</v>
      </c>
      <c r="B1309" s="21">
        <v>1000405</v>
      </c>
      <c r="C1309" s="20" t="s">
        <v>5907</v>
      </c>
      <c r="D1309" s="20" t="s">
        <v>187</v>
      </c>
      <c r="E1309" s="20" t="s">
        <v>1607</v>
      </c>
      <c r="F1309" s="20" t="s">
        <v>5436</v>
      </c>
      <c r="G1309" s="20" t="s">
        <v>5436</v>
      </c>
      <c r="H1309" s="20" t="s">
        <v>5437</v>
      </c>
      <c r="I1309" s="20" t="s">
        <v>5436</v>
      </c>
      <c r="J1309" s="22" t="s">
        <v>5908</v>
      </c>
      <c r="K1309" s="32" t="s">
        <v>5909</v>
      </c>
      <c r="L1309" s="23" t="s">
        <v>92</v>
      </c>
      <c r="M1309" s="24" t="s">
        <v>7738</v>
      </c>
      <c r="N1309" s="23">
        <v>18848063</v>
      </c>
      <c r="O1309" s="25" t="s">
        <v>74</v>
      </c>
      <c r="P1309" s="25" t="s">
        <v>53</v>
      </c>
      <c r="Q1309" s="20" t="s">
        <v>5910</v>
      </c>
      <c r="R1309" s="20">
        <v>43163611</v>
      </c>
      <c r="S1309" s="25" t="s">
        <v>5911</v>
      </c>
      <c r="T1309" s="26" t="s">
        <v>57</v>
      </c>
      <c r="U1309" s="23">
        <v>860900062255351</v>
      </c>
      <c r="V1309" s="27" t="s">
        <v>57</v>
      </c>
      <c r="W1309" s="20" t="s">
        <v>58</v>
      </c>
      <c r="X1309" s="20" t="s">
        <v>59</v>
      </c>
      <c r="Y1309" s="20" t="s">
        <v>59</v>
      </c>
      <c r="Z1309" s="20" t="s">
        <v>131</v>
      </c>
      <c r="AA1309" s="20" t="s">
        <v>132</v>
      </c>
      <c r="AB1309" s="20" t="s">
        <v>96</v>
      </c>
      <c r="AC1309" s="28">
        <v>369.83</v>
      </c>
      <c r="AD1309" s="28">
        <f>SUM(BASE[[#This Row],[MONTO DE RENTA ]]*1.16)</f>
        <v>429.00279999999998</v>
      </c>
      <c r="AE1309" s="28" t="s">
        <v>63</v>
      </c>
      <c r="AF1309" s="28">
        <v>369.82758620689657</v>
      </c>
      <c r="AG1309" s="28">
        <v>429</v>
      </c>
      <c r="AH1309" s="22" t="s">
        <v>64</v>
      </c>
      <c r="AI1309" s="63">
        <v>45703</v>
      </c>
      <c r="AJ1309" s="63">
        <v>46433</v>
      </c>
      <c r="AK130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09" s="30"/>
      <c r="AN1309" s="20" t="s">
        <v>65</v>
      </c>
      <c r="AP1309" s="20" t="s">
        <v>84</v>
      </c>
    </row>
    <row r="1310" spans="1:43" ht="16">
      <c r="A1310" s="20">
        <v>8120321591</v>
      </c>
      <c r="B1310" s="49">
        <v>1016038</v>
      </c>
      <c r="C1310" s="20" t="s">
        <v>5912</v>
      </c>
      <c r="D1310" s="20" t="s">
        <v>205</v>
      </c>
      <c r="E1310" s="20" t="s">
        <v>5913</v>
      </c>
      <c r="F1310" s="20" t="s">
        <v>5914</v>
      </c>
      <c r="G1310" s="20" t="s">
        <v>5914</v>
      </c>
      <c r="H1310" s="20" t="s">
        <v>208</v>
      </c>
      <c r="I1310" s="20" t="s">
        <v>5914</v>
      </c>
      <c r="J1310" s="22" t="s">
        <v>5915</v>
      </c>
      <c r="K1310" s="22" t="s">
        <v>5916</v>
      </c>
      <c r="L1310" s="23" t="s">
        <v>92</v>
      </c>
      <c r="M1310" s="24" t="s">
        <v>7738</v>
      </c>
      <c r="N1310" s="23">
        <v>18848053</v>
      </c>
      <c r="O1310" s="25" t="s">
        <v>74</v>
      </c>
      <c r="P1310" s="25" t="s">
        <v>53</v>
      </c>
      <c r="Q1310" s="20" t="s">
        <v>5917</v>
      </c>
      <c r="R1310" s="20">
        <v>44008258</v>
      </c>
      <c r="S1310" s="25" t="s">
        <v>55</v>
      </c>
      <c r="T1310" s="26" t="s">
        <v>56</v>
      </c>
      <c r="U1310" s="23">
        <v>357894928155279</v>
      </c>
      <c r="V1310" s="27" t="s">
        <v>183</v>
      </c>
      <c r="W1310" s="20" t="s">
        <v>95</v>
      </c>
      <c r="X1310" s="20" t="s">
        <v>95</v>
      </c>
      <c r="Y1310" s="20" t="s">
        <v>95</v>
      </c>
      <c r="Z1310" s="20" t="s">
        <v>60</v>
      </c>
      <c r="AA1310" s="20" t="s">
        <v>61</v>
      </c>
      <c r="AB1310" s="20" t="s">
        <v>96</v>
      </c>
      <c r="AC1310" s="28">
        <v>369.83</v>
      </c>
      <c r="AD1310" s="28">
        <f>SUM(BASE[[#This Row],[MONTO DE RENTA ]]*1.16)</f>
        <v>429.00279999999998</v>
      </c>
      <c r="AE1310" s="28" t="s">
        <v>63</v>
      </c>
      <c r="AF1310" s="28">
        <v>369.82758620689657</v>
      </c>
      <c r="AG1310" s="28">
        <v>429</v>
      </c>
      <c r="AI1310" s="63">
        <v>44937</v>
      </c>
      <c r="AJ1310" s="73">
        <v>46043</v>
      </c>
      <c r="AK131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10" s="30"/>
      <c r="AN1310" s="20" t="s">
        <v>99</v>
      </c>
      <c r="AP1310" s="20" t="s">
        <v>84</v>
      </c>
      <c r="AQ1310" s="20" t="s">
        <v>100</v>
      </c>
    </row>
    <row r="1311" spans="1:43" ht="16">
      <c r="A1311" s="87">
        <v>5542270146</v>
      </c>
      <c r="B1311" s="235">
        <v>740215</v>
      </c>
      <c r="C1311" s="20" t="s">
        <v>2074</v>
      </c>
      <c r="D1311" s="20" t="s">
        <v>306</v>
      </c>
      <c r="E1311" s="20" t="s">
        <v>657</v>
      </c>
      <c r="F1311" s="20" t="s">
        <v>88</v>
      </c>
      <c r="G1311" s="20" t="s">
        <v>88</v>
      </c>
      <c r="H1311" s="20" t="s">
        <v>89</v>
      </c>
      <c r="I1311" s="20" t="s">
        <v>88</v>
      </c>
      <c r="J1311" s="217" t="s">
        <v>5918</v>
      </c>
      <c r="K1311" s="217" t="s">
        <v>5919</v>
      </c>
      <c r="L1311" s="218" t="s">
        <v>92</v>
      </c>
      <c r="M1311" s="24" t="s">
        <v>7738</v>
      </c>
      <c r="N1311" s="23">
        <v>18848041</v>
      </c>
      <c r="O1311" s="25" t="s">
        <v>52</v>
      </c>
      <c r="P1311" s="25" t="s">
        <v>3857</v>
      </c>
      <c r="Q1311" s="20" t="s">
        <v>5920</v>
      </c>
      <c r="R1311" s="20">
        <v>9606116</v>
      </c>
      <c r="S1311" s="25" t="s">
        <v>55</v>
      </c>
      <c r="T1311" s="221" t="s">
        <v>56</v>
      </c>
      <c r="U1311" s="23">
        <v>357654179207926</v>
      </c>
      <c r="V1311" s="27" t="s">
        <v>78</v>
      </c>
      <c r="W1311" s="20" t="s">
        <v>5299</v>
      </c>
      <c r="X1311" s="20" t="s">
        <v>5299</v>
      </c>
      <c r="Y1311" s="20" t="s">
        <v>5299</v>
      </c>
      <c r="Z1311" s="20" t="s">
        <v>60</v>
      </c>
      <c r="AA1311" s="20" t="s">
        <v>61</v>
      </c>
      <c r="AB1311" s="20" t="s">
        <v>82</v>
      </c>
      <c r="AC1311" s="28">
        <v>559.48</v>
      </c>
      <c r="AD1311" s="28">
        <f>SUM(BASE[[#This Row],[MONTO DE RENTA ]]*1.16)</f>
        <v>648.99680000000001</v>
      </c>
      <c r="AE1311" s="28" t="s">
        <v>83</v>
      </c>
      <c r="AF1311" s="28">
        <v>559.48275862068965</v>
      </c>
      <c r="AG1311" s="28">
        <v>649</v>
      </c>
      <c r="AH1311" s="36" t="s">
        <v>64</v>
      </c>
      <c r="AI1311" s="84">
        <v>45323</v>
      </c>
      <c r="AJ1311" s="84">
        <v>46054</v>
      </c>
      <c r="AK13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311" s="87"/>
      <c r="AM1311" s="225"/>
      <c r="AN1311" s="20" t="s">
        <v>99</v>
      </c>
      <c r="AP1311" s="20" t="s">
        <v>84</v>
      </c>
      <c r="AQ1311" s="20" t="s">
        <v>100</v>
      </c>
    </row>
    <row r="1312" spans="1:43" ht="16">
      <c r="A1312" s="20">
        <v>8118242543</v>
      </c>
      <c r="B1312" s="21">
        <v>1009434</v>
      </c>
      <c r="C1312" s="20" t="s">
        <v>5921</v>
      </c>
      <c r="D1312" s="20" t="s">
        <v>4115</v>
      </c>
      <c r="E1312" s="20" t="s">
        <v>5922</v>
      </c>
      <c r="F1312" s="20" t="s">
        <v>5923</v>
      </c>
      <c r="G1312" s="20" t="s">
        <v>5923</v>
      </c>
      <c r="H1312" s="20" t="s">
        <v>5289</v>
      </c>
      <c r="I1312" s="20" t="s">
        <v>5923</v>
      </c>
      <c r="J1312" s="22" t="s">
        <v>5924</v>
      </c>
      <c r="K1312" s="22" t="s">
        <v>5924</v>
      </c>
      <c r="L1312" s="23" t="s">
        <v>92</v>
      </c>
      <c r="M1312" s="24" t="s">
        <v>7738</v>
      </c>
      <c r="N1312" s="23">
        <v>18848026</v>
      </c>
      <c r="O1312" s="25" t="s">
        <v>74</v>
      </c>
      <c r="P1312" s="25" t="s">
        <v>53</v>
      </c>
      <c r="Q1312" s="20" t="s">
        <v>5925</v>
      </c>
      <c r="R1312" s="20">
        <v>45017328</v>
      </c>
      <c r="S1312" s="25" t="s">
        <v>5926</v>
      </c>
      <c r="T1312" s="26" t="s">
        <v>57</v>
      </c>
      <c r="U1312" s="23">
        <v>860900062257704</v>
      </c>
      <c r="V1312" s="27" t="s">
        <v>57</v>
      </c>
      <c r="W1312" s="20" t="s">
        <v>58</v>
      </c>
      <c r="X1312" s="20" t="s">
        <v>59</v>
      </c>
      <c r="Y1312" s="20" t="s">
        <v>59</v>
      </c>
      <c r="Z1312" s="20" t="s">
        <v>131</v>
      </c>
      <c r="AA1312" s="20" t="s">
        <v>132</v>
      </c>
      <c r="AB1312" s="20" t="s">
        <v>96</v>
      </c>
      <c r="AC1312" s="28">
        <v>369.83</v>
      </c>
      <c r="AD1312" s="28">
        <f>SUM(BASE[[#This Row],[MONTO DE RENTA ]]*1.16)</f>
        <v>429.00279999999998</v>
      </c>
      <c r="AE1312" s="28" t="s">
        <v>63</v>
      </c>
      <c r="AF1312" s="28">
        <v>369.82758620689657</v>
      </c>
      <c r="AG1312" s="28">
        <v>429</v>
      </c>
      <c r="AH1312" s="22" t="s">
        <v>64</v>
      </c>
      <c r="AI1312" s="63">
        <v>45703</v>
      </c>
      <c r="AJ1312" s="63">
        <v>46433</v>
      </c>
      <c r="AK131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12" s="30"/>
      <c r="AN1312" s="20" t="s">
        <v>65</v>
      </c>
      <c r="AP1312" s="20" t="s">
        <v>84</v>
      </c>
    </row>
    <row r="1313" spans="1:43" ht="16">
      <c r="A1313" s="20">
        <v>5518648281</v>
      </c>
      <c r="B1313" s="21">
        <v>600506</v>
      </c>
      <c r="C1313" s="20" t="s">
        <v>5927</v>
      </c>
      <c r="D1313" s="20" t="s">
        <v>45</v>
      </c>
      <c r="E1313" s="20" t="s">
        <v>340</v>
      </c>
      <c r="F1313" s="20" t="s">
        <v>3245</v>
      </c>
      <c r="G1313" s="20" t="s">
        <v>3245</v>
      </c>
      <c r="H1313" s="20" t="s">
        <v>48</v>
      </c>
      <c r="I1313" s="20" t="s">
        <v>3245</v>
      </c>
      <c r="J1313" s="32" t="s">
        <v>5928</v>
      </c>
      <c r="K1313" s="32" t="s">
        <v>5929</v>
      </c>
      <c r="L1313" s="23" t="s">
        <v>4297</v>
      </c>
      <c r="M1313" s="24" t="s">
        <v>7741</v>
      </c>
      <c r="N1313" s="23">
        <v>18765000</v>
      </c>
      <c r="O1313" s="25" t="s">
        <v>52</v>
      </c>
      <c r="P1313" s="25" t="s">
        <v>53</v>
      </c>
      <c r="Q1313" s="20" t="s">
        <v>5930</v>
      </c>
      <c r="R1313" s="20">
        <v>90159711</v>
      </c>
      <c r="S1313" s="25" t="s">
        <v>5931</v>
      </c>
      <c r="T1313" s="26" t="s">
        <v>57</v>
      </c>
      <c r="U1313" s="23">
        <v>860900062323068</v>
      </c>
      <c r="V1313" s="27" t="s">
        <v>57</v>
      </c>
      <c r="W1313" s="20" t="s">
        <v>58</v>
      </c>
      <c r="X1313" s="20" t="s">
        <v>59</v>
      </c>
      <c r="Y1313" s="20" t="s">
        <v>59</v>
      </c>
      <c r="Z1313" s="20" t="s">
        <v>60</v>
      </c>
      <c r="AA1313" s="20" t="s">
        <v>61</v>
      </c>
      <c r="AB1313" s="20" t="s">
        <v>96</v>
      </c>
      <c r="AC1313" s="28">
        <v>369.83</v>
      </c>
      <c r="AD1313" s="28">
        <f>SUM(BASE[[#This Row],[MONTO DE RENTA ]]*1.16)</f>
        <v>429.00279999999998</v>
      </c>
      <c r="AE1313" s="28" t="s">
        <v>63</v>
      </c>
      <c r="AF1313" s="28">
        <v>369.82758620689657</v>
      </c>
      <c r="AG1313" s="28">
        <v>429</v>
      </c>
      <c r="AH1313" s="22" t="s">
        <v>64</v>
      </c>
      <c r="AI1313" s="63">
        <v>45703</v>
      </c>
      <c r="AJ1313" s="63">
        <v>46433</v>
      </c>
      <c r="AK13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13" s="30"/>
      <c r="AN1313" s="20" t="s">
        <v>65</v>
      </c>
      <c r="AP1313" s="20" t="s">
        <v>84</v>
      </c>
    </row>
    <row r="1314" spans="1:43" ht="16">
      <c r="A1314" s="20">
        <v>8118206394</v>
      </c>
      <c r="B1314" s="21">
        <v>1079521</v>
      </c>
      <c r="C1314" s="20" t="s">
        <v>5932</v>
      </c>
      <c r="D1314" s="20" t="s">
        <v>171</v>
      </c>
      <c r="E1314" s="20" t="s">
        <v>4585</v>
      </c>
      <c r="F1314" s="20" t="s">
        <v>5504</v>
      </c>
      <c r="G1314" s="20" t="s">
        <v>5504</v>
      </c>
      <c r="H1314" s="20" t="s">
        <v>231</v>
      </c>
      <c r="I1314" s="20" t="s">
        <v>5504</v>
      </c>
      <c r="J1314" s="54" t="s">
        <v>5933</v>
      </c>
      <c r="K1314" s="54" t="s">
        <v>5933</v>
      </c>
      <c r="L1314" s="23" t="s">
        <v>92</v>
      </c>
      <c r="M1314" s="24" t="s">
        <v>7738</v>
      </c>
      <c r="N1314" s="23">
        <v>18848062</v>
      </c>
      <c r="O1314" s="25" t="s">
        <v>74</v>
      </c>
      <c r="P1314" s="25" t="s">
        <v>53</v>
      </c>
      <c r="Q1314" s="20" t="s">
        <v>5934</v>
      </c>
      <c r="R1314" s="20">
        <v>43163516</v>
      </c>
      <c r="S1314" s="25" t="s">
        <v>5935</v>
      </c>
      <c r="T1314" s="44" t="s">
        <v>77</v>
      </c>
      <c r="U1314" s="23">
        <v>860900062735964</v>
      </c>
      <c r="V1314" s="27" t="s">
        <v>57</v>
      </c>
      <c r="W1314" s="20" t="s">
        <v>58</v>
      </c>
      <c r="X1314" s="20" t="s">
        <v>59</v>
      </c>
      <c r="Y1314" s="20" t="s">
        <v>59</v>
      </c>
      <c r="Z1314" s="20" t="s">
        <v>167</v>
      </c>
      <c r="AA1314" s="20" t="s">
        <v>168</v>
      </c>
      <c r="AB1314" s="20" t="s">
        <v>82</v>
      </c>
      <c r="AC1314" s="28">
        <v>559.48</v>
      </c>
      <c r="AD1314" s="28">
        <f>SUM(BASE[[#This Row],[MONTO DE RENTA ]]*1.16)</f>
        <v>648.99680000000001</v>
      </c>
      <c r="AE1314" s="28" t="s">
        <v>83</v>
      </c>
      <c r="AF1314" s="28">
        <v>559.48275862068965</v>
      </c>
      <c r="AG1314" s="28">
        <v>649</v>
      </c>
      <c r="AH1314" s="22" t="s">
        <v>98</v>
      </c>
      <c r="AI1314" s="63">
        <v>45848</v>
      </c>
      <c r="AJ1314" s="63">
        <v>46578</v>
      </c>
      <c r="AK1314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314" s="20">
        <v>18848062</v>
      </c>
      <c r="AM1314" s="30" t="s">
        <v>5936</v>
      </c>
      <c r="AN1314" s="20" t="s">
        <v>65</v>
      </c>
      <c r="AP1314" s="20" t="s">
        <v>84</v>
      </c>
    </row>
    <row r="1315" spans="1:43" ht="16">
      <c r="A1315" s="87">
        <v>8120397631</v>
      </c>
      <c r="B1315" s="235">
        <v>0</v>
      </c>
      <c r="C1315" s="87" t="s">
        <v>1653</v>
      </c>
      <c r="D1315" s="87" t="s">
        <v>1654</v>
      </c>
      <c r="E1315" s="87" t="s">
        <v>1655</v>
      </c>
      <c r="F1315" s="87" t="s">
        <v>1656</v>
      </c>
      <c r="G1315" s="87" t="s">
        <v>1656</v>
      </c>
      <c r="H1315" s="20" t="s">
        <v>1657</v>
      </c>
      <c r="I1315" s="87" t="s">
        <v>1658</v>
      </c>
      <c r="J1315" s="216" t="s">
        <v>5937</v>
      </c>
      <c r="K1315" s="216" t="s">
        <v>5937</v>
      </c>
      <c r="L1315" s="218" t="s">
        <v>92</v>
      </c>
      <c r="M1315" s="219" t="s">
        <v>7738</v>
      </c>
      <c r="N1315" s="218" t="s">
        <v>1661</v>
      </c>
      <c r="O1315" s="220" t="s">
        <v>74</v>
      </c>
      <c r="P1315" s="25" t="s">
        <v>3857</v>
      </c>
      <c r="Q1315" s="87" t="s">
        <v>5938</v>
      </c>
      <c r="R1315" s="87">
        <v>43648021</v>
      </c>
      <c r="S1315" s="220" t="s">
        <v>5939</v>
      </c>
      <c r="T1315" s="221" t="s">
        <v>77</v>
      </c>
      <c r="U1315" s="218" t="s">
        <v>193</v>
      </c>
      <c r="V1315" s="222" t="s">
        <v>78</v>
      </c>
      <c r="W1315" s="87" t="s">
        <v>194</v>
      </c>
      <c r="X1315" s="20" t="s">
        <v>194</v>
      </c>
      <c r="Y1315" s="20" t="s">
        <v>194</v>
      </c>
      <c r="Z1315" s="87" t="s">
        <v>60</v>
      </c>
      <c r="AA1315" s="87" t="s">
        <v>61</v>
      </c>
      <c r="AB1315" s="87" t="s">
        <v>82</v>
      </c>
      <c r="AC1315" s="223">
        <v>559.48</v>
      </c>
      <c r="AD1315" s="223">
        <f>SUM(BASE[[#This Row],[MONTO DE RENTA ]]*1.16)</f>
        <v>648.99680000000001</v>
      </c>
      <c r="AE1315" s="223" t="s">
        <v>83</v>
      </c>
      <c r="AF1315" s="223">
        <v>559.48275862068965</v>
      </c>
      <c r="AG1315" s="223">
        <v>649</v>
      </c>
      <c r="AH1315" s="217" t="s">
        <v>116</v>
      </c>
      <c r="AI1315" s="232">
        <v>45791</v>
      </c>
      <c r="AJ1315" s="232">
        <v>46521</v>
      </c>
      <c r="AK1315" s="225">
        <f ca="1">IFERROR(IF(BASE[[#This Row],[FECHA DE RENOVACION ]]&gt;TODAY(), DATEDIF(TODAY(),BASE[[#This Row],[FECHA DE RENOVACION ]],"M"), -DATEDIF(BASE[[#This Row],[FECHA DE RENOVACION ]],TODAY(),"M")), "Sin fecha")</f>
        <v>14</v>
      </c>
      <c r="AL1315" s="287">
        <v>18848078</v>
      </c>
      <c r="AM1315" s="225"/>
      <c r="AN1315" s="87" t="s">
        <v>65</v>
      </c>
      <c r="AO1315" s="87"/>
      <c r="AP1315" s="87" t="s">
        <v>84</v>
      </c>
      <c r="AQ1315" s="87"/>
    </row>
    <row r="1316" spans="1:43" ht="16">
      <c r="A1316" s="69">
        <v>8110282433</v>
      </c>
      <c r="B1316" s="48">
        <v>1014260</v>
      </c>
      <c r="C1316" s="20" t="s">
        <v>4425</v>
      </c>
      <c r="D1316" s="20" t="s">
        <v>281</v>
      </c>
      <c r="E1316" s="20" t="s">
        <v>357</v>
      </c>
      <c r="F1316" s="20" t="s">
        <v>5940</v>
      </c>
      <c r="G1316" s="20" t="s">
        <v>5940</v>
      </c>
      <c r="H1316" s="20" t="s">
        <v>231</v>
      </c>
      <c r="I1316" s="20" t="s">
        <v>5940</v>
      </c>
      <c r="J1316" s="53" t="s">
        <v>5941</v>
      </c>
      <c r="K1316" s="53" t="s">
        <v>5942</v>
      </c>
      <c r="L1316" s="288" t="s">
        <v>92</v>
      </c>
      <c r="M1316" s="24" t="s">
        <v>7738</v>
      </c>
      <c r="N1316" s="23">
        <v>18848062</v>
      </c>
      <c r="O1316" s="25" t="s">
        <v>74</v>
      </c>
      <c r="P1316" s="25" t="s">
        <v>53</v>
      </c>
      <c r="Q1316" s="20" t="s">
        <v>5943</v>
      </c>
      <c r="R1316" s="20">
        <v>43886058</v>
      </c>
      <c r="S1316" s="25" t="s">
        <v>5944</v>
      </c>
      <c r="T1316" s="72" t="s">
        <v>57</v>
      </c>
      <c r="U1316" s="23">
        <v>356638832158585</v>
      </c>
      <c r="V1316" s="27" t="s">
        <v>78</v>
      </c>
      <c r="W1316" s="20" t="s">
        <v>214</v>
      </c>
      <c r="X1316" s="20" t="s">
        <v>214</v>
      </c>
      <c r="Y1316" s="20" t="s">
        <v>214</v>
      </c>
      <c r="Z1316" s="20" t="s">
        <v>167</v>
      </c>
      <c r="AA1316" s="20" t="s">
        <v>168</v>
      </c>
      <c r="AB1316" s="20" t="s">
        <v>115</v>
      </c>
      <c r="AC1316" s="28">
        <v>559.48</v>
      </c>
      <c r="AD1316" s="28">
        <f>SUM(BASE[[#This Row],[MONTO DE RENTA ]]*1.16)</f>
        <v>648.99680000000001</v>
      </c>
      <c r="AE1316" s="28" t="s">
        <v>83</v>
      </c>
      <c r="AF1316" s="28">
        <v>559.48275862068965</v>
      </c>
      <c r="AG1316" s="28">
        <v>649</v>
      </c>
      <c r="AH1316" s="53" t="s">
        <v>98</v>
      </c>
      <c r="AI1316" s="73">
        <v>45805</v>
      </c>
      <c r="AJ1316" s="73">
        <v>46446</v>
      </c>
      <c r="AK13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316" s="158">
        <v>18848115</v>
      </c>
      <c r="AM1316" s="144"/>
      <c r="AN1316" s="20" t="s">
        <v>65</v>
      </c>
      <c r="AP1316" s="20" t="s">
        <v>84</v>
      </c>
    </row>
    <row r="1317" spans="1:43" ht="16">
      <c r="A1317" s="20">
        <v>8182877168</v>
      </c>
      <c r="B1317" s="86">
        <v>6182</v>
      </c>
      <c r="C1317" s="20" t="s">
        <v>1441</v>
      </c>
      <c r="D1317" s="20" t="s">
        <v>5945</v>
      </c>
      <c r="E1317" s="20" t="s">
        <v>1789</v>
      </c>
      <c r="F1317" s="20" t="s">
        <v>5946</v>
      </c>
      <c r="G1317" s="20" t="s">
        <v>5946</v>
      </c>
      <c r="H1317" s="20" t="s">
        <v>5381</v>
      </c>
      <c r="I1317" s="20" t="s">
        <v>5946</v>
      </c>
      <c r="J1317" s="22" t="s">
        <v>5947</v>
      </c>
      <c r="K1317" s="32" t="s">
        <v>5948</v>
      </c>
      <c r="L1317" s="23" t="s">
        <v>92</v>
      </c>
      <c r="M1317" s="24" t="s">
        <v>7738</v>
      </c>
      <c r="N1317" s="23">
        <v>18848012</v>
      </c>
      <c r="O1317" s="25" t="s">
        <v>74</v>
      </c>
      <c r="P1317" s="25" t="s">
        <v>53</v>
      </c>
      <c r="Q1317" s="20" t="s">
        <v>5949</v>
      </c>
      <c r="R1317" s="20">
        <v>42862132</v>
      </c>
      <c r="S1317" s="25" t="s">
        <v>5950</v>
      </c>
      <c r="T1317" s="26" t="s">
        <v>77</v>
      </c>
      <c r="U1317" s="23">
        <v>354784322440018</v>
      </c>
      <c r="V1317" s="27" t="s">
        <v>78</v>
      </c>
      <c r="W1317" s="20" t="s">
        <v>5951</v>
      </c>
      <c r="X1317" s="20" t="s">
        <v>5951</v>
      </c>
      <c r="Y1317" s="20" t="s">
        <v>5951</v>
      </c>
      <c r="Z1317" s="20" t="s">
        <v>584</v>
      </c>
      <c r="AA1317" s="20" t="s">
        <v>585</v>
      </c>
      <c r="AB1317" s="20" t="s">
        <v>82</v>
      </c>
      <c r="AC1317" s="28">
        <v>559.48</v>
      </c>
      <c r="AD1317" s="28">
        <f>SUM(BASE[[#This Row],[MONTO DE RENTA ]]*1.16)</f>
        <v>648.99680000000001</v>
      </c>
      <c r="AE1317" s="28" t="s">
        <v>83</v>
      </c>
      <c r="AF1317" s="28">
        <v>559.48275862068965</v>
      </c>
      <c r="AG1317" s="28">
        <v>649</v>
      </c>
      <c r="AI1317" s="63">
        <v>44937</v>
      </c>
      <c r="AJ1317" s="63">
        <v>46064</v>
      </c>
      <c r="AK1317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317" s="30" t="s">
        <v>5952</v>
      </c>
      <c r="AN1317" s="20" t="s">
        <v>99</v>
      </c>
      <c r="AP1317" s="20" t="s">
        <v>84</v>
      </c>
      <c r="AQ1317" s="20" t="s">
        <v>100</v>
      </c>
    </row>
    <row r="1318" spans="1:43" ht="16">
      <c r="A1318" s="20">
        <v>8126811406</v>
      </c>
      <c r="B1318" s="49">
        <v>1019360</v>
      </c>
      <c r="C1318" s="20" t="s">
        <v>5953</v>
      </c>
      <c r="D1318" s="20" t="s">
        <v>187</v>
      </c>
      <c r="E1318" s="20" t="s">
        <v>598</v>
      </c>
      <c r="F1318" s="20" t="s">
        <v>5338</v>
      </c>
      <c r="G1318" s="20" t="s">
        <v>5338</v>
      </c>
      <c r="H1318" s="20" t="s">
        <v>208</v>
      </c>
      <c r="I1318" s="20" t="s">
        <v>5338</v>
      </c>
      <c r="J1318" s="22" t="s">
        <v>5954</v>
      </c>
      <c r="K1318" s="32" t="s">
        <v>5955</v>
      </c>
      <c r="L1318" s="23" t="s">
        <v>92</v>
      </c>
      <c r="M1318" s="24" t="s">
        <v>7738</v>
      </c>
      <c r="N1318" s="23">
        <v>18848052</v>
      </c>
      <c r="O1318" s="25" t="s">
        <v>74</v>
      </c>
      <c r="P1318" s="25" t="s">
        <v>53</v>
      </c>
      <c r="Q1318" s="20" t="s">
        <v>5956</v>
      </c>
      <c r="R1318" s="20">
        <v>44114405</v>
      </c>
      <c r="S1318" s="25" t="s">
        <v>55</v>
      </c>
      <c r="T1318" s="26" t="s">
        <v>56</v>
      </c>
      <c r="U1318" s="23">
        <v>865356065671273</v>
      </c>
      <c r="V1318" s="27" t="s">
        <v>183</v>
      </c>
      <c r="W1318" s="20" t="s">
        <v>129</v>
      </c>
      <c r="X1318" s="20" t="s">
        <v>130</v>
      </c>
      <c r="Y1318" s="20" t="s">
        <v>130</v>
      </c>
      <c r="Z1318" s="20" t="s">
        <v>60</v>
      </c>
      <c r="AA1318" s="20" t="s">
        <v>61</v>
      </c>
      <c r="AB1318" s="20" t="s">
        <v>96</v>
      </c>
      <c r="AC1318" s="28">
        <v>369.83</v>
      </c>
      <c r="AD1318" s="28">
        <f>SUM(BASE[[#This Row],[MONTO DE RENTA ]]*1.16)</f>
        <v>429.00279999999998</v>
      </c>
      <c r="AE1318" s="28" t="s">
        <v>63</v>
      </c>
      <c r="AF1318" s="28">
        <v>369.82758620689657</v>
      </c>
      <c r="AG1318" s="28">
        <v>429</v>
      </c>
      <c r="AI1318" s="29">
        <v>44937</v>
      </c>
      <c r="AJ1318" s="50">
        <v>46043</v>
      </c>
      <c r="AK13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18" s="30"/>
      <c r="AN1318" s="20" t="s">
        <v>99</v>
      </c>
      <c r="AP1318" s="20" t="s">
        <v>84</v>
      </c>
      <c r="AQ1318" s="20" t="s">
        <v>100</v>
      </c>
    </row>
    <row r="1319" spans="1:43" ht="16">
      <c r="A1319" s="20">
        <v>2225687824</v>
      </c>
      <c r="B1319" s="49">
        <v>710171</v>
      </c>
      <c r="C1319" s="20" t="s">
        <v>2476</v>
      </c>
      <c r="D1319" s="20" t="s">
        <v>5957</v>
      </c>
      <c r="E1319" s="20" t="s">
        <v>519</v>
      </c>
      <c r="F1319" s="20" t="s">
        <v>5334</v>
      </c>
      <c r="G1319" s="20" t="s">
        <v>5334</v>
      </c>
      <c r="H1319" s="20" t="s">
        <v>5320</v>
      </c>
      <c r="I1319" s="20" t="s">
        <v>5334</v>
      </c>
      <c r="J1319" s="22" t="s">
        <v>5958</v>
      </c>
      <c r="K1319" s="22" t="s">
        <v>5958</v>
      </c>
      <c r="L1319" s="23" t="s">
        <v>92</v>
      </c>
      <c r="M1319" s="24" t="s">
        <v>7738</v>
      </c>
      <c r="N1319" s="23">
        <v>18848040</v>
      </c>
      <c r="O1319" s="25" t="s">
        <v>828</v>
      </c>
      <c r="P1319" s="25" t="s">
        <v>53</v>
      </c>
      <c r="Q1319" s="20" t="s">
        <v>5959</v>
      </c>
      <c r="R1319" s="20">
        <v>75189448</v>
      </c>
      <c r="S1319" s="25" t="s">
        <v>5960</v>
      </c>
      <c r="T1319" s="26" t="s">
        <v>57</v>
      </c>
      <c r="U1319" s="23">
        <v>352556228262346</v>
      </c>
      <c r="V1319" s="27" t="s">
        <v>78</v>
      </c>
      <c r="W1319" s="20" t="s">
        <v>5299</v>
      </c>
      <c r="X1319" s="20" t="s">
        <v>5299</v>
      </c>
      <c r="Y1319" s="20" t="s">
        <v>5299</v>
      </c>
      <c r="Z1319" s="20" t="s">
        <v>167</v>
      </c>
      <c r="AA1319" s="20" t="s">
        <v>168</v>
      </c>
      <c r="AB1319" s="20" t="s">
        <v>96</v>
      </c>
      <c r="AC1319" s="28">
        <v>369.83</v>
      </c>
      <c r="AD1319" s="28">
        <f>SUM(BASE[[#This Row],[MONTO DE RENTA ]]*1.16)</f>
        <v>429.00279999999998</v>
      </c>
      <c r="AE1319" s="28" t="s">
        <v>83</v>
      </c>
      <c r="AF1319" s="28">
        <v>559.48275862068965</v>
      </c>
      <c r="AG1319" s="28">
        <v>649</v>
      </c>
      <c r="AI1319" s="63">
        <v>44937</v>
      </c>
      <c r="AJ1319" s="84">
        <v>46054</v>
      </c>
      <c r="AK13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19" s="30"/>
      <c r="AN1319" s="20" t="s">
        <v>99</v>
      </c>
      <c r="AP1319" s="20" t="s">
        <v>66</v>
      </c>
      <c r="AQ1319" s="20" t="s">
        <v>100</v>
      </c>
    </row>
    <row r="1320" spans="1:43" ht="16">
      <c r="A1320" s="20">
        <v>8123245744</v>
      </c>
      <c r="B1320" s="49">
        <v>470374</v>
      </c>
      <c r="C1320" s="20" t="s">
        <v>5961</v>
      </c>
      <c r="D1320" s="20" t="s">
        <v>5962</v>
      </c>
      <c r="E1320" s="20" t="s">
        <v>442</v>
      </c>
      <c r="F1320" s="20" t="s">
        <v>5282</v>
      </c>
      <c r="G1320" s="20" t="s">
        <v>5282</v>
      </c>
      <c r="H1320" s="20" t="s">
        <v>155</v>
      </c>
      <c r="I1320" s="20" t="s">
        <v>5282</v>
      </c>
      <c r="J1320" s="22" t="s">
        <v>5963</v>
      </c>
      <c r="K1320" s="22" t="s">
        <v>5963</v>
      </c>
      <c r="L1320" s="23" t="s">
        <v>92</v>
      </c>
      <c r="M1320" s="24" t="s">
        <v>7738</v>
      </c>
      <c r="N1320" s="23">
        <v>18848080</v>
      </c>
      <c r="O1320" s="25" t="s">
        <v>74</v>
      </c>
      <c r="P1320" s="25" t="s">
        <v>53</v>
      </c>
      <c r="Q1320" s="20" t="s">
        <v>5964</v>
      </c>
      <c r="R1320" s="20">
        <v>45142518</v>
      </c>
      <c r="S1320" s="25" t="s">
        <v>5965</v>
      </c>
      <c r="T1320" s="26" t="s">
        <v>57</v>
      </c>
      <c r="U1320" s="23">
        <v>860900062264411</v>
      </c>
      <c r="V1320" s="27" t="s">
        <v>57</v>
      </c>
      <c r="W1320" s="20" t="s">
        <v>58</v>
      </c>
      <c r="X1320" s="20" t="s">
        <v>59</v>
      </c>
      <c r="Y1320" s="20" t="s">
        <v>59</v>
      </c>
      <c r="Z1320" s="20" t="s">
        <v>131</v>
      </c>
      <c r="AA1320" s="20" t="s">
        <v>132</v>
      </c>
      <c r="AB1320" s="20" t="s">
        <v>96</v>
      </c>
      <c r="AC1320" s="28">
        <v>369.83</v>
      </c>
      <c r="AD1320" s="28">
        <f>SUM(BASE[[#This Row],[MONTO DE RENTA ]]*1.16)</f>
        <v>429.00279999999998</v>
      </c>
      <c r="AE1320" s="28" t="s">
        <v>63</v>
      </c>
      <c r="AF1320" s="28">
        <v>369.82758620689657</v>
      </c>
      <c r="AG1320" s="28">
        <v>429</v>
      </c>
      <c r="AH1320" s="22" t="s">
        <v>64</v>
      </c>
      <c r="AI1320" s="63">
        <v>45703</v>
      </c>
      <c r="AJ1320" s="63">
        <v>46433</v>
      </c>
      <c r="AK13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20" s="30"/>
      <c r="AN1320" s="20" t="s">
        <v>65</v>
      </c>
      <c r="AP1320" s="20" t="s">
        <v>84</v>
      </c>
    </row>
    <row r="1321" spans="1:43" ht="16">
      <c r="A1321" s="20">
        <v>8182548111</v>
      </c>
      <c r="B1321" s="21">
        <v>1003340</v>
      </c>
      <c r="C1321" s="20" t="s">
        <v>4686</v>
      </c>
      <c r="D1321" s="20" t="s">
        <v>1281</v>
      </c>
      <c r="E1321" s="20" t="s">
        <v>657</v>
      </c>
      <c r="F1321" s="20" t="s">
        <v>5966</v>
      </c>
      <c r="G1321" s="20" t="s">
        <v>5966</v>
      </c>
      <c r="H1321" s="20" t="s">
        <v>5320</v>
      </c>
      <c r="I1321" s="20" t="s">
        <v>5966</v>
      </c>
      <c r="J1321" s="22" t="s">
        <v>5967</v>
      </c>
      <c r="K1321" s="32" t="s">
        <v>5968</v>
      </c>
      <c r="L1321" s="23" t="s">
        <v>92</v>
      </c>
      <c r="M1321" s="24" t="s">
        <v>7738</v>
      </c>
      <c r="N1321" s="23">
        <v>18848046</v>
      </c>
      <c r="O1321" s="25" t="s">
        <v>74</v>
      </c>
      <c r="P1321" s="25" t="s">
        <v>53</v>
      </c>
      <c r="Q1321" s="20" t="s">
        <v>5969</v>
      </c>
      <c r="R1321" s="20">
        <v>43149874</v>
      </c>
      <c r="S1321" s="25" t="s">
        <v>5970</v>
      </c>
      <c r="T1321" s="26" t="s">
        <v>77</v>
      </c>
      <c r="U1321" s="23">
        <v>358366320833240</v>
      </c>
      <c r="V1321" s="27" t="s">
        <v>78</v>
      </c>
      <c r="W1321" s="20" t="s">
        <v>79</v>
      </c>
      <c r="X1321" s="20" t="s">
        <v>79</v>
      </c>
      <c r="Y1321" s="20" t="s">
        <v>79</v>
      </c>
      <c r="Z1321" s="20" t="s">
        <v>167</v>
      </c>
      <c r="AA1321" s="20" t="s">
        <v>168</v>
      </c>
      <c r="AB1321" s="20" t="s">
        <v>82</v>
      </c>
      <c r="AC1321" s="28">
        <v>559.48</v>
      </c>
      <c r="AD1321" s="28">
        <f>SUM(BASE[[#This Row],[MONTO DE RENTA ]]*1.16)</f>
        <v>648.99680000000001</v>
      </c>
      <c r="AE1321" s="28" t="s">
        <v>83</v>
      </c>
      <c r="AF1321" s="28">
        <v>559.48275862068965</v>
      </c>
      <c r="AG1321" s="28">
        <v>649</v>
      </c>
      <c r="AH1321" s="22" t="s">
        <v>64</v>
      </c>
      <c r="AI1321" s="63">
        <v>45713</v>
      </c>
      <c r="AJ1321" s="63">
        <v>46433</v>
      </c>
      <c r="AK132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21" s="30"/>
      <c r="AN1321" s="20" t="s">
        <v>65</v>
      </c>
      <c r="AP1321" s="20" t="s">
        <v>84</v>
      </c>
    </row>
    <row r="1322" spans="1:43" ht="16">
      <c r="A1322" s="20">
        <v>8186813157</v>
      </c>
      <c r="B1322" s="49">
        <v>143017</v>
      </c>
      <c r="C1322" s="20" t="s">
        <v>5971</v>
      </c>
      <c r="D1322" s="20" t="s">
        <v>999</v>
      </c>
      <c r="E1322" s="20" t="s">
        <v>187</v>
      </c>
      <c r="F1322" s="20" t="s">
        <v>5443</v>
      </c>
      <c r="G1322" s="20" t="s">
        <v>5443</v>
      </c>
      <c r="H1322" s="20" t="s">
        <v>5320</v>
      </c>
      <c r="I1322" s="20" t="s">
        <v>5443</v>
      </c>
      <c r="J1322" s="22" t="s">
        <v>5972</v>
      </c>
      <c r="K1322" s="32" t="s">
        <v>5973</v>
      </c>
      <c r="L1322" s="23" t="s">
        <v>92</v>
      </c>
      <c r="M1322" s="24" t="s">
        <v>7738</v>
      </c>
      <c r="N1322" s="23">
        <v>18848067</v>
      </c>
      <c r="O1322" s="25" t="s">
        <v>74</v>
      </c>
      <c r="P1322" s="25" t="s">
        <v>53</v>
      </c>
      <c r="Q1322" s="20" t="s">
        <v>5974</v>
      </c>
      <c r="R1322" s="20">
        <v>42846237</v>
      </c>
      <c r="S1322" s="25" t="s">
        <v>55</v>
      </c>
      <c r="T1322" s="26" t="s">
        <v>56</v>
      </c>
      <c r="U1322" s="23">
        <v>865356065668204</v>
      </c>
      <c r="V1322" s="27" t="s">
        <v>183</v>
      </c>
      <c r="W1322" s="20" t="s">
        <v>129</v>
      </c>
      <c r="X1322" s="20" t="s">
        <v>130</v>
      </c>
      <c r="Y1322" s="20" t="s">
        <v>130</v>
      </c>
      <c r="Z1322" s="20" t="s">
        <v>60</v>
      </c>
      <c r="AA1322" s="20" t="s">
        <v>61</v>
      </c>
      <c r="AB1322" s="20" t="s">
        <v>96</v>
      </c>
      <c r="AC1322" s="28">
        <v>369.83</v>
      </c>
      <c r="AD1322" s="28">
        <f>SUM(BASE[[#This Row],[MONTO DE RENTA ]]*1.16)</f>
        <v>429.00279999999998</v>
      </c>
      <c r="AE1322" s="28" t="s">
        <v>63</v>
      </c>
      <c r="AF1322" s="28">
        <v>369.82758620689657</v>
      </c>
      <c r="AG1322" s="28">
        <v>429</v>
      </c>
      <c r="AI1322" s="63">
        <v>44937</v>
      </c>
      <c r="AJ1322" s="73">
        <v>46043</v>
      </c>
      <c r="AK132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22" s="30"/>
      <c r="AN1322" s="20" t="s">
        <v>99</v>
      </c>
      <c r="AP1322" s="20" t="s">
        <v>84</v>
      </c>
      <c r="AQ1322" s="20" t="s">
        <v>100</v>
      </c>
    </row>
    <row r="1323" spans="1:43" ht="16">
      <c r="A1323" s="20">
        <v>8113215028</v>
      </c>
      <c r="B1323" s="21">
        <v>6214</v>
      </c>
      <c r="C1323" s="20" t="s">
        <v>5975</v>
      </c>
      <c r="D1323" s="20" t="s">
        <v>45</v>
      </c>
      <c r="E1323" s="20" t="s">
        <v>186</v>
      </c>
      <c r="F1323" s="20" t="s">
        <v>5976</v>
      </c>
      <c r="G1323" s="20" t="s">
        <v>5976</v>
      </c>
      <c r="H1323" s="20" t="s">
        <v>5381</v>
      </c>
      <c r="I1323" s="20" t="s">
        <v>5976</v>
      </c>
      <c r="J1323" s="22" t="s">
        <v>5977</v>
      </c>
      <c r="K1323" s="22" t="s">
        <v>5977</v>
      </c>
      <c r="L1323" s="23" t="s">
        <v>92</v>
      </c>
      <c r="M1323" s="24" t="s">
        <v>7738</v>
      </c>
      <c r="N1323" s="23">
        <v>18848017</v>
      </c>
      <c r="O1323" s="25" t="s">
        <v>74</v>
      </c>
      <c r="P1323" s="25" t="s">
        <v>53</v>
      </c>
      <c r="Q1323" s="20" t="s">
        <v>5978</v>
      </c>
      <c r="R1323" s="20">
        <v>43163566</v>
      </c>
      <c r="S1323" s="25" t="s">
        <v>5979</v>
      </c>
      <c r="T1323" s="26" t="s">
        <v>77</v>
      </c>
      <c r="U1323" s="23">
        <v>351307357410780</v>
      </c>
      <c r="V1323" s="27" t="s">
        <v>78</v>
      </c>
      <c r="W1323" s="20" t="s">
        <v>79</v>
      </c>
      <c r="X1323" s="20" t="s">
        <v>79</v>
      </c>
      <c r="Y1323" s="20" t="s">
        <v>79</v>
      </c>
      <c r="Z1323" s="20" t="s">
        <v>167</v>
      </c>
      <c r="AA1323" s="20" t="s">
        <v>168</v>
      </c>
      <c r="AB1323" s="20" t="s">
        <v>82</v>
      </c>
      <c r="AC1323" s="28">
        <v>559.48</v>
      </c>
      <c r="AD1323" s="28">
        <f>SUM(BASE[[#This Row],[MONTO DE RENTA ]]*1.16)</f>
        <v>648.99680000000001</v>
      </c>
      <c r="AE1323" s="28" t="s">
        <v>83</v>
      </c>
      <c r="AF1323" s="28">
        <v>559.48275862068965</v>
      </c>
      <c r="AG1323" s="28">
        <v>649</v>
      </c>
      <c r="AH1323" s="22" t="s">
        <v>64</v>
      </c>
      <c r="AI1323" s="29">
        <v>45703</v>
      </c>
      <c r="AJ1323" s="29">
        <v>46433</v>
      </c>
      <c r="AK13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23" s="30"/>
      <c r="AN1323" s="20" t="s">
        <v>65</v>
      </c>
      <c r="AP1323" s="20" t="s">
        <v>84</v>
      </c>
    </row>
    <row r="1324" spans="1:43" ht="16">
      <c r="A1324" s="20">
        <v>8112634936</v>
      </c>
      <c r="B1324" s="49">
        <v>11442</v>
      </c>
      <c r="C1324" s="20" t="s">
        <v>5980</v>
      </c>
      <c r="D1324" s="20" t="s">
        <v>160</v>
      </c>
      <c r="E1324" s="20" t="s">
        <v>358</v>
      </c>
      <c r="F1324" s="20" t="s">
        <v>88</v>
      </c>
      <c r="G1324" s="20" t="s">
        <v>88</v>
      </c>
      <c r="H1324" s="20" t="s">
        <v>89</v>
      </c>
      <c r="I1324" s="20" t="s">
        <v>88</v>
      </c>
      <c r="J1324" s="22" t="s">
        <v>5981</v>
      </c>
      <c r="K1324" s="22" t="s">
        <v>5982</v>
      </c>
      <c r="L1324" s="23" t="s">
        <v>92</v>
      </c>
      <c r="M1324" s="24" t="s">
        <v>7738</v>
      </c>
      <c r="N1324" s="23">
        <v>18848041</v>
      </c>
      <c r="O1324" s="25" t="s">
        <v>74</v>
      </c>
      <c r="P1324" s="25" t="s">
        <v>53</v>
      </c>
      <c r="Q1324" s="20" t="s">
        <v>5983</v>
      </c>
      <c r="R1324" s="20">
        <v>42888648</v>
      </c>
      <c r="S1324" s="25" t="s">
        <v>55</v>
      </c>
      <c r="T1324" s="26" t="s">
        <v>56</v>
      </c>
      <c r="U1324" s="23">
        <v>357894929962137</v>
      </c>
      <c r="V1324" s="27" t="s">
        <v>78</v>
      </c>
      <c r="W1324" s="20" t="s">
        <v>95</v>
      </c>
      <c r="X1324" s="20" t="s">
        <v>95</v>
      </c>
      <c r="Y1324" s="20" t="s">
        <v>95</v>
      </c>
      <c r="Z1324" s="20" t="s">
        <v>60</v>
      </c>
      <c r="AA1324" s="20" t="s">
        <v>61</v>
      </c>
      <c r="AB1324" s="20" t="s">
        <v>82</v>
      </c>
      <c r="AC1324" s="28">
        <v>559.48</v>
      </c>
      <c r="AD1324" s="28">
        <f>SUM(BASE[[#This Row],[MONTO DE RENTA ]]*1.16)</f>
        <v>648.99680000000001</v>
      </c>
      <c r="AE1324" s="28" t="s">
        <v>83</v>
      </c>
      <c r="AF1324" s="28">
        <v>559.48275862068965</v>
      </c>
      <c r="AG1324" s="28">
        <v>649</v>
      </c>
      <c r="AI1324" s="63">
        <v>44937</v>
      </c>
      <c r="AJ1324" s="73">
        <v>46043</v>
      </c>
      <c r="AK13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24" s="30"/>
      <c r="AN1324" s="20" t="s">
        <v>99</v>
      </c>
      <c r="AP1324" s="20" t="s">
        <v>84</v>
      </c>
      <c r="AQ1324" s="20" t="s">
        <v>100</v>
      </c>
    </row>
    <row r="1325" spans="1:43" ht="16">
      <c r="A1325" s="20">
        <v>5518648084</v>
      </c>
      <c r="B1325" s="21">
        <v>910047</v>
      </c>
      <c r="C1325" s="20" t="s">
        <v>5984</v>
      </c>
      <c r="D1325" s="20" t="s">
        <v>5985</v>
      </c>
      <c r="E1325" s="20" t="s">
        <v>546</v>
      </c>
      <c r="F1325" s="20" t="s">
        <v>5496</v>
      </c>
      <c r="G1325" s="20" t="s">
        <v>5496</v>
      </c>
      <c r="H1325" s="20" t="s">
        <v>5320</v>
      </c>
      <c r="I1325" s="20" t="s">
        <v>5496</v>
      </c>
      <c r="J1325" s="32" t="s">
        <v>5986</v>
      </c>
      <c r="K1325" s="32" t="s">
        <v>5987</v>
      </c>
      <c r="L1325" s="23" t="s">
        <v>92</v>
      </c>
      <c r="M1325" s="24" t="s">
        <v>7738</v>
      </c>
      <c r="N1325" s="23">
        <v>18848105</v>
      </c>
      <c r="O1325" s="25" t="s">
        <v>52</v>
      </c>
      <c r="P1325" s="25" t="s">
        <v>53</v>
      </c>
      <c r="Q1325" s="20" t="s">
        <v>5988</v>
      </c>
      <c r="R1325" s="20">
        <v>90241123</v>
      </c>
      <c r="S1325" s="25" t="s">
        <v>5989</v>
      </c>
      <c r="T1325" s="26" t="s">
        <v>57</v>
      </c>
      <c r="U1325" s="23">
        <v>860900062335567</v>
      </c>
      <c r="V1325" s="27" t="s">
        <v>57</v>
      </c>
      <c r="W1325" s="20" t="s">
        <v>58</v>
      </c>
      <c r="X1325" s="20" t="s">
        <v>59</v>
      </c>
      <c r="Y1325" s="20" t="s">
        <v>59</v>
      </c>
      <c r="Z1325" s="20" t="s">
        <v>167</v>
      </c>
      <c r="AA1325" s="20" t="s">
        <v>168</v>
      </c>
      <c r="AB1325" s="20" t="s">
        <v>96</v>
      </c>
      <c r="AC1325" s="28">
        <v>369.83</v>
      </c>
      <c r="AD1325" s="28">
        <f>SUM(BASE[[#This Row],[MONTO DE RENTA ]]*1.16)</f>
        <v>429.00279999999998</v>
      </c>
      <c r="AE1325" s="28" t="s">
        <v>63</v>
      </c>
      <c r="AF1325" s="28">
        <v>369.82758620689657</v>
      </c>
      <c r="AG1325" s="28">
        <v>429</v>
      </c>
      <c r="AH1325" s="22" t="s">
        <v>64</v>
      </c>
      <c r="AI1325" s="63">
        <v>45703</v>
      </c>
      <c r="AJ1325" s="63">
        <v>46433</v>
      </c>
      <c r="AK13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25" s="30"/>
      <c r="AN1325" s="20" t="s">
        <v>65</v>
      </c>
      <c r="AP1325" s="20" t="s">
        <v>84</v>
      </c>
    </row>
    <row r="1326" spans="1:43" ht="16">
      <c r="A1326" s="20">
        <v>8113890495</v>
      </c>
      <c r="B1326" s="21">
        <v>7007</v>
      </c>
      <c r="C1326" s="20" t="s">
        <v>5990</v>
      </c>
      <c r="D1326" s="20" t="s">
        <v>317</v>
      </c>
      <c r="E1326" s="20" t="s">
        <v>657</v>
      </c>
      <c r="F1326" s="20" t="s">
        <v>5329</v>
      </c>
      <c r="G1326" s="20" t="s">
        <v>5329</v>
      </c>
      <c r="H1326" s="20" t="s">
        <v>155</v>
      </c>
      <c r="I1326" s="20" t="s">
        <v>5329</v>
      </c>
      <c r="J1326" s="22" t="s">
        <v>5991</v>
      </c>
      <c r="K1326" s="32" t="s">
        <v>5992</v>
      </c>
      <c r="L1326" s="23" t="s">
        <v>92</v>
      </c>
      <c r="M1326" s="24" t="s">
        <v>7738</v>
      </c>
      <c r="N1326" s="23">
        <v>18848013</v>
      </c>
      <c r="O1326" s="25" t="s">
        <v>74</v>
      </c>
      <c r="P1326" s="25" t="s">
        <v>53</v>
      </c>
      <c r="Q1326" s="20" t="s">
        <v>5993</v>
      </c>
      <c r="R1326" s="20">
        <v>43163606</v>
      </c>
      <c r="S1326" s="25" t="s">
        <v>5994</v>
      </c>
      <c r="T1326" s="26" t="s">
        <v>57</v>
      </c>
      <c r="U1326" s="23">
        <v>860900062336284</v>
      </c>
      <c r="V1326" s="27" t="s">
        <v>57</v>
      </c>
      <c r="W1326" s="20" t="s">
        <v>58</v>
      </c>
      <c r="X1326" s="20" t="s">
        <v>59</v>
      </c>
      <c r="Y1326" s="20" t="s">
        <v>59</v>
      </c>
      <c r="Z1326" s="20" t="s">
        <v>167</v>
      </c>
      <c r="AA1326" s="20" t="s">
        <v>168</v>
      </c>
      <c r="AB1326" s="20" t="s">
        <v>96</v>
      </c>
      <c r="AC1326" s="28">
        <v>369.83</v>
      </c>
      <c r="AD1326" s="28">
        <f>SUM(BASE[[#This Row],[MONTO DE RENTA ]]*1.16)</f>
        <v>429.00279999999998</v>
      </c>
      <c r="AE1326" s="28" t="s">
        <v>63</v>
      </c>
      <c r="AF1326" s="28">
        <v>369.82758620689657</v>
      </c>
      <c r="AG1326" s="28">
        <v>429</v>
      </c>
      <c r="AH1326" s="22" t="s">
        <v>64</v>
      </c>
      <c r="AI1326" s="63">
        <v>45703</v>
      </c>
      <c r="AJ1326" s="63">
        <v>46433</v>
      </c>
      <c r="AK132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26" s="30"/>
      <c r="AN1326" s="20" t="s">
        <v>65</v>
      </c>
      <c r="AP1326" s="20" t="s">
        <v>84</v>
      </c>
    </row>
    <row r="1327" spans="1:43" ht="16">
      <c r="A1327" s="99">
        <v>8120295701</v>
      </c>
      <c r="B1327" s="49">
        <v>6995</v>
      </c>
      <c r="C1327" s="20" t="s">
        <v>5995</v>
      </c>
      <c r="D1327" s="20" t="s">
        <v>580</v>
      </c>
      <c r="E1327" s="20" t="s">
        <v>580</v>
      </c>
      <c r="F1327" s="20" t="s">
        <v>5996</v>
      </c>
      <c r="G1327" s="20" t="s">
        <v>5996</v>
      </c>
      <c r="H1327" s="20" t="s">
        <v>208</v>
      </c>
      <c r="I1327" s="20" t="s">
        <v>5996</v>
      </c>
      <c r="J1327" s="22" t="s">
        <v>5997</v>
      </c>
      <c r="K1327" s="22" t="s">
        <v>5998</v>
      </c>
      <c r="L1327" s="23" t="s">
        <v>92</v>
      </c>
      <c r="M1327" s="24" t="s">
        <v>7738</v>
      </c>
      <c r="N1327" s="23">
        <v>18848050</v>
      </c>
      <c r="O1327" s="25" t="s">
        <v>74</v>
      </c>
      <c r="P1327" s="25" t="s">
        <v>53</v>
      </c>
      <c r="Q1327" s="20" t="s">
        <v>5999</v>
      </c>
      <c r="R1327" s="20">
        <v>43514485</v>
      </c>
      <c r="S1327" s="25" t="s">
        <v>55</v>
      </c>
      <c r="T1327" s="26" t="s">
        <v>56</v>
      </c>
      <c r="U1327" s="23">
        <v>357654177693010</v>
      </c>
      <c r="V1327" s="27" t="s">
        <v>78</v>
      </c>
      <c r="W1327" s="20" t="s">
        <v>95</v>
      </c>
      <c r="X1327" s="20" t="s">
        <v>95</v>
      </c>
      <c r="Y1327" s="20" t="s">
        <v>95</v>
      </c>
      <c r="Z1327" s="20" t="s">
        <v>60</v>
      </c>
      <c r="AA1327" s="20" t="s">
        <v>61</v>
      </c>
      <c r="AB1327" s="20" t="s">
        <v>82</v>
      </c>
      <c r="AC1327" s="28">
        <v>559.48</v>
      </c>
      <c r="AD1327" s="28">
        <f>SUM(BASE[[#This Row],[MONTO DE RENTA ]]*1.16)</f>
        <v>648.99680000000001</v>
      </c>
      <c r="AE1327" s="28" t="s">
        <v>83</v>
      </c>
      <c r="AF1327" s="28">
        <v>559.48275862068965</v>
      </c>
      <c r="AG1327" s="28">
        <v>649</v>
      </c>
      <c r="AI1327" s="63">
        <v>44937</v>
      </c>
      <c r="AJ1327" s="73">
        <v>46043</v>
      </c>
      <c r="AK132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27" s="30"/>
      <c r="AN1327" s="20" t="s">
        <v>99</v>
      </c>
      <c r="AP1327" s="20" t="s">
        <v>84</v>
      </c>
      <c r="AQ1327" s="20" t="s">
        <v>100</v>
      </c>
    </row>
    <row r="1328" spans="1:43" ht="16">
      <c r="A1328" s="20">
        <v>8126810906</v>
      </c>
      <c r="B1328" s="49">
        <v>1041291</v>
      </c>
      <c r="C1328" s="20" t="s">
        <v>6000</v>
      </c>
      <c r="D1328" s="20" t="s">
        <v>983</v>
      </c>
      <c r="E1328" s="20" t="s">
        <v>187</v>
      </c>
      <c r="F1328" s="20" t="s">
        <v>6001</v>
      </c>
      <c r="G1328" s="20" t="s">
        <v>6001</v>
      </c>
      <c r="H1328" s="20" t="s">
        <v>199</v>
      </c>
      <c r="I1328" s="20" t="s">
        <v>6001</v>
      </c>
      <c r="J1328" s="22" t="s">
        <v>6002</v>
      </c>
      <c r="K1328" s="32" t="s">
        <v>6003</v>
      </c>
      <c r="L1328" s="23" t="s">
        <v>92</v>
      </c>
      <c r="M1328" s="24" t="s">
        <v>7738</v>
      </c>
      <c r="N1328" s="23">
        <v>18848077</v>
      </c>
      <c r="O1328" s="25" t="s">
        <v>74</v>
      </c>
      <c r="P1328" s="25" t="s">
        <v>53</v>
      </c>
      <c r="Q1328" s="20" t="s">
        <v>6004</v>
      </c>
      <c r="R1328" s="20">
        <v>44114490</v>
      </c>
      <c r="S1328" s="25" t="s">
        <v>55</v>
      </c>
      <c r="T1328" s="26" t="s">
        <v>56</v>
      </c>
      <c r="U1328" s="23" t="s">
        <v>193</v>
      </c>
      <c r="V1328" s="27" t="s">
        <v>183</v>
      </c>
      <c r="W1328" s="20" t="s">
        <v>194</v>
      </c>
      <c r="X1328" s="20" t="s">
        <v>194</v>
      </c>
      <c r="Y1328" s="20" t="s">
        <v>194</v>
      </c>
      <c r="Z1328" s="20" t="s">
        <v>60</v>
      </c>
      <c r="AA1328" s="20" t="s">
        <v>61</v>
      </c>
      <c r="AB1328" s="20" t="s">
        <v>96</v>
      </c>
      <c r="AC1328" s="28">
        <v>369.83</v>
      </c>
      <c r="AD1328" s="28">
        <f>SUM(BASE[[#This Row],[MONTO DE RENTA ]]*1.16)</f>
        <v>429.00279999999998</v>
      </c>
      <c r="AE1328" s="28" t="s">
        <v>63</v>
      </c>
      <c r="AF1328" s="28">
        <v>369.82758620689657</v>
      </c>
      <c r="AG1328" s="28">
        <v>429</v>
      </c>
      <c r="AI1328" s="63">
        <v>44937</v>
      </c>
      <c r="AJ1328" s="73">
        <v>46043</v>
      </c>
      <c r="AK13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28" s="30"/>
      <c r="AN1328" s="20" t="s">
        <v>99</v>
      </c>
      <c r="AP1328" s="20" t="s">
        <v>84</v>
      </c>
      <c r="AQ1328" s="20" t="s">
        <v>100</v>
      </c>
    </row>
    <row r="1329" spans="1:43" ht="16">
      <c r="A1329" s="20">
        <v>8123521976</v>
      </c>
      <c r="B1329" s="180">
        <v>890317</v>
      </c>
      <c r="C1329" s="20" t="s">
        <v>2990</v>
      </c>
      <c r="D1329" s="20" t="s">
        <v>686</v>
      </c>
      <c r="E1329" s="20" t="s">
        <v>171</v>
      </c>
      <c r="F1329" s="20" t="s">
        <v>6005</v>
      </c>
      <c r="G1329" s="20" t="s">
        <v>6005</v>
      </c>
      <c r="H1329" s="20" t="s">
        <v>5381</v>
      </c>
      <c r="I1329" s="20" t="s">
        <v>6005</v>
      </c>
      <c r="J1329" s="22" t="s">
        <v>6006</v>
      </c>
      <c r="K1329" s="195">
        <v>890317</v>
      </c>
      <c r="L1329" s="23" t="s">
        <v>92</v>
      </c>
      <c r="M1329" s="24" t="s">
        <v>7738</v>
      </c>
      <c r="N1329" s="23">
        <v>18848084</v>
      </c>
      <c r="O1329" s="25" t="s">
        <v>74</v>
      </c>
      <c r="P1329" s="25" t="s">
        <v>53</v>
      </c>
      <c r="Q1329" s="20" t="s">
        <v>6007</v>
      </c>
      <c r="R1329" s="20">
        <v>43084279</v>
      </c>
      <c r="S1329" s="25" t="s">
        <v>55</v>
      </c>
      <c r="T1329" s="26" t="s">
        <v>56</v>
      </c>
      <c r="U1329" s="23" t="s">
        <v>193</v>
      </c>
      <c r="V1329" s="27" t="s">
        <v>183</v>
      </c>
      <c r="W1329" s="20" t="s">
        <v>194</v>
      </c>
      <c r="X1329" s="20" t="s">
        <v>194</v>
      </c>
      <c r="Y1329" s="20" t="s">
        <v>194</v>
      </c>
      <c r="Z1329" s="20" t="s">
        <v>60</v>
      </c>
      <c r="AA1329" s="20" t="s">
        <v>61</v>
      </c>
      <c r="AB1329" s="20" t="s">
        <v>96</v>
      </c>
      <c r="AC1329" s="28">
        <v>369.83</v>
      </c>
      <c r="AD1329" s="28">
        <f>SUM(BASE[[#This Row],[MONTO DE RENTA ]]*1.16)</f>
        <v>429.00279999999998</v>
      </c>
      <c r="AE1329" s="28" t="s">
        <v>63</v>
      </c>
      <c r="AF1329" s="28">
        <v>369.82758620689657</v>
      </c>
      <c r="AG1329" s="28">
        <v>429</v>
      </c>
      <c r="AI1329" s="63">
        <v>44937</v>
      </c>
      <c r="AJ1329" s="73">
        <v>46043</v>
      </c>
      <c r="AK132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29" s="30" t="s">
        <v>6008</v>
      </c>
      <c r="AN1329" s="20" t="s">
        <v>99</v>
      </c>
      <c r="AP1329" s="20" t="s">
        <v>84</v>
      </c>
      <c r="AQ1329" s="20" t="s">
        <v>100</v>
      </c>
    </row>
    <row r="1330" spans="1:43" ht="16">
      <c r="A1330" s="171">
        <v>8118223348</v>
      </c>
      <c r="B1330" s="213">
        <v>1020479</v>
      </c>
      <c r="C1330" s="20" t="s">
        <v>6009</v>
      </c>
      <c r="D1330" s="20" t="s">
        <v>741</v>
      </c>
      <c r="E1330" s="20" t="s">
        <v>598</v>
      </c>
      <c r="F1330" s="20" t="s">
        <v>6010</v>
      </c>
      <c r="G1330" s="20" t="s">
        <v>6010</v>
      </c>
      <c r="H1330" s="20" t="s">
        <v>5381</v>
      </c>
      <c r="I1330" s="20" t="s">
        <v>6010</v>
      </c>
      <c r="J1330" s="175" t="s">
        <v>6011</v>
      </c>
      <c r="K1330" s="289" t="s">
        <v>6012</v>
      </c>
      <c r="L1330" s="23" t="s">
        <v>92</v>
      </c>
      <c r="M1330" s="24" t="s">
        <v>7738</v>
      </c>
      <c r="N1330" s="23">
        <v>18848017</v>
      </c>
      <c r="O1330" s="25" t="s">
        <v>74</v>
      </c>
      <c r="P1330" s="25" t="s">
        <v>53</v>
      </c>
      <c r="Q1330" s="20" t="s">
        <v>6013</v>
      </c>
      <c r="R1330" s="20">
        <v>43149863</v>
      </c>
      <c r="S1330" s="25" t="s">
        <v>6014</v>
      </c>
      <c r="T1330" s="290" t="s">
        <v>77</v>
      </c>
      <c r="U1330" s="23">
        <v>351307352894772</v>
      </c>
      <c r="V1330" s="27" t="s">
        <v>78</v>
      </c>
      <c r="W1330" s="20" t="s">
        <v>79</v>
      </c>
      <c r="X1330" s="20" t="s">
        <v>79</v>
      </c>
      <c r="Y1330" s="20" t="s">
        <v>79</v>
      </c>
      <c r="Z1330" s="20" t="s">
        <v>167</v>
      </c>
      <c r="AA1330" s="20" t="s">
        <v>168</v>
      </c>
      <c r="AB1330" s="20" t="s">
        <v>82</v>
      </c>
      <c r="AC1330" s="28">
        <v>559.48</v>
      </c>
      <c r="AD1330" s="28">
        <f>SUM(BASE[[#This Row],[MONTO DE RENTA ]]*1.16)</f>
        <v>648.99680000000001</v>
      </c>
      <c r="AE1330" s="28" t="s">
        <v>83</v>
      </c>
      <c r="AF1330" s="28">
        <v>559.48275862068965</v>
      </c>
      <c r="AG1330" s="28">
        <v>649</v>
      </c>
      <c r="AH1330" s="175" t="s">
        <v>64</v>
      </c>
      <c r="AI1330" s="63">
        <v>45665</v>
      </c>
      <c r="AJ1330" s="176">
        <v>46367</v>
      </c>
      <c r="AK1330" s="30">
        <f ca="1">IFERROR(IF(BASE[[#This Row],[FECHA DE RENOVACION ]]&gt;TODAY(), DATEDIF(TODAY(),BASE[[#This Row],[FECHA DE RENOVACION ]],"M"), -DATEDIF(BASE[[#This Row],[FECHA DE RENOVACION ]],TODAY(),"M")), "Sin fecha")</f>
        <v>9</v>
      </c>
      <c r="AL1330" s="171">
        <v>18848017</v>
      </c>
      <c r="AM1330" s="177" t="s">
        <v>6015</v>
      </c>
      <c r="AN1330" s="20" t="s">
        <v>65</v>
      </c>
      <c r="AP1330" s="20" t="s">
        <v>84</v>
      </c>
    </row>
    <row r="1331" spans="1:43" ht="16">
      <c r="A1331" s="20">
        <v>8135515212</v>
      </c>
      <c r="B1331" s="21">
        <v>1047234</v>
      </c>
      <c r="C1331" s="20" t="s">
        <v>2709</v>
      </c>
      <c r="D1331" s="20" t="s">
        <v>3621</v>
      </c>
      <c r="E1331" s="20" t="s">
        <v>366</v>
      </c>
      <c r="F1331" s="20" t="s">
        <v>6016</v>
      </c>
      <c r="G1331" s="20" t="s">
        <v>6016</v>
      </c>
      <c r="H1331" s="20" t="s">
        <v>5437</v>
      </c>
      <c r="I1331" s="20" t="s">
        <v>6016</v>
      </c>
      <c r="J1331" s="22" t="s">
        <v>6017</v>
      </c>
      <c r="K1331" s="32" t="s">
        <v>6018</v>
      </c>
      <c r="L1331" s="23" t="s">
        <v>92</v>
      </c>
      <c r="M1331" s="24" t="s">
        <v>7738</v>
      </c>
      <c r="N1331" s="23">
        <v>18848063</v>
      </c>
      <c r="O1331" s="25" t="s">
        <v>74</v>
      </c>
      <c r="P1331" s="25" t="s">
        <v>53</v>
      </c>
      <c r="Q1331" s="20" t="s">
        <v>6019</v>
      </c>
      <c r="R1331" s="20">
        <v>44918887</v>
      </c>
      <c r="S1331" s="25" t="s">
        <v>6020</v>
      </c>
      <c r="T1331" s="26" t="s">
        <v>57</v>
      </c>
      <c r="U1331" s="23">
        <v>860900062337290</v>
      </c>
      <c r="V1331" s="27" t="s">
        <v>57</v>
      </c>
      <c r="W1331" s="20" t="s">
        <v>58</v>
      </c>
      <c r="X1331" s="20" t="s">
        <v>59</v>
      </c>
      <c r="Y1331" s="20" t="s">
        <v>59</v>
      </c>
      <c r="Z1331" s="20" t="s">
        <v>167</v>
      </c>
      <c r="AA1331" s="20" t="s">
        <v>168</v>
      </c>
      <c r="AB1331" s="20" t="s">
        <v>96</v>
      </c>
      <c r="AC1331" s="28">
        <v>369.83</v>
      </c>
      <c r="AD1331" s="28">
        <f>SUM(BASE[[#This Row],[MONTO DE RENTA ]]*1.16)</f>
        <v>429.00279999999998</v>
      </c>
      <c r="AE1331" s="28" t="s">
        <v>63</v>
      </c>
      <c r="AF1331" s="28">
        <v>369.82758620689657</v>
      </c>
      <c r="AG1331" s="28">
        <v>429</v>
      </c>
      <c r="AH1331" s="22" t="s">
        <v>64</v>
      </c>
      <c r="AI1331" s="63">
        <v>45713</v>
      </c>
      <c r="AJ1331" s="63">
        <v>46433</v>
      </c>
      <c r="AK13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1" s="30"/>
      <c r="AN1331" s="20" t="s">
        <v>65</v>
      </c>
      <c r="AP1331" s="20" t="s">
        <v>84</v>
      </c>
    </row>
    <row r="1332" spans="1:43" ht="16">
      <c r="A1332" s="20">
        <v>6642531972</v>
      </c>
      <c r="B1332" s="21">
        <v>60907</v>
      </c>
      <c r="C1332" s="20" t="s">
        <v>1990</v>
      </c>
      <c r="D1332" s="20" t="s">
        <v>1057</v>
      </c>
      <c r="E1332" s="20" t="s">
        <v>376</v>
      </c>
      <c r="F1332" s="20" t="s">
        <v>342</v>
      </c>
      <c r="G1332" s="20" t="s">
        <v>342</v>
      </c>
      <c r="H1332" s="20" t="s">
        <v>48</v>
      </c>
      <c r="I1332" s="20" t="s">
        <v>342</v>
      </c>
      <c r="J1332" s="22" t="s">
        <v>6021</v>
      </c>
      <c r="K1332" s="22" t="s">
        <v>6021</v>
      </c>
      <c r="L1332" s="23" t="s">
        <v>1252</v>
      </c>
      <c r="M1332" s="24" t="s">
        <v>7745</v>
      </c>
      <c r="N1332" s="23">
        <v>14038000</v>
      </c>
      <c r="O1332" s="25" t="s">
        <v>126</v>
      </c>
      <c r="P1332" s="25" t="s">
        <v>53</v>
      </c>
      <c r="Q1332" s="20" t="s">
        <v>6022</v>
      </c>
      <c r="R1332" s="20">
        <v>11591880</v>
      </c>
      <c r="S1332" s="25" t="s">
        <v>6023</v>
      </c>
      <c r="T1332" s="26" t="s">
        <v>57</v>
      </c>
      <c r="U1332" s="23">
        <v>860900062336276</v>
      </c>
      <c r="V1332" s="27" t="s">
        <v>57</v>
      </c>
      <c r="W1332" s="20" t="s">
        <v>58</v>
      </c>
      <c r="X1332" s="20" t="s">
        <v>59</v>
      </c>
      <c r="Y1332" s="20" t="s">
        <v>59</v>
      </c>
      <c r="Z1332" s="20" t="s">
        <v>60</v>
      </c>
      <c r="AA1332" s="20" t="s">
        <v>61</v>
      </c>
      <c r="AB1332" s="20" t="s">
        <v>96</v>
      </c>
      <c r="AC1332" s="28">
        <v>369.83</v>
      </c>
      <c r="AD1332" s="28">
        <f>SUM(BASE[[#This Row],[MONTO DE RENTA ]]*1.16)</f>
        <v>429.00279999999998</v>
      </c>
      <c r="AE1332" s="28" t="s">
        <v>63</v>
      </c>
      <c r="AF1332" s="28">
        <v>369.82758620689657</v>
      </c>
      <c r="AG1332" s="28">
        <v>429</v>
      </c>
      <c r="AH1332" s="22" t="s">
        <v>64</v>
      </c>
      <c r="AI1332" s="63">
        <v>45703</v>
      </c>
      <c r="AJ1332" s="63">
        <v>46433</v>
      </c>
      <c r="AK13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2" s="30"/>
      <c r="AN1332" s="20" t="s">
        <v>65</v>
      </c>
      <c r="AP1332" s="20" t="s">
        <v>84</v>
      </c>
    </row>
    <row r="1333" spans="1:43" ht="16">
      <c r="A1333" s="20">
        <v>8110220082</v>
      </c>
      <c r="B1333" s="49">
        <v>6921</v>
      </c>
      <c r="C1333" s="20" t="s">
        <v>6024</v>
      </c>
      <c r="D1333" s="20" t="s">
        <v>347</v>
      </c>
      <c r="E1333" s="20" t="s">
        <v>566</v>
      </c>
      <c r="F1333" s="20" t="s">
        <v>6025</v>
      </c>
      <c r="G1333" s="20" t="s">
        <v>6025</v>
      </c>
      <c r="H1333" s="20" t="s">
        <v>155</v>
      </c>
      <c r="I1333" s="20" t="s">
        <v>6025</v>
      </c>
      <c r="J1333" s="22" t="s">
        <v>6026</v>
      </c>
      <c r="K1333" s="22" t="s">
        <v>6027</v>
      </c>
      <c r="L1333" s="23" t="s">
        <v>92</v>
      </c>
      <c r="M1333" s="24" t="s">
        <v>7738</v>
      </c>
      <c r="N1333" s="23">
        <v>18848072</v>
      </c>
      <c r="O1333" s="25" t="s">
        <v>74</v>
      </c>
      <c r="P1333" s="25" t="s">
        <v>53</v>
      </c>
      <c r="Q1333" s="20" t="s">
        <v>6028</v>
      </c>
      <c r="R1333" s="20">
        <v>42937260</v>
      </c>
      <c r="S1333" s="25" t="s">
        <v>55</v>
      </c>
      <c r="T1333" s="26" t="s">
        <v>56</v>
      </c>
      <c r="U1333" s="23">
        <v>865356065673139</v>
      </c>
      <c r="V1333" s="27" t="s">
        <v>183</v>
      </c>
      <c r="W1333" s="20" t="s">
        <v>129</v>
      </c>
      <c r="X1333" s="20" t="s">
        <v>130</v>
      </c>
      <c r="Y1333" s="20" t="s">
        <v>130</v>
      </c>
      <c r="Z1333" s="20" t="s">
        <v>60</v>
      </c>
      <c r="AA1333" s="20" t="s">
        <v>61</v>
      </c>
      <c r="AB1333" s="20" t="s">
        <v>96</v>
      </c>
      <c r="AC1333" s="28">
        <v>369.83</v>
      </c>
      <c r="AD1333" s="28">
        <f>SUM(BASE[[#This Row],[MONTO DE RENTA ]]*1.16)</f>
        <v>429.00279999999998</v>
      </c>
      <c r="AE1333" s="28" t="s">
        <v>63</v>
      </c>
      <c r="AF1333" s="28">
        <v>369.82758620689657</v>
      </c>
      <c r="AG1333" s="28">
        <v>429</v>
      </c>
      <c r="AI1333" s="29">
        <v>44937</v>
      </c>
      <c r="AJ1333" s="50">
        <v>46043</v>
      </c>
      <c r="AK133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33" s="30"/>
      <c r="AN1333" s="20" t="s">
        <v>99</v>
      </c>
      <c r="AP1333" s="20" t="s">
        <v>84</v>
      </c>
      <c r="AQ1333" s="20" t="s">
        <v>100</v>
      </c>
    </row>
    <row r="1334" spans="1:43" ht="16">
      <c r="A1334" s="291">
        <v>8186543244</v>
      </c>
      <c r="B1334" s="49">
        <v>1054628</v>
      </c>
      <c r="C1334" s="20" t="s">
        <v>6029</v>
      </c>
      <c r="D1334" s="20" t="s">
        <v>6030</v>
      </c>
      <c r="E1334" s="20" t="s">
        <v>1362</v>
      </c>
      <c r="F1334" s="20" t="s">
        <v>5724</v>
      </c>
      <c r="G1334" s="20" t="s">
        <v>5724</v>
      </c>
      <c r="H1334" s="20" t="s">
        <v>208</v>
      </c>
      <c r="I1334" s="20" t="s">
        <v>5724</v>
      </c>
      <c r="J1334" s="54" t="s">
        <v>6031</v>
      </c>
      <c r="K1334" s="54" t="s">
        <v>6031</v>
      </c>
      <c r="L1334" s="23" t="s">
        <v>92</v>
      </c>
      <c r="M1334" s="24" t="s">
        <v>7738</v>
      </c>
      <c r="N1334" s="23">
        <v>18848087</v>
      </c>
      <c r="O1334" s="25" t="s">
        <v>74</v>
      </c>
      <c r="P1334" s="25" t="s">
        <v>53</v>
      </c>
      <c r="Q1334" s="20" t="s">
        <v>6032</v>
      </c>
      <c r="R1334" s="20">
        <v>42896239</v>
      </c>
      <c r="S1334" s="25" t="s">
        <v>6033</v>
      </c>
      <c r="T1334" s="26" t="s">
        <v>57</v>
      </c>
      <c r="U1334" s="23">
        <v>357619534850488</v>
      </c>
      <c r="V1334" s="27" t="s">
        <v>78</v>
      </c>
      <c r="W1334" s="20" t="s">
        <v>1086</v>
      </c>
      <c r="X1334" s="20" t="s">
        <v>1086</v>
      </c>
      <c r="Y1334" s="20" t="s">
        <v>1086</v>
      </c>
      <c r="Z1334" s="20" t="s">
        <v>167</v>
      </c>
      <c r="AA1334" s="20" t="s">
        <v>168</v>
      </c>
      <c r="AB1334" s="20" t="s">
        <v>96</v>
      </c>
      <c r="AC1334" s="28">
        <v>369.83</v>
      </c>
      <c r="AD1334" s="28">
        <f>SUM(BASE[[#This Row],[MONTO DE RENTA ]]*1.16)</f>
        <v>429.00279999999998</v>
      </c>
      <c r="AE1334" s="28" t="s">
        <v>83</v>
      </c>
      <c r="AF1334" s="28">
        <v>559.48275862068965</v>
      </c>
      <c r="AG1334" s="28">
        <v>649</v>
      </c>
      <c r="AH1334" s="22" t="s">
        <v>4950</v>
      </c>
      <c r="AI1334" s="29">
        <v>45383</v>
      </c>
      <c r="AJ1334" s="29">
        <v>46478</v>
      </c>
      <c r="AK1334" s="30">
        <f ca="1">IFERROR(IF(BASE[[#This Row],[FECHA DE RENOVACION ]]&gt;TODAY(), DATEDIF(TODAY(),BASE[[#This Row],[FECHA DE RENOVACION ]],"M"), -DATEDIF(BASE[[#This Row],[FECHA DE RENOVACION ]],TODAY(),"M")), "Sin fecha")</f>
        <v>12</v>
      </c>
      <c r="AM1334" s="30" t="s">
        <v>6034</v>
      </c>
      <c r="AN1334" s="20" t="s">
        <v>65</v>
      </c>
      <c r="AO1334" s="20" t="s">
        <v>169</v>
      </c>
      <c r="AP1334" s="20" t="s">
        <v>66</v>
      </c>
      <c r="AQ1334" s="20" t="s">
        <v>100</v>
      </c>
    </row>
    <row r="1335" spans="1:43" s="87" customFormat="1" ht="16">
      <c r="A1335" s="87">
        <v>6643872453</v>
      </c>
      <c r="B1335" s="235">
        <v>260477</v>
      </c>
      <c r="C1335" s="87" t="s">
        <v>5242</v>
      </c>
      <c r="D1335" s="87" t="s">
        <v>476</v>
      </c>
      <c r="E1335" s="87" t="s">
        <v>376</v>
      </c>
      <c r="F1335" s="87" t="s">
        <v>5443</v>
      </c>
      <c r="G1335" s="87" t="s">
        <v>5443</v>
      </c>
      <c r="H1335" s="87" t="s">
        <v>5320</v>
      </c>
      <c r="I1335" s="87" t="s">
        <v>5443</v>
      </c>
      <c r="J1335" s="217" t="s">
        <v>6035</v>
      </c>
      <c r="K1335" s="217" t="s">
        <v>6035</v>
      </c>
      <c r="L1335" s="218" t="s">
        <v>92</v>
      </c>
      <c r="M1335" s="219" t="s">
        <v>7738</v>
      </c>
      <c r="N1335" s="218">
        <v>18848067</v>
      </c>
      <c r="O1335" s="220" t="s">
        <v>126</v>
      </c>
      <c r="P1335" s="25" t="s">
        <v>3857</v>
      </c>
      <c r="Q1335" s="87" t="s">
        <v>6036</v>
      </c>
      <c r="R1335" s="87">
        <v>12314042</v>
      </c>
      <c r="S1335" s="220" t="s">
        <v>55</v>
      </c>
      <c r="T1335" s="221" t="s">
        <v>56</v>
      </c>
      <c r="U1335" s="218">
        <v>860982060886163</v>
      </c>
      <c r="V1335" s="222" t="s">
        <v>183</v>
      </c>
      <c r="W1335" s="87" t="s">
        <v>129</v>
      </c>
      <c r="X1335" s="20" t="s">
        <v>130</v>
      </c>
      <c r="Y1335" s="20" t="s">
        <v>130</v>
      </c>
      <c r="Z1335" s="87" t="s">
        <v>60</v>
      </c>
      <c r="AA1335" s="87" t="s">
        <v>61</v>
      </c>
      <c r="AB1335" s="87" t="s">
        <v>96</v>
      </c>
      <c r="AC1335" s="223">
        <v>369.83</v>
      </c>
      <c r="AD1335" s="223">
        <f>SUM(BASE[[#This Row],[MONTO DE RENTA ]]*1.16)</f>
        <v>429.00279999999998</v>
      </c>
      <c r="AE1335" s="223" t="s">
        <v>63</v>
      </c>
      <c r="AF1335" s="223">
        <v>369.82758620689657</v>
      </c>
      <c r="AG1335" s="223">
        <v>429</v>
      </c>
      <c r="AH1335" s="217"/>
      <c r="AI1335" s="232">
        <v>44937</v>
      </c>
      <c r="AJ1335" s="256">
        <v>46043</v>
      </c>
      <c r="AK1335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335" s="225">
        <v>147258</v>
      </c>
      <c r="AN1335" s="87" t="s">
        <v>99</v>
      </c>
      <c r="AP1335" s="87" t="s">
        <v>84</v>
      </c>
      <c r="AQ1335" s="87" t="s">
        <v>100</v>
      </c>
    </row>
    <row r="1336" spans="1:43" ht="16">
      <c r="A1336" s="20">
        <v>8113218183</v>
      </c>
      <c r="B1336" s="21">
        <v>6126</v>
      </c>
      <c r="C1336" s="20" t="s">
        <v>6037</v>
      </c>
      <c r="D1336" s="20" t="s">
        <v>1875</v>
      </c>
      <c r="E1336" s="20" t="s">
        <v>2554</v>
      </c>
      <c r="F1336" s="20" t="s">
        <v>6038</v>
      </c>
      <c r="G1336" s="20" t="s">
        <v>6038</v>
      </c>
      <c r="H1336" s="20" t="s">
        <v>5289</v>
      </c>
      <c r="I1336" s="20" t="s">
        <v>6038</v>
      </c>
      <c r="J1336" s="22" t="s">
        <v>6039</v>
      </c>
      <c r="K1336" s="22" t="s">
        <v>6039</v>
      </c>
      <c r="L1336" s="23" t="s">
        <v>92</v>
      </c>
      <c r="M1336" s="24" t="s">
        <v>7738</v>
      </c>
      <c r="N1336" s="23">
        <v>18848027</v>
      </c>
      <c r="O1336" s="25" t="s">
        <v>74</v>
      </c>
      <c r="P1336" s="25" t="s">
        <v>53</v>
      </c>
      <c r="Q1336" s="20" t="s">
        <v>6040</v>
      </c>
      <c r="R1336" s="20">
        <v>43132044</v>
      </c>
      <c r="S1336" s="25" t="s">
        <v>6041</v>
      </c>
      <c r="T1336" s="26" t="s">
        <v>77</v>
      </c>
      <c r="U1336" s="23">
        <v>351307355532536</v>
      </c>
      <c r="V1336" s="27" t="s">
        <v>78</v>
      </c>
      <c r="W1336" s="20" t="s">
        <v>79</v>
      </c>
      <c r="X1336" s="20" t="s">
        <v>79</v>
      </c>
      <c r="Y1336" s="20" t="s">
        <v>79</v>
      </c>
      <c r="Z1336" s="20" t="s">
        <v>167</v>
      </c>
      <c r="AA1336" s="20" t="s">
        <v>168</v>
      </c>
      <c r="AB1336" s="20" t="s">
        <v>82</v>
      </c>
      <c r="AC1336" s="28">
        <v>559.48</v>
      </c>
      <c r="AD1336" s="28">
        <f>SUM(BASE[[#This Row],[MONTO DE RENTA ]]*1.16)</f>
        <v>648.99680000000001</v>
      </c>
      <c r="AE1336" s="28" t="s">
        <v>83</v>
      </c>
      <c r="AF1336" s="28">
        <v>559.48275862068965</v>
      </c>
      <c r="AG1336" s="28">
        <v>649</v>
      </c>
      <c r="AH1336" s="22" t="s">
        <v>64</v>
      </c>
      <c r="AI1336" s="63">
        <v>45703</v>
      </c>
      <c r="AJ1336" s="63">
        <v>46433</v>
      </c>
      <c r="AK133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6" s="30"/>
      <c r="AN1336" s="20" t="s">
        <v>65</v>
      </c>
      <c r="AP1336" s="20" t="s">
        <v>84</v>
      </c>
    </row>
    <row r="1337" spans="1:43" ht="16">
      <c r="A1337" s="20">
        <v>8180293574</v>
      </c>
      <c r="B1337" s="49">
        <v>6027</v>
      </c>
      <c r="C1337" s="20" t="s">
        <v>4355</v>
      </c>
      <c r="D1337" s="20" t="s">
        <v>476</v>
      </c>
      <c r="E1337" s="20" t="s">
        <v>6042</v>
      </c>
      <c r="F1337" s="20" t="s">
        <v>6043</v>
      </c>
      <c r="G1337" s="20" t="s">
        <v>6043</v>
      </c>
      <c r="H1337" s="20" t="s">
        <v>5730</v>
      </c>
      <c r="I1337" s="20" t="s">
        <v>6043</v>
      </c>
      <c r="J1337" s="22" t="s">
        <v>6044</v>
      </c>
      <c r="K1337" s="32" t="s">
        <v>6045</v>
      </c>
      <c r="L1337" s="23" t="s">
        <v>92</v>
      </c>
      <c r="M1337" s="24" t="s">
        <v>7738</v>
      </c>
      <c r="N1337" s="23">
        <v>18848006</v>
      </c>
      <c r="O1337" s="25" t="s">
        <v>74</v>
      </c>
      <c r="P1337" s="25" t="s">
        <v>53</v>
      </c>
      <c r="Q1337" s="20" t="s">
        <v>6046</v>
      </c>
      <c r="R1337" s="20">
        <v>42845302</v>
      </c>
      <c r="S1337" s="25" t="s">
        <v>55</v>
      </c>
      <c r="T1337" s="26" t="s">
        <v>56</v>
      </c>
      <c r="U1337" s="23">
        <v>351680922159672</v>
      </c>
      <c r="V1337" s="27" t="s">
        <v>78</v>
      </c>
      <c r="W1337" s="20" t="s">
        <v>5803</v>
      </c>
      <c r="X1337" s="20" t="s">
        <v>5803</v>
      </c>
      <c r="Y1337" s="20" t="s">
        <v>5803</v>
      </c>
      <c r="Z1337" s="20" t="s">
        <v>60</v>
      </c>
      <c r="AA1337" s="20" t="s">
        <v>61</v>
      </c>
      <c r="AB1337" s="20" t="s">
        <v>82</v>
      </c>
      <c r="AC1337" s="28">
        <v>559.48</v>
      </c>
      <c r="AD1337" s="28">
        <f>SUM(BASE[[#This Row],[MONTO DE RENTA ]]*1.16)</f>
        <v>648.99680000000001</v>
      </c>
      <c r="AE1337" s="28" t="s">
        <v>83</v>
      </c>
      <c r="AF1337" s="28">
        <v>559.48275862068965</v>
      </c>
      <c r="AG1337" s="28">
        <v>649</v>
      </c>
      <c r="AI1337" s="63">
        <v>44937</v>
      </c>
      <c r="AJ1337" s="73">
        <v>46043</v>
      </c>
      <c r="AK13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37" s="30" t="s">
        <v>5952</v>
      </c>
      <c r="AN1337" s="20" t="s">
        <v>99</v>
      </c>
      <c r="AP1337" s="20" t="s">
        <v>84</v>
      </c>
      <c r="AQ1337" s="20" t="s">
        <v>100</v>
      </c>
    </row>
    <row r="1338" spans="1:43" ht="16">
      <c r="A1338" s="20">
        <v>8110215271</v>
      </c>
      <c r="B1338" s="21">
        <v>6970</v>
      </c>
      <c r="C1338" s="20" t="s">
        <v>6047</v>
      </c>
      <c r="D1338" s="20" t="s">
        <v>3189</v>
      </c>
      <c r="E1338" s="20" t="s">
        <v>6048</v>
      </c>
      <c r="F1338" s="20" t="s">
        <v>6049</v>
      </c>
      <c r="G1338" s="20" t="s">
        <v>6049</v>
      </c>
      <c r="H1338" s="20" t="s">
        <v>5730</v>
      </c>
      <c r="I1338" s="20" t="s">
        <v>6049</v>
      </c>
      <c r="J1338" s="22" t="s">
        <v>6050</v>
      </c>
      <c r="K1338" s="22" t="s">
        <v>6050</v>
      </c>
      <c r="L1338" s="23" t="s">
        <v>92</v>
      </c>
      <c r="M1338" s="24" t="s">
        <v>7738</v>
      </c>
      <c r="N1338" s="23">
        <v>18848089</v>
      </c>
      <c r="O1338" s="25" t="s">
        <v>74</v>
      </c>
      <c r="P1338" s="25" t="s">
        <v>53</v>
      </c>
      <c r="Q1338" s="20" t="s">
        <v>6051</v>
      </c>
      <c r="R1338" s="20">
        <v>43312255</v>
      </c>
      <c r="S1338" s="25" t="s">
        <v>6052</v>
      </c>
      <c r="T1338" s="26" t="s">
        <v>77</v>
      </c>
      <c r="U1338" s="23">
        <v>358366320419511</v>
      </c>
      <c r="V1338" s="27" t="s">
        <v>78</v>
      </c>
      <c r="W1338" s="20" t="s">
        <v>79</v>
      </c>
      <c r="X1338" s="20" t="s">
        <v>79</v>
      </c>
      <c r="Y1338" s="20" t="s">
        <v>79</v>
      </c>
      <c r="Z1338" s="20" t="s">
        <v>167</v>
      </c>
      <c r="AA1338" s="20" t="s">
        <v>168</v>
      </c>
      <c r="AB1338" s="20" t="s">
        <v>82</v>
      </c>
      <c r="AC1338" s="28">
        <v>559.48</v>
      </c>
      <c r="AD1338" s="28">
        <f>SUM(BASE[[#This Row],[MONTO DE RENTA ]]*1.16)</f>
        <v>648.99680000000001</v>
      </c>
      <c r="AE1338" s="28" t="s">
        <v>83</v>
      </c>
      <c r="AF1338" s="28">
        <v>559.48275862068965</v>
      </c>
      <c r="AG1338" s="28">
        <v>649</v>
      </c>
      <c r="AH1338" s="22" t="s">
        <v>64</v>
      </c>
      <c r="AI1338" s="63">
        <v>45703</v>
      </c>
      <c r="AJ1338" s="63">
        <v>46433</v>
      </c>
      <c r="AK13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8" s="30"/>
      <c r="AN1338" s="20" t="s">
        <v>65</v>
      </c>
      <c r="AP1338" s="20" t="s">
        <v>84</v>
      </c>
    </row>
    <row r="1339" spans="1:43" ht="16">
      <c r="A1339" s="20">
        <v>8113114421</v>
      </c>
      <c r="B1339" s="21">
        <v>6548</v>
      </c>
      <c r="C1339" s="20" t="s">
        <v>6053</v>
      </c>
      <c r="D1339" s="20" t="s">
        <v>45</v>
      </c>
      <c r="E1339" s="20" t="s">
        <v>6054</v>
      </c>
      <c r="F1339" s="20" t="s">
        <v>6055</v>
      </c>
      <c r="G1339" s="20" t="s">
        <v>6055</v>
      </c>
      <c r="H1339" s="20" t="s">
        <v>5381</v>
      </c>
      <c r="I1339" s="20" t="s">
        <v>6055</v>
      </c>
      <c r="J1339" s="22" t="s">
        <v>6056</v>
      </c>
      <c r="K1339" s="22" t="s">
        <v>6056</v>
      </c>
      <c r="L1339" s="23" t="s">
        <v>92</v>
      </c>
      <c r="M1339" s="24" t="s">
        <v>7738</v>
      </c>
      <c r="N1339" s="23">
        <v>18848074</v>
      </c>
      <c r="O1339" s="25" t="s">
        <v>74</v>
      </c>
      <c r="P1339" s="25" t="s">
        <v>53</v>
      </c>
      <c r="Q1339" s="20" t="s">
        <v>6057</v>
      </c>
      <c r="R1339" s="20">
        <v>43056255</v>
      </c>
      <c r="S1339" s="25" t="s">
        <v>6058</v>
      </c>
      <c r="T1339" s="26" t="s">
        <v>77</v>
      </c>
      <c r="U1339" s="23">
        <v>358366320498606</v>
      </c>
      <c r="V1339" s="27" t="s">
        <v>78</v>
      </c>
      <c r="W1339" s="20" t="s">
        <v>79</v>
      </c>
      <c r="X1339" s="20" t="s">
        <v>79</v>
      </c>
      <c r="Y1339" s="20" t="s">
        <v>79</v>
      </c>
      <c r="Z1339" s="20" t="s">
        <v>167</v>
      </c>
      <c r="AA1339" s="20" t="s">
        <v>168</v>
      </c>
      <c r="AB1339" s="20" t="s">
        <v>82</v>
      </c>
      <c r="AC1339" s="28">
        <v>559.48</v>
      </c>
      <c r="AD1339" s="28">
        <f>SUM(BASE[[#This Row],[MONTO DE RENTA ]]*1.16)</f>
        <v>648.99680000000001</v>
      </c>
      <c r="AE1339" s="28" t="s">
        <v>83</v>
      </c>
      <c r="AF1339" s="28">
        <v>559.48275862068965</v>
      </c>
      <c r="AG1339" s="28">
        <v>649</v>
      </c>
      <c r="AH1339" s="22" t="s">
        <v>64</v>
      </c>
      <c r="AI1339" s="63">
        <v>45703</v>
      </c>
      <c r="AJ1339" s="63">
        <v>46433</v>
      </c>
      <c r="AK13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39" s="30"/>
      <c r="AN1339" s="20" t="s">
        <v>65</v>
      </c>
      <c r="AP1339" s="20" t="s">
        <v>84</v>
      </c>
    </row>
    <row r="1340" spans="1:43" ht="16">
      <c r="A1340" s="20">
        <v>8123515053</v>
      </c>
      <c r="B1340" s="21">
        <v>1003686</v>
      </c>
      <c r="C1340" s="20" t="s">
        <v>6059</v>
      </c>
      <c r="D1340" s="20" t="s">
        <v>2158</v>
      </c>
      <c r="E1340" s="20" t="s">
        <v>3330</v>
      </c>
      <c r="F1340" s="20" t="s">
        <v>5855</v>
      </c>
      <c r="G1340" s="20" t="s">
        <v>5855</v>
      </c>
      <c r="H1340" s="20" t="s">
        <v>208</v>
      </c>
      <c r="I1340" s="20" t="s">
        <v>5855</v>
      </c>
      <c r="J1340" s="22" t="s">
        <v>6060</v>
      </c>
      <c r="K1340" s="22" t="s">
        <v>6060</v>
      </c>
      <c r="L1340" s="23" t="s">
        <v>92</v>
      </c>
      <c r="M1340" s="24" t="s">
        <v>7738</v>
      </c>
      <c r="N1340" s="23">
        <v>18848087</v>
      </c>
      <c r="O1340" s="25" t="s">
        <v>74</v>
      </c>
      <c r="P1340" s="25" t="s">
        <v>53</v>
      </c>
      <c r="Q1340" s="20" t="s">
        <v>6061</v>
      </c>
      <c r="R1340" s="20">
        <v>45142545</v>
      </c>
      <c r="S1340" s="25" t="s">
        <v>6062</v>
      </c>
      <c r="T1340" s="26" t="s">
        <v>77</v>
      </c>
      <c r="U1340" s="23">
        <v>860900062334479</v>
      </c>
      <c r="V1340" s="27" t="s">
        <v>78</v>
      </c>
      <c r="W1340" s="20" t="s">
        <v>58</v>
      </c>
      <c r="X1340" s="20" t="s">
        <v>59</v>
      </c>
      <c r="Y1340" s="20" t="s">
        <v>59</v>
      </c>
      <c r="Z1340" s="20" t="s">
        <v>167</v>
      </c>
      <c r="AA1340" s="20" t="s">
        <v>168</v>
      </c>
      <c r="AB1340" s="20" t="s">
        <v>82</v>
      </c>
      <c r="AC1340" s="28">
        <v>559.48</v>
      </c>
      <c r="AD1340" s="28">
        <f>SUM(BASE[[#This Row],[MONTO DE RENTA ]]*1.16)</f>
        <v>648.99680000000001</v>
      </c>
      <c r="AE1340" s="28" t="s">
        <v>83</v>
      </c>
      <c r="AF1340" s="28">
        <v>559.48275862068965</v>
      </c>
      <c r="AG1340" s="28">
        <v>649</v>
      </c>
      <c r="AH1340" s="22" t="s">
        <v>64</v>
      </c>
      <c r="AI1340" s="63">
        <v>45703</v>
      </c>
      <c r="AJ1340" s="63">
        <v>46433</v>
      </c>
      <c r="AK13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0" s="30"/>
      <c r="AN1340" s="20" t="s">
        <v>65</v>
      </c>
      <c r="AP1340" s="20" t="s">
        <v>84</v>
      </c>
    </row>
    <row r="1341" spans="1:43" ht="16">
      <c r="A1341" s="20">
        <v>8110160143</v>
      </c>
      <c r="B1341" s="21">
        <v>6857</v>
      </c>
      <c r="C1341" s="20" t="s">
        <v>6063</v>
      </c>
      <c r="D1341" s="20" t="s">
        <v>1524</v>
      </c>
      <c r="E1341" s="20" t="s">
        <v>4723</v>
      </c>
      <c r="F1341" s="20" t="s">
        <v>6064</v>
      </c>
      <c r="G1341" s="20" t="s">
        <v>6064</v>
      </c>
      <c r="H1341" s="20" t="s">
        <v>199</v>
      </c>
      <c r="I1341" s="20" t="s">
        <v>6064</v>
      </c>
      <c r="J1341" s="22" t="s">
        <v>6065</v>
      </c>
      <c r="K1341" s="32" t="s">
        <v>6066</v>
      </c>
      <c r="L1341" s="23" t="s">
        <v>92</v>
      </c>
      <c r="M1341" s="24" t="s">
        <v>7738</v>
      </c>
      <c r="N1341" s="23">
        <v>18848076</v>
      </c>
      <c r="O1341" s="25" t="s">
        <v>74</v>
      </c>
      <c r="P1341" s="25" t="s">
        <v>53</v>
      </c>
      <c r="Q1341" s="20" t="s">
        <v>6067</v>
      </c>
      <c r="R1341" s="20">
        <v>43149898</v>
      </c>
      <c r="S1341" s="25" t="s">
        <v>6068</v>
      </c>
      <c r="T1341" s="26" t="s">
        <v>57</v>
      </c>
      <c r="U1341" s="23">
        <v>860900062335740</v>
      </c>
      <c r="V1341" s="27" t="s">
        <v>57</v>
      </c>
      <c r="W1341" s="20" t="s">
        <v>58</v>
      </c>
      <c r="X1341" s="20" t="s">
        <v>59</v>
      </c>
      <c r="Y1341" s="20" t="s">
        <v>59</v>
      </c>
      <c r="Z1341" s="20" t="s">
        <v>167</v>
      </c>
      <c r="AA1341" s="20" t="s">
        <v>168</v>
      </c>
      <c r="AB1341" s="20" t="s">
        <v>96</v>
      </c>
      <c r="AC1341" s="28">
        <v>369.83</v>
      </c>
      <c r="AD1341" s="28">
        <f>SUM(BASE[[#This Row],[MONTO DE RENTA ]]*1.16)</f>
        <v>429.00279999999998</v>
      </c>
      <c r="AE1341" s="28" t="s">
        <v>63</v>
      </c>
      <c r="AF1341" s="28">
        <v>369.82758620689657</v>
      </c>
      <c r="AG1341" s="28">
        <v>429</v>
      </c>
      <c r="AH1341" s="22" t="s">
        <v>64</v>
      </c>
      <c r="AI1341" s="63">
        <v>45703</v>
      </c>
      <c r="AJ1341" s="63">
        <v>46433</v>
      </c>
      <c r="AK13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1" s="30"/>
      <c r="AN1341" s="20" t="s">
        <v>65</v>
      </c>
      <c r="AP1341" s="20" t="s">
        <v>84</v>
      </c>
    </row>
    <row r="1342" spans="1:43" ht="16">
      <c r="A1342" s="20">
        <v>7771313765</v>
      </c>
      <c r="B1342" s="49">
        <v>810134</v>
      </c>
      <c r="C1342" s="20" t="s">
        <v>6069</v>
      </c>
      <c r="D1342" s="20" t="s">
        <v>6070</v>
      </c>
      <c r="E1342" s="20" t="s">
        <v>6071</v>
      </c>
      <c r="F1342" s="20" t="s">
        <v>5385</v>
      </c>
      <c r="G1342" s="20" t="s">
        <v>5385</v>
      </c>
      <c r="H1342" s="20" t="s">
        <v>5381</v>
      </c>
      <c r="I1342" s="20" t="s">
        <v>5385</v>
      </c>
      <c r="J1342" s="22" t="s">
        <v>6072</v>
      </c>
      <c r="K1342" s="22" t="s">
        <v>6073</v>
      </c>
      <c r="L1342" s="23" t="s">
        <v>92</v>
      </c>
      <c r="M1342" s="24" t="s">
        <v>7738</v>
      </c>
      <c r="N1342" s="23">
        <v>18848008</v>
      </c>
      <c r="O1342" s="25" t="s">
        <v>52</v>
      </c>
      <c r="P1342" s="25" t="s">
        <v>53</v>
      </c>
      <c r="Q1342" s="20" t="s">
        <v>6074</v>
      </c>
      <c r="R1342" s="20">
        <v>10014595</v>
      </c>
      <c r="S1342" s="25" t="s">
        <v>55</v>
      </c>
      <c r="T1342" s="26" t="s">
        <v>56</v>
      </c>
      <c r="U1342" s="23">
        <v>357654179669414</v>
      </c>
      <c r="V1342" s="27" t="s">
        <v>78</v>
      </c>
      <c r="W1342" s="20" t="s">
        <v>5299</v>
      </c>
      <c r="X1342" s="20" t="s">
        <v>5299</v>
      </c>
      <c r="Y1342" s="20" t="s">
        <v>5299</v>
      </c>
      <c r="Z1342" s="20" t="s">
        <v>60</v>
      </c>
      <c r="AA1342" s="20" t="s">
        <v>61</v>
      </c>
      <c r="AB1342" s="20" t="s">
        <v>82</v>
      </c>
      <c r="AC1342" s="28">
        <v>559.48</v>
      </c>
      <c r="AD1342" s="28">
        <f>SUM(BASE[[#This Row],[MONTO DE RENTA ]]*1.16)</f>
        <v>648.99680000000001</v>
      </c>
      <c r="AE1342" s="28" t="s">
        <v>83</v>
      </c>
      <c r="AF1342" s="28">
        <v>559.48275862068965</v>
      </c>
      <c r="AG1342" s="28">
        <v>649</v>
      </c>
      <c r="AI1342" s="63">
        <v>44937</v>
      </c>
      <c r="AJ1342" s="73">
        <v>46043</v>
      </c>
      <c r="AK13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42" s="30"/>
      <c r="AN1342" s="20" t="s">
        <v>99</v>
      </c>
      <c r="AP1342" s="20" t="s">
        <v>84</v>
      </c>
      <c r="AQ1342" s="20" t="s">
        <v>100</v>
      </c>
    </row>
    <row r="1343" spans="1:43" ht="16">
      <c r="A1343" s="20">
        <v>8115443493</v>
      </c>
      <c r="B1343" s="21">
        <v>7017</v>
      </c>
      <c r="C1343" s="20" t="s">
        <v>6075</v>
      </c>
      <c r="D1343" s="20" t="s">
        <v>6076</v>
      </c>
      <c r="E1343" s="20" t="s">
        <v>6077</v>
      </c>
      <c r="F1343" s="20" t="s">
        <v>6078</v>
      </c>
      <c r="G1343" s="20" t="s">
        <v>6078</v>
      </c>
      <c r="H1343" s="20" t="s">
        <v>5730</v>
      </c>
      <c r="I1343" s="20" t="s">
        <v>6078</v>
      </c>
      <c r="J1343" s="22" t="s">
        <v>6079</v>
      </c>
      <c r="K1343" s="22" t="s">
        <v>6079</v>
      </c>
      <c r="L1343" s="23" t="s">
        <v>92</v>
      </c>
      <c r="M1343" s="24" t="s">
        <v>7738</v>
      </c>
      <c r="N1343" s="23">
        <v>18848088</v>
      </c>
      <c r="O1343" s="25" t="s">
        <v>74</v>
      </c>
      <c r="P1343" s="25" t="s">
        <v>53</v>
      </c>
      <c r="Q1343" s="20" t="s">
        <v>6080</v>
      </c>
      <c r="R1343" s="20">
        <v>43230474</v>
      </c>
      <c r="S1343" s="25" t="s">
        <v>6081</v>
      </c>
      <c r="T1343" s="26" t="s">
        <v>77</v>
      </c>
      <c r="U1343" s="23">
        <v>358366320216602</v>
      </c>
      <c r="V1343" s="27" t="s">
        <v>78</v>
      </c>
      <c r="W1343" s="20" t="s">
        <v>79</v>
      </c>
      <c r="X1343" s="20" t="s">
        <v>79</v>
      </c>
      <c r="Y1343" s="20" t="s">
        <v>79</v>
      </c>
      <c r="Z1343" s="20" t="s">
        <v>167</v>
      </c>
      <c r="AA1343" s="20" t="s">
        <v>168</v>
      </c>
      <c r="AB1343" s="20" t="s">
        <v>82</v>
      </c>
      <c r="AC1343" s="28">
        <v>559.48</v>
      </c>
      <c r="AD1343" s="28">
        <f>SUM(BASE[[#This Row],[MONTO DE RENTA ]]*1.16)</f>
        <v>648.99680000000001</v>
      </c>
      <c r="AE1343" s="28" t="s">
        <v>83</v>
      </c>
      <c r="AF1343" s="28">
        <v>559.48275862068965</v>
      </c>
      <c r="AG1343" s="28">
        <v>649</v>
      </c>
      <c r="AH1343" s="22" t="s">
        <v>64</v>
      </c>
      <c r="AI1343" s="63">
        <v>45703</v>
      </c>
      <c r="AJ1343" s="63">
        <v>46433</v>
      </c>
      <c r="AK13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3" s="30"/>
      <c r="AN1343" s="20" t="s">
        <v>65</v>
      </c>
      <c r="AP1343" s="20" t="s">
        <v>84</v>
      </c>
    </row>
    <row r="1344" spans="1:43" ht="16">
      <c r="A1344" s="20">
        <v>8134036502</v>
      </c>
      <c r="B1344" s="49">
        <v>6743</v>
      </c>
      <c r="C1344" s="20" t="s">
        <v>6082</v>
      </c>
      <c r="D1344" s="20" t="s">
        <v>3074</v>
      </c>
      <c r="E1344" s="20" t="s">
        <v>657</v>
      </c>
      <c r="F1344" s="20" t="s">
        <v>6083</v>
      </c>
      <c r="G1344" s="20" t="s">
        <v>6083</v>
      </c>
      <c r="H1344" s="20" t="s">
        <v>5730</v>
      </c>
      <c r="I1344" s="20" t="s">
        <v>6083</v>
      </c>
      <c r="J1344" s="22" t="s">
        <v>6084</v>
      </c>
      <c r="K1344" s="32" t="s">
        <v>6085</v>
      </c>
      <c r="L1344" s="23" t="s">
        <v>92</v>
      </c>
      <c r="M1344" s="24" t="s">
        <v>7738</v>
      </c>
      <c r="N1344" s="23">
        <v>18848088</v>
      </c>
      <c r="O1344" s="25" t="s">
        <v>74</v>
      </c>
      <c r="P1344" s="25" t="s">
        <v>53</v>
      </c>
      <c r="Q1344" s="20" t="s">
        <v>6086</v>
      </c>
      <c r="R1344" s="20">
        <v>44508870</v>
      </c>
      <c r="S1344" s="25" t="s">
        <v>55</v>
      </c>
      <c r="T1344" s="26" t="s">
        <v>56</v>
      </c>
      <c r="U1344" s="23">
        <v>357894929995350</v>
      </c>
      <c r="V1344" s="27" t="s">
        <v>78</v>
      </c>
      <c r="W1344" s="20" t="s">
        <v>95</v>
      </c>
      <c r="X1344" s="20" t="s">
        <v>95</v>
      </c>
      <c r="Y1344" s="20" t="s">
        <v>95</v>
      </c>
      <c r="Z1344" s="20" t="s">
        <v>60</v>
      </c>
      <c r="AA1344" s="20" t="s">
        <v>61</v>
      </c>
      <c r="AB1344" s="20" t="s">
        <v>82</v>
      </c>
      <c r="AC1344" s="28">
        <v>559.48</v>
      </c>
      <c r="AD1344" s="28">
        <f>SUM(BASE[[#This Row],[MONTO DE RENTA ]]*1.16)</f>
        <v>648.99680000000001</v>
      </c>
      <c r="AE1344" s="28" t="s">
        <v>83</v>
      </c>
      <c r="AF1344" s="28">
        <v>559.48275862068965</v>
      </c>
      <c r="AG1344" s="28">
        <v>649</v>
      </c>
      <c r="AI1344" s="63">
        <v>44937</v>
      </c>
      <c r="AJ1344" s="73">
        <v>46043</v>
      </c>
      <c r="AK13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44" s="30"/>
      <c r="AN1344" s="20" t="s">
        <v>99</v>
      </c>
      <c r="AP1344" s="20" t="s">
        <v>84</v>
      </c>
      <c r="AQ1344" s="20" t="s">
        <v>100</v>
      </c>
    </row>
    <row r="1345" spans="1:43" ht="16">
      <c r="A1345" s="20">
        <v>6671677363</v>
      </c>
      <c r="B1345" s="21">
        <v>80145</v>
      </c>
      <c r="C1345" s="20" t="s">
        <v>6087</v>
      </c>
      <c r="D1345" s="20" t="s">
        <v>2234</v>
      </c>
      <c r="E1345" s="20" t="s">
        <v>6088</v>
      </c>
      <c r="F1345" s="20" t="s">
        <v>5288</v>
      </c>
      <c r="G1345" s="20" t="s">
        <v>5288</v>
      </c>
      <c r="H1345" s="20" t="s">
        <v>5289</v>
      </c>
      <c r="I1345" s="20" t="s">
        <v>5288</v>
      </c>
      <c r="J1345" s="22" t="s">
        <v>6089</v>
      </c>
      <c r="K1345" s="32" t="s">
        <v>6090</v>
      </c>
      <c r="L1345" s="23" t="s">
        <v>92</v>
      </c>
      <c r="M1345" s="24" t="s">
        <v>7738</v>
      </c>
      <c r="N1345" s="23">
        <v>18848028</v>
      </c>
      <c r="O1345" s="25" t="s">
        <v>866</v>
      </c>
      <c r="P1345" s="25" t="s">
        <v>53</v>
      </c>
      <c r="Q1345" s="20" t="s">
        <v>6091</v>
      </c>
      <c r="R1345" s="20">
        <v>22026189</v>
      </c>
      <c r="S1345" s="25" t="s">
        <v>6092</v>
      </c>
      <c r="T1345" s="26" t="s">
        <v>57</v>
      </c>
      <c r="U1345" s="23">
        <v>860900062338025</v>
      </c>
      <c r="V1345" s="27" t="s">
        <v>78</v>
      </c>
      <c r="W1345" s="20" t="s">
        <v>58</v>
      </c>
      <c r="X1345" s="20" t="s">
        <v>59</v>
      </c>
      <c r="Y1345" s="20" t="s">
        <v>59</v>
      </c>
      <c r="Z1345" s="20" t="s">
        <v>167</v>
      </c>
      <c r="AA1345" s="20" t="s">
        <v>168</v>
      </c>
      <c r="AB1345" s="20" t="s">
        <v>96</v>
      </c>
      <c r="AC1345" s="28">
        <v>369.83</v>
      </c>
      <c r="AD1345" s="28">
        <f>SUM(BASE[[#This Row],[MONTO DE RENTA ]]*1.16)</f>
        <v>429.00279999999998</v>
      </c>
      <c r="AE1345" s="28" t="s">
        <v>83</v>
      </c>
      <c r="AF1345" s="28">
        <v>559.48275862068965</v>
      </c>
      <c r="AG1345" s="28">
        <v>649</v>
      </c>
      <c r="AH1345" s="22" t="s">
        <v>64</v>
      </c>
      <c r="AI1345" s="63">
        <v>45703</v>
      </c>
      <c r="AJ1345" s="63">
        <v>46433</v>
      </c>
      <c r="AK134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5" s="30"/>
      <c r="AN1345" s="20" t="s">
        <v>99</v>
      </c>
      <c r="AP1345" s="20" t="s">
        <v>66</v>
      </c>
      <c r="AQ1345" s="20" t="s">
        <v>100</v>
      </c>
    </row>
    <row r="1346" spans="1:43" ht="16">
      <c r="A1346" s="20">
        <v>8110160071</v>
      </c>
      <c r="B1346" s="49">
        <v>6293</v>
      </c>
      <c r="C1346" s="20" t="s">
        <v>6093</v>
      </c>
      <c r="D1346" s="20" t="s">
        <v>45</v>
      </c>
      <c r="E1346" s="20" t="s">
        <v>340</v>
      </c>
      <c r="F1346" s="20" t="s">
        <v>6094</v>
      </c>
      <c r="G1346" s="20" t="s">
        <v>6094</v>
      </c>
      <c r="H1346" s="20" t="s">
        <v>5320</v>
      </c>
      <c r="I1346" s="20" t="s">
        <v>6094</v>
      </c>
      <c r="J1346" s="22" t="s">
        <v>6095</v>
      </c>
      <c r="K1346" s="22" t="s">
        <v>6096</v>
      </c>
      <c r="L1346" s="23" t="s">
        <v>92</v>
      </c>
      <c r="M1346" s="24" t="s">
        <v>7738</v>
      </c>
      <c r="N1346" s="23">
        <v>18848044</v>
      </c>
      <c r="O1346" s="25" t="s">
        <v>74</v>
      </c>
      <c r="P1346" s="25" t="s">
        <v>53</v>
      </c>
      <c r="Q1346" s="20" t="s">
        <v>6097</v>
      </c>
      <c r="R1346" s="20">
        <v>42913680</v>
      </c>
      <c r="S1346" s="25" t="s">
        <v>55</v>
      </c>
      <c r="T1346" s="26" t="s">
        <v>56</v>
      </c>
      <c r="U1346" s="23">
        <v>357654177875617</v>
      </c>
      <c r="V1346" s="27" t="s">
        <v>78</v>
      </c>
      <c r="W1346" s="20" t="s">
        <v>95</v>
      </c>
      <c r="X1346" s="20" t="s">
        <v>95</v>
      </c>
      <c r="Y1346" s="20" t="s">
        <v>95</v>
      </c>
      <c r="Z1346" s="20" t="s">
        <v>60</v>
      </c>
      <c r="AA1346" s="20" t="s">
        <v>61</v>
      </c>
      <c r="AB1346" s="20" t="s">
        <v>82</v>
      </c>
      <c r="AC1346" s="28">
        <v>559.48</v>
      </c>
      <c r="AD1346" s="28">
        <f>SUM(BASE[[#This Row],[MONTO DE RENTA ]]*1.16)</f>
        <v>648.99680000000001</v>
      </c>
      <c r="AE1346" s="28" t="s">
        <v>83</v>
      </c>
      <c r="AF1346" s="28">
        <v>559.48275862068965</v>
      </c>
      <c r="AG1346" s="28">
        <v>649</v>
      </c>
      <c r="AI1346" s="63">
        <v>44937</v>
      </c>
      <c r="AJ1346" s="73">
        <v>46043</v>
      </c>
      <c r="AK134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46" s="30"/>
      <c r="AN1346" s="20" t="s">
        <v>99</v>
      </c>
      <c r="AP1346" s="20" t="s">
        <v>84</v>
      </c>
      <c r="AQ1346" s="20" t="s">
        <v>100</v>
      </c>
    </row>
    <row r="1347" spans="1:43" ht="16">
      <c r="A1347" s="20">
        <v>8113230142</v>
      </c>
      <c r="B1347" s="49">
        <v>6078</v>
      </c>
      <c r="C1347" s="20" t="s">
        <v>6098</v>
      </c>
      <c r="D1347" s="20" t="s">
        <v>1182</v>
      </c>
      <c r="E1347" s="20" t="s">
        <v>247</v>
      </c>
      <c r="F1347" s="20" t="s">
        <v>5295</v>
      </c>
      <c r="G1347" s="20" t="s">
        <v>5295</v>
      </c>
      <c r="H1347" s="20" t="s">
        <v>155</v>
      </c>
      <c r="I1347" s="20" t="s">
        <v>5295</v>
      </c>
      <c r="J1347" s="22" t="s">
        <v>6099</v>
      </c>
      <c r="K1347" s="22" t="s">
        <v>6099</v>
      </c>
      <c r="L1347" s="23" t="s">
        <v>92</v>
      </c>
      <c r="M1347" s="24" t="s">
        <v>7738</v>
      </c>
      <c r="N1347" s="23">
        <v>18848002</v>
      </c>
      <c r="O1347" s="25" t="s">
        <v>74</v>
      </c>
      <c r="P1347" s="25" t="s">
        <v>53</v>
      </c>
      <c r="Q1347" s="20" t="s">
        <v>6100</v>
      </c>
      <c r="R1347" s="20">
        <v>42896259</v>
      </c>
      <c r="S1347" s="25" t="s">
        <v>55</v>
      </c>
      <c r="T1347" s="26" t="s">
        <v>56</v>
      </c>
      <c r="U1347" s="23">
        <v>357654179353134</v>
      </c>
      <c r="V1347" s="27" t="s">
        <v>78</v>
      </c>
      <c r="W1347" s="20" t="s">
        <v>95</v>
      </c>
      <c r="X1347" s="20" t="s">
        <v>95</v>
      </c>
      <c r="Y1347" s="20" t="s">
        <v>95</v>
      </c>
      <c r="Z1347" s="20" t="s">
        <v>584</v>
      </c>
      <c r="AA1347" s="20" t="s">
        <v>585</v>
      </c>
      <c r="AB1347" s="20" t="s">
        <v>82</v>
      </c>
      <c r="AC1347" s="28">
        <v>559.48</v>
      </c>
      <c r="AD1347" s="28">
        <f>SUM(BASE[[#This Row],[MONTO DE RENTA ]]*1.16)</f>
        <v>648.99680000000001</v>
      </c>
      <c r="AE1347" s="28" t="s">
        <v>83</v>
      </c>
      <c r="AF1347" s="28">
        <v>559.48275862068965</v>
      </c>
      <c r="AG1347" s="28">
        <v>649</v>
      </c>
      <c r="AI1347" s="63">
        <v>44937</v>
      </c>
      <c r="AJ1347" s="73">
        <v>46043</v>
      </c>
      <c r="AK13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47" s="30"/>
      <c r="AN1347" s="20" t="s">
        <v>99</v>
      </c>
      <c r="AP1347" s="20" t="s">
        <v>84</v>
      </c>
      <c r="AQ1347" s="20" t="s">
        <v>100</v>
      </c>
    </row>
    <row r="1348" spans="1:43" ht="16">
      <c r="A1348" s="20">
        <v>8113229579</v>
      </c>
      <c r="B1348" s="49">
        <v>1019684</v>
      </c>
      <c r="C1348" s="20" t="s">
        <v>4718</v>
      </c>
      <c r="D1348" s="20" t="s">
        <v>45</v>
      </c>
      <c r="E1348" s="20" t="s">
        <v>6101</v>
      </c>
      <c r="F1348" s="20" t="s">
        <v>6102</v>
      </c>
      <c r="G1348" s="20" t="s">
        <v>6102</v>
      </c>
      <c r="H1348" s="20" t="s">
        <v>5320</v>
      </c>
      <c r="I1348" s="20" t="s">
        <v>6102</v>
      </c>
      <c r="J1348" s="22" t="s">
        <v>6103</v>
      </c>
      <c r="K1348" s="32" t="s">
        <v>6104</v>
      </c>
      <c r="L1348" s="23" t="s">
        <v>92</v>
      </c>
      <c r="M1348" s="24" t="s">
        <v>7738</v>
      </c>
      <c r="N1348" s="23">
        <v>18848107</v>
      </c>
      <c r="O1348" s="25" t="s">
        <v>74</v>
      </c>
      <c r="P1348" s="25" t="s">
        <v>53</v>
      </c>
      <c r="Q1348" s="20" t="s">
        <v>6105</v>
      </c>
      <c r="R1348" s="20">
        <v>42896280</v>
      </c>
      <c r="S1348" s="25" t="s">
        <v>55</v>
      </c>
      <c r="T1348" s="26" t="s">
        <v>56</v>
      </c>
      <c r="U1348" s="23">
        <v>865356065672701</v>
      </c>
      <c r="V1348" s="27" t="s">
        <v>183</v>
      </c>
      <c r="W1348" s="20" t="s">
        <v>129</v>
      </c>
      <c r="X1348" s="20" t="s">
        <v>130</v>
      </c>
      <c r="Y1348" s="20" t="s">
        <v>130</v>
      </c>
      <c r="Z1348" s="20" t="s">
        <v>60</v>
      </c>
      <c r="AA1348" s="20" t="s">
        <v>61</v>
      </c>
      <c r="AB1348" s="20" t="s">
        <v>96</v>
      </c>
      <c r="AC1348" s="28">
        <v>369.83</v>
      </c>
      <c r="AD1348" s="28">
        <f>SUM(BASE[[#This Row],[MONTO DE RENTA ]]*1.16)</f>
        <v>429.00279999999998</v>
      </c>
      <c r="AE1348" s="28" t="s">
        <v>63</v>
      </c>
      <c r="AF1348" s="28">
        <v>369.82758620689657</v>
      </c>
      <c r="AG1348" s="28">
        <v>429</v>
      </c>
      <c r="AI1348" s="63">
        <v>44937</v>
      </c>
      <c r="AJ1348" s="73">
        <v>46043</v>
      </c>
      <c r="AK13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48" s="30"/>
      <c r="AN1348" s="20" t="s">
        <v>99</v>
      </c>
      <c r="AP1348" s="20" t="s">
        <v>84</v>
      </c>
      <c r="AQ1348" s="20" t="s">
        <v>100</v>
      </c>
    </row>
    <row r="1349" spans="1:43" ht="16">
      <c r="A1349" s="20">
        <v>2223169104</v>
      </c>
      <c r="B1349" s="21">
        <v>570050</v>
      </c>
      <c r="C1349" s="20" t="s">
        <v>6106</v>
      </c>
      <c r="D1349" s="20" t="s">
        <v>477</v>
      </c>
      <c r="E1349" s="20" t="s">
        <v>2333</v>
      </c>
      <c r="F1349" s="20" t="s">
        <v>3245</v>
      </c>
      <c r="G1349" s="20" t="s">
        <v>3245</v>
      </c>
      <c r="H1349" s="20" t="s">
        <v>48</v>
      </c>
      <c r="I1349" s="20" t="s">
        <v>3245</v>
      </c>
      <c r="J1349" s="22" t="s">
        <v>6107</v>
      </c>
      <c r="K1349" s="22" t="s">
        <v>6108</v>
      </c>
      <c r="L1349" s="23" t="s">
        <v>3618</v>
      </c>
      <c r="M1349" s="24" t="s">
        <v>7753</v>
      </c>
      <c r="N1349" s="23">
        <v>18735003</v>
      </c>
      <c r="O1349" s="25" t="s">
        <v>828</v>
      </c>
      <c r="P1349" s="25" t="s">
        <v>53</v>
      </c>
      <c r="Q1349" s="20" t="s">
        <v>6109</v>
      </c>
      <c r="R1349" s="20">
        <v>73076213</v>
      </c>
      <c r="S1349" s="25" t="s">
        <v>6110</v>
      </c>
      <c r="T1349" s="26" t="s">
        <v>57</v>
      </c>
      <c r="U1349" s="23">
        <v>860900062338686</v>
      </c>
      <c r="V1349" s="27" t="s">
        <v>57</v>
      </c>
      <c r="W1349" s="20" t="s">
        <v>58</v>
      </c>
      <c r="X1349" s="20" t="s">
        <v>59</v>
      </c>
      <c r="Y1349" s="20" t="s">
        <v>59</v>
      </c>
      <c r="Z1349" s="20" t="s">
        <v>60</v>
      </c>
      <c r="AA1349" s="20" t="s">
        <v>61</v>
      </c>
      <c r="AB1349" s="20" t="s">
        <v>96</v>
      </c>
      <c r="AC1349" s="28">
        <v>369.83</v>
      </c>
      <c r="AD1349" s="28">
        <f>SUM(BASE[[#This Row],[MONTO DE RENTA ]]*1.16)</f>
        <v>429.00279999999998</v>
      </c>
      <c r="AE1349" s="28" t="s">
        <v>63</v>
      </c>
      <c r="AF1349" s="28">
        <v>369.82758620689657</v>
      </c>
      <c r="AG1349" s="28">
        <v>429</v>
      </c>
      <c r="AH1349" s="22" t="s">
        <v>64</v>
      </c>
      <c r="AI1349" s="29">
        <v>45703</v>
      </c>
      <c r="AJ1349" s="29">
        <v>46433</v>
      </c>
      <c r="AK13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49" s="30"/>
      <c r="AN1349" s="20" t="s">
        <v>65</v>
      </c>
      <c r="AP1349" s="20" t="s">
        <v>84</v>
      </c>
    </row>
    <row r="1350" spans="1:43" ht="16">
      <c r="A1350" s="20">
        <v>8183663712</v>
      </c>
      <c r="B1350" s="49">
        <v>4098</v>
      </c>
      <c r="C1350" s="20" t="s">
        <v>6111</v>
      </c>
      <c r="D1350" s="20" t="s">
        <v>172</v>
      </c>
      <c r="E1350" s="20" t="s">
        <v>6112</v>
      </c>
      <c r="F1350" s="20" t="s">
        <v>6113</v>
      </c>
      <c r="G1350" s="20" t="s">
        <v>6113</v>
      </c>
      <c r="H1350" s="20" t="s">
        <v>155</v>
      </c>
      <c r="I1350" s="20" t="s">
        <v>6113</v>
      </c>
      <c r="J1350" s="22" t="s">
        <v>6114</v>
      </c>
      <c r="K1350" s="22" t="s">
        <v>6114</v>
      </c>
      <c r="L1350" s="23" t="s">
        <v>92</v>
      </c>
      <c r="M1350" s="24" t="s">
        <v>7738</v>
      </c>
      <c r="N1350" s="23">
        <v>18848003</v>
      </c>
      <c r="O1350" s="25" t="s">
        <v>74</v>
      </c>
      <c r="P1350" s="25" t="s">
        <v>53</v>
      </c>
      <c r="Q1350" s="20" t="s">
        <v>6115</v>
      </c>
      <c r="R1350" s="20">
        <v>42862134</v>
      </c>
      <c r="S1350" s="25" t="s">
        <v>55</v>
      </c>
      <c r="T1350" s="26" t="s">
        <v>56</v>
      </c>
      <c r="U1350" s="23">
        <v>350888747591109</v>
      </c>
      <c r="V1350" s="27" t="s">
        <v>78</v>
      </c>
      <c r="W1350" s="20" t="s">
        <v>6116</v>
      </c>
      <c r="X1350" s="20" t="s">
        <v>6116</v>
      </c>
      <c r="Y1350" s="20" t="s">
        <v>6116</v>
      </c>
      <c r="Z1350" s="20" t="s">
        <v>584</v>
      </c>
      <c r="AA1350" s="20" t="s">
        <v>585</v>
      </c>
      <c r="AB1350" s="20" t="s">
        <v>82</v>
      </c>
      <c r="AC1350" s="28">
        <v>559.48</v>
      </c>
      <c r="AD1350" s="28">
        <f>SUM(BASE[[#This Row],[MONTO DE RENTA ]]*1.16)</f>
        <v>648.99680000000001</v>
      </c>
      <c r="AE1350" s="28" t="s">
        <v>83</v>
      </c>
      <c r="AF1350" s="28">
        <v>559.48275862068965</v>
      </c>
      <c r="AG1350" s="28">
        <v>649</v>
      </c>
      <c r="AI1350" s="63">
        <v>44937</v>
      </c>
      <c r="AJ1350" s="73">
        <v>46043</v>
      </c>
      <c r="AK13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0" s="30"/>
      <c r="AN1350" s="20" t="s">
        <v>99</v>
      </c>
      <c r="AP1350" s="20" t="s">
        <v>84</v>
      </c>
      <c r="AQ1350" s="20" t="s">
        <v>100</v>
      </c>
    </row>
    <row r="1351" spans="1:43" ht="16">
      <c r="A1351" s="20">
        <v>8122014860</v>
      </c>
      <c r="B1351" s="21">
        <v>1019463</v>
      </c>
      <c r="C1351" s="20" t="s">
        <v>6117</v>
      </c>
      <c r="D1351" s="20" t="s">
        <v>5369</v>
      </c>
      <c r="E1351" s="20" t="s">
        <v>205</v>
      </c>
      <c r="F1351" s="20" t="s">
        <v>6118</v>
      </c>
      <c r="G1351" s="20" t="s">
        <v>6118</v>
      </c>
      <c r="H1351" s="20" t="s">
        <v>89</v>
      </c>
      <c r="I1351" s="20" t="s">
        <v>6118</v>
      </c>
      <c r="J1351" s="22" t="s">
        <v>6119</v>
      </c>
      <c r="K1351" s="32" t="s">
        <v>6120</v>
      </c>
      <c r="L1351" s="23" t="s">
        <v>92</v>
      </c>
      <c r="M1351" s="24" t="s">
        <v>7738</v>
      </c>
      <c r="N1351" s="23">
        <v>18848041</v>
      </c>
      <c r="O1351" s="25" t="s">
        <v>74</v>
      </c>
      <c r="P1351" s="25" t="s">
        <v>53</v>
      </c>
      <c r="Q1351" s="20" t="s">
        <v>6121</v>
      </c>
      <c r="R1351" s="20">
        <v>43163442</v>
      </c>
      <c r="S1351" s="25" t="s">
        <v>6122</v>
      </c>
      <c r="T1351" s="26" t="s">
        <v>57</v>
      </c>
      <c r="U1351" s="23">
        <v>351307357592306</v>
      </c>
      <c r="V1351" s="27" t="s">
        <v>78</v>
      </c>
      <c r="W1351" s="20" t="s">
        <v>79</v>
      </c>
      <c r="X1351" s="20" t="s">
        <v>79</v>
      </c>
      <c r="Y1351" s="20" t="s">
        <v>79</v>
      </c>
      <c r="Z1351" s="20" t="s">
        <v>131</v>
      </c>
      <c r="AA1351" s="20" t="s">
        <v>132</v>
      </c>
      <c r="AB1351" s="20" t="s">
        <v>96</v>
      </c>
      <c r="AC1351" s="28">
        <v>369.83</v>
      </c>
      <c r="AD1351" s="28">
        <f>SUM(BASE[[#This Row],[MONTO DE RENTA ]]*1.16)</f>
        <v>429.00279999999998</v>
      </c>
      <c r="AE1351" s="28" t="s">
        <v>83</v>
      </c>
      <c r="AF1351" s="28">
        <v>559.48275862068965</v>
      </c>
      <c r="AG1351" s="28">
        <v>649</v>
      </c>
      <c r="AH1351" s="22" t="s">
        <v>64</v>
      </c>
      <c r="AI1351" s="29">
        <v>45703</v>
      </c>
      <c r="AJ1351" s="29">
        <v>46433</v>
      </c>
      <c r="AK13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51" s="30"/>
      <c r="AN1351" s="20" t="s">
        <v>65</v>
      </c>
      <c r="AO1351" s="20" t="s">
        <v>169</v>
      </c>
      <c r="AP1351" s="20" t="s">
        <v>66</v>
      </c>
      <c r="AQ1351" s="20" t="s">
        <v>100</v>
      </c>
    </row>
    <row r="1352" spans="1:43" ht="16">
      <c r="A1352" s="69">
        <v>8120298963</v>
      </c>
      <c r="B1352" s="140">
        <v>1054938</v>
      </c>
      <c r="C1352" s="20" t="s">
        <v>1051</v>
      </c>
      <c r="D1352" s="20" t="s">
        <v>45</v>
      </c>
      <c r="E1352" s="20" t="s">
        <v>6123</v>
      </c>
      <c r="F1352" s="20" t="s">
        <v>6124</v>
      </c>
      <c r="G1352" s="20" t="s">
        <v>6124</v>
      </c>
      <c r="H1352" s="20" t="s">
        <v>5320</v>
      </c>
      <c r="I1352" s="20" t="s">
        <v>6124</v>
      </c>
      <c r="J1352" s="71" t="s">
        <v>6125</v>
      </c>
      <c r="K1352" s="71" t="s">
        <v>6125</v>
      </c>
      <c r="L1352" s="288" t="s">
        <v>92</v>
      </c>
      <c r="M1352" s="24" t="s">
        <v>7738</v>
      </c>
      <c r="N1352" s="23">
        <v>18848047</v>
      </c>
      <c r="O1352" s="25" t="s">
        <v>74</v>
      </c>
      <c r="P1352" s="25" t="s">
        <v>53</v>
      </c>
      <c r="Q1352" s="20" t="s">
        <v>6126</v>
      </c>
      <c r="R1352" s="20">
        <v>45142661</v>
      </c>
      <c r="S1352" s="25" t="s">
        <v>55</v>
      </c>
      <c r="T1352" s="72" t="s">
        <v>56</v>
      </c>
      <c r="U1352" s="23">
        <v>860900062255302</v>
      </c>
      <c r="V1352" s="45" t="s">
        <v>57</v>
      </c>
      <c r="W1352" s="20" t="s">
        <v>58</v>
      </c>
      <c r="X1352" s="20" t="s">
        <v>59</v>
      </c>
      <c r="Y1352" s="20" t="s">
        <v>59</v>
      </c>
      <c r="Z1352" s="20" t="s">
        <v>60</v>
      </c>
      <c r="AA1352" s="20" t="s">
        <v>61</v>
      </c>
      <c r="AB1352" s="20" t="s">
        <v>62</v>
      </c>
      <c r="AC1352" s="28">
        <v>197.41</v>
      </c>
      <c r="AD1352" s="28">
        <f>SUM(BASE[[#This Row],[MONTO DE RENTA ]]*1.16)</f>
        <v>228.99559999999997</v>
      </c>
      <c r="AE1352" s="28" t="s">
        <v>63</v>
      </c>
      <c r="AF1352" s="28">
        <v>369.82758620689657</v>
      </c>
      <c r="AG1352" s="28">
        <v>429</v>
      </c>
      <c r="AH1352" s="53" t="s">
        <v>253</v>
      </c>
      <c r="AI1352" s="73">
        <v>45560</v>
      </c>
      <c r="AJ1352" s="73">
        <v>46290</v>
      </c>
      <c r="AK1352" s="30">
        <f ca="1">IFERROR(IF(BASE[[#This Row],[FECHA DE RENOVACION ]]&gt;TODAY(), DATEDIF(TODAY(),BASE[[#This Row],[FECHA DE RENOVACION ]],"M"), -DATEDIF(BASE[[#This Row],[FECHA DE RENOVACION ]],TODAY(),"M")), "Sin fecha")</f>
        <v>6</v>
      </c>
      <c r="AL1352" s="69"/>
      <c r="AM1352" s="144"/>
      <c r="AN1352" s="20" t="s">
        <v>65</v>
      </c>
      <c r="AP1352" s="20" t="s">
        <v>66</v>
      </c>
    </row>
    <row r="1353" spans="1:43" ht="24.75" customHeight="1">
      <c r="A1353" s="20">
        <v>5578683473</v>
      </c>
      <c r="B1353" s="21">
        <v>670020</v>
      </c>
      <c r="C1353" s="20" t="s">
        <v>1103</v>
      </c>
      <c r="D1353" s="20" t="s">
        <v>461</v>
      </c>
      <c r="E1353" s="20" t="s">
        <v>657</v>
      </c>
      <c r="F1353" s="20" t="s">
        <v>5288</v>
      </c>
      <c r="G1353" s="20" t="s">
        <v>5288</v>
      </c>
      <c r="H1353" s="20" t="s">
        <v>5289</v>
      </c>
      <c r="I1353" s="20" t="s">
        <v>5288</v>
      </c>
      <c r="J1353" s="22" t="s">
        <v>6127</v>
      </c>
      <c r="K1353" s="97" t="s">
        <v>6128</v>
      </c>
      <c r="L1353" s="23" t="s">
        <v>92</v>
      </c>
      <c r="M1353" s="24" t="s">
        <v>7738</v>
      </c>
      <c r="N1353" s="23">
        <v>18848028</v>
      </c>
      <c r="O1353" s="25" t="s">
        <v>52</v>
      </c>
      <c r="P1353" s="25" t="s">
        <v>53</v>
      </c>
      <c r="Q1353" s="20" t="s">
        <v>6129</v>
      </c>
      <c r="R1353" s="20">
        <v>91453332</v>
      </c>
      <c r="S1353" s="25" t="s">
        <v>6130</v>
      </c>
      <c r="T1353" s="26" t="s">
        <v>57</v>
      </c>
      <c r="U1353" s="23">
        <v>860900062334933</v>
      </c>
      <c r="V1353" s="27" t="s">
        <v>78</v>
      </c>
      <c r="W1353" s="20" t="s">
        <v>58</v>
      </c>
      <c r="X1353" s="20" t="s">
        <v>59</v>
      </c>
      <c r="Y1353" s="20" t="s">
        <v>59</v>
      </c>
      <c r="Z1353" s="20" t="s">
        <v>167</v>
      </c>
      <c r="AA1353" s="20" t="s">
        <v>168</v>
      </c>
      <c r="AB1353" s="20" t="s">
        <v>96</v>
      </c>
      <c r="AC1353" s="28">
        <v>369.83</v>
      </c>
      <c r="AD1353" s="28">
        <f>SUM(BASE[[#This Row],[MONTO DE RENTA ]]*1.16)</f>
        <v>429.00279999999998</v>
      </c>
      <c r="AE1353" s="28" t="s">
        <v>83</v>
      </c>
      <c r="AF1353" s="28">
        <v>559.48275862068965</v>
      </c>
      <c r="AG1353" s="28">
        <v>649</v>
      </c>
      <c r="AH1353" s="22" t="s">
        <v>140</v>
      </c>
      <c r="AI1353" s="63">
        <v>45804</v>
      </c>
      <c r="AJ1353" s="63">
        <v>46534</v>
      </c>
      <c r="AK1353" s="30">
        <f ca="1">IFERROR(IF(BASE[[#This Row],[FECHA DE RENOVACION ]]&gt;TODAY(), DATEDIF(TODAY(),BASE[[#This Row],[FECHA DE RENOVACION ]],"M"), -DATEDIF(BASE[[#This Row],[FECHA DE RENOVACION ]],TODAY(),"M")), "Sin fecha")</f>
        <v>14</v>
      </c>
      <c r="AL1353" s="24">
        <v>18848028</v>
      </c>
      <c r="AM1353" s="30"/>
      <c r="AN1353" s="20" t="s">
        <v>99</v>
      </c>
      <c r="AP1353" s="20" t="s">
        <v>66</v>
      </c>
      <c r="AQ1353" s="20" t="s">
        <v>100</v>
      </c>
    </row>
    <row r="1354" spans="1:43" ht="16">
      <c r="A1354" s="20">
        <v>3121711413</v>
      </c>
      <c r="B1354" s="21">
        <v>520378</v>
      </c>
      <c r="C1354" s="20" t="s">
        <v>6131</v>
      </c>
      <c r="D1354" s="20" t="s">
        <v>1100</v>
      </c>
      <c r="E1354" s="20" t="s">
        <v>6132</v>
      </c>
      <c r="F1354" s="20" t="s">
        <v>6133</v>
      </c>
      <c r="G1354" s="20" t="s">
        <v>6133</v>
      </c>
      <c r="H1354" s="20" t="s">
        <v>199</v>
      </c>
      <c r="I1354" s="20" t="s">
        <v>6133</v>
      </c>
      <c r="J1354" s="54" t="s">
        <v>6134</v>
      </c>
      <c r="K1354" s="22" t="s">
        <v>6135</v>
      </c>
      <c r="L1354" s="23" t="s">
        <v>92</v>
      </c>
      <c r="M1354" s="24" t="s">
        <v>7738</v>
      </c>
      <c r="N1354" s="23">
        <v>18848010</v>
      </c>
      <c r="O1354" s="25" t="s">
        <v>677</v>
      </c>
      <c r="P1354" s="25" t="s">
        <v>53</v>
      </c>
      <c r="Q1354" s="20" t="s">
        <v>6136</v>
      </c>
      <c r="R1354" s="20">
        <v>55084793</v>
      </c>
      <c r="S1354" s="25" t="s">
        <v>6137</v>
      </c>
      <c r="T1354" s="44" t="s">
        <v>57</v>
      </c>
      <c r="U1354" s="23" t="s">
        <v>193</v>
      </c>
      <c r="V1354" s="27" t="s">
        <v>57</v>
      </c>
      <c r="W1354" s="20" t="s">
        <v>194</v>
      </c>
      <c r="X1354" s="20" t="s">
        <v>194</v>
      </c>
      <c r="Y1354" s="20" t="s">
        <v>194</v>
      </c>
      <c r="Z1354" s="20" t="s">
        <v>167</v>
      </c>
      <c r="AA1354" s="20" t="s">
        <v>168</v>
      </c>
      <c r="AB1354" s="20" t="s">
        <v>96</v>
      </c>
      <c r="AC1354" s="28">
        <v>369.83</v>
      </c>
      <c r="AD1354" s="28">
        <f>SUM(BASE[[#This Row],[MONTO DE RENTA ]]*1.16)</f>
        <v>429.00279999999998</v>
      </c>
      <c r="AE1354" s="28" t="s">
        <v>63</v>
      </c>
      <c r="AF1354" s="28">
        <v>369.82758620689657</v>
      </c>
      <c r="AG1354" s="28">
        <v>429</v>
      </c>
      <c r="AI1354" s="63">
        <v>44937</v>
      </c>
      <c r="AJ1354" s="84">
        <v>46681</v>
      </c>
      <c r="AK135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354" s="30"/>
      <c r="AN1354" s="20" t="s">
        <v>65</v>
      </c>
      <c r="AP1354" s="20" t="s">
        <v>84</v>
      </c>
    </row>
    <row r="1355" spans="1:43" ht="16">
      <c r="A1355" s="20">
        <v>5518832674</v>
      </c>
      <c r="B1355" s="49">
        <v>20676</v>
      </c>
      <c r="C1355" s="20" t="s">
        <v>6138</v>
      </c>
      <c r="D1355" s="20" t="s">
        <v>6139</v>
      </c>
      <c r="E1355" s="20" t="s">
        <v>45</v>
      </c>
      <c r="F1355" s="20" t="s">
        <v>5587</v>
      </c>
      <c r="G1355" s="20" t="s">
        <v>5587</v>
      </c>
      <c r="H1355" s="20" t="s">
        <v>5320</v>
      </c>
      <c r="I1355" s="20" t="s">
        <v>5587</v>
      </c>
      <c r="J1355" s="22" t="s">
        <v>6140</v>
      </c>
      <c r="K1355" s="22" t="s">
        <v>6141</v>
      </c>
      <c r="L1355" s="23" t="s">
        <v>92</v>
      </c>
      <c r="M1355" s="24" t="s">
        <v>7738</v>
      </c>
      <c r="N1355" s="23">
        <v>18848044</v>
      </c>
      <c r="O1355" s="25" t="s">
        <v>52</v>
      </c>
      <c r="P1355" s="25" t="s">
        <v>53</v>
      </c>
      <c r="Q1355" s="20" t="s">
        <v>6142</v>
      </c>
      <c r="R1355" s="20">
        <v>9606137</v>
      </c>
      <c r="S1355" s="25" t="s">
        <v>55</v>
      </c>
      <c r="T1355" s="26" t="s">
        <v>56</v>
      </c>
      <c r="U1355" s="23">
        <v>357654178427590</v>
      </c>
      <c r="V1355" s="27" t="s">
        <v>78</v>
      </c>
      <c r="W1355" s="20" t="s">
        <v>5299</v>
      </c>
      <c r="X1355" s="20" t="s">
        <v>5299</v>
      </c>
      <c r="Y1355" s="20" t="s">
        <v>5299</v>
      </c>
      <c r="Z1355" s="20" t="s">
        <v>60</v>
      </c>
      <c r="AA1355" s="20" t="s">
        <v>61</v>
      </c>
      <c r="AB1355" s="20" t="s">
        <v>82</v>
      </c>
      <c r="AC1355" s="28">
        <v>559.48</v>
      </c>
      <c r="AD1355" s="28">
        <f>SUM(BASE[[#This Row],[MONTO DE RENTA ]]*1.16)</f>
        <v>648.99680000000001</v>
      </c>
      <c r="AE1355" s="28" t="s">
        <v>83</v>
      </c>
      <c r="AF1355" s="28">
        <v>559.48275862068965</v>
      </c>
      <c r="AG1355" s="28">
        <v>649</v>
      </c>
      <c r="AI1355" s="63">
        <v>44937</v>
      </c>
      <c r="AJ1355" s="73">
        <v>46043</v>
      </c>
      <c r="AK13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5" s="30"/>
      <c r="AN1355" s="20" t="s">
        <v>99</v>
      </c>
      <c r="AP1355" s="20" t="s">
        <v>84</v>
      </c>
      <c r="AQ1355" s="20" t="s">
        <v>100</v>
      </c>
    </row>
    <row r="1356" spans="1:43" ht="16">
      <c r="A1356" s="20">
        <v>8115459343</v>
      </c>
      <c r="B1356" s="49">
        <v>1038517</v>
      </c>
      <c r="C1356" s="20" t="s">
        <v>6143</v>
      </c>
      <c r="D1356" s="20" t="s">
        <v>6030</v>
      </c>
      <c r="E1356" s="20" t="s">
        <v>3074</v>
      </c>
      <c r="F1356" s="20" t="s">
        <v>6144</v>
      </c>
      <c r="G1356" s="20" t="s">
        <v>6144</v>
      </c>
      <c r="H1356" s="20" t="s">
        <v>5730</v>
      </c>
      <c r="I1356" s="20" t="s">
        <v>6144</v>
      </c>
      <c r="J1356" s="22" t="s">
        <v>6145</v>
      </c>
      <c r="K1356" s="22" t="s">
        <v>6146</v>
      </c>
      <c r="L1356" s="23" t="s">
        <v>92</v>
      </c>
      <c r="M1356" s="24" t="s">
        <v>7738</v>
      </c>
      <c r="N1356" s="23">
        <v>18848085</v>
      </c>
      <c r="O1356" s="25" t="s">
        <v>74</v>
      </c>
      <c r="P1356" s="25" t="s">
        <v>53</v>
      </c>
      <c r="Q1356" s="20" t="s">
        <v>6147</v>
      </c>
      <c r="R1356" s="20">
        <v>43519035</v>
      </c>
      <c r="S1356" s="25" t="s">
        <v>55</v>
      </c>
      <c r="T1356" s="26" t="s">
        <v>56</v>
      </c>
      <c r="U1356" s="23">
        <v>865356065727745</v>
      </c>
      <c r="V1356" s="27" t="s">
        <v>183</v>
      </c>
      <c r="W1356" s="20" t="s">
        <v>129</v>
      </c>
      <c r="X1356" s="20" t="s">
        <v>130</v>
      </c>
      <c r="Y1356" s="20" t="s">
        <v>130</v>
      </c>
      <c r="Z1356" s="20" t="s">
        <v>60</v>
      </c>
      <c r="AA1356" s="20" t="s">
        <v>61</v>
      </c>
      <c r="AB1356" s="20" t="s">
        <v>96</v>
      </c>
      <c r="AC1356" s="28">
        <v>369.83</v>
      </c>
      <c r="AD1356" s="28">
        <f>SUM(BASE[[#This Row],[MONTO DE RENTA ]]*1.16)</f>
        <v>429.00279999999998</v>
      </c>
      <c r="AE1356" s="28" t="s">
        <v>63</v>
      </c>
      <c r="AF1356" s="28">
        <v>369.82758620689657</v>
      </c>
      <c r="AG1356" s="28">
        <v>429</v>
      </c>
      <c r="AI1356" s="63">
        <v>44937</v>
      </c>
      <c r="AJ1356" s="73">
        <v>46043</v>
      </c>
      <c r="AK13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6" s="30"/>
      <c r="AN1356" s="20" t="s">
        <v>99</v>
      </c>
      <c r="AP1356" s="20" t="s">
        <v>84</v>
      </c>
      <c r="AQ1356" s="20" t="s">
        <v>100</v>
      </c>
    </row>
    <row r="1357" spans="1:43" ht="16">
      <c r="A1357" s="20">
        <v>6674891950</v>
      </c>
      <c r="B1357" s="49">
        <v>855123</v>
      </c>
      <c r="C1357" s="20" t="s">
        <v>902</v>
      </c>
      <c r="D1357" s="20" t="s">
        <v>405</v>
      </c>
      <c r="E1357" s="20" t="s">
        <v>2664</v>
      </c>
      <c r="F1357" s="20" t="s">
        <v>88</v>
      </c>
      <c r="G1357" s="20" t="s">
        <v>88</v>
      </c>
      <c r="H1357" s="20" t="s">
        <v>89</v>
      </c>
      <c r="I1357" s="20" t="s">
        <v>88</v>
      </c>
      <c r="J1357" s="22" t="s">
        <v>6148</v>
      </c>
      <c r="K1357" s="22" t="s">
        <v>6149</v>
      </c>
      <c r="L1357" s="23" t="s">
        <v>92</v>
      </c>
      <c r="M1357" s="24" t="s">
        <v>7738</v>
      </c>
      <c r="N1357" s="23">
        <v>18848041</v>
      </c>
      <c r="O1357" s="25" t="s">
        <v>866</v>
      </c>
      <c r="P1357" s="25" t="s">
        <v>53</v>
      </c>
      <c r="Q1357" s="20" t="s">
        <v>6150</v>
      </c>
      <c r="R1357" s="20">
        <v>23073566</v>
      </c>
      <c r="S1357" s="25" t="s">
        <v>55</v>
      </c>
      <c r="T1357" s="26" t="s">
        <v>56</v>
      </c>
      <c r="U1357" s="23">
        <v>352556229025429</v>
      </c>
      <c r="V1357" s="27" t="s">
        <v>78</v>
      </c>
      <c r="W1357" s="20" t="s">
        <v>5299</v>
      </c>
      <c r="X1357" s="20" t="s">
        <v>5299</v>
      </c>
      <c r="Y1357" s="20" t="s">
        <v>5299</v>
      </c>
      <c r="Z1357" s="20" t="s">
        <v>60</v>
      </c>
      <c r="AA1357" s="20" t="s">
        <v>61</v>
      </c>
      <c r="AB1357" s="20" t="s">
        <v>82</v>
      </c>
      <c r="AC1357" s="28">
        <v>559.48</v>
      </c>
      <c r="AD1357" s="28">
        <f>SUM(BASE[[#This Row],[MONTO DE RENTA ]]*1.16)</f>
        <v>648.99680000000001</v>
      </c>
      <c r="AE1357" s="28" t="s">
        <v>83</v>
      </c>
      <c r="AF1357" s="28">
        <v>559.48275862068965</v>
      </c>
      <c r="AG1357" s="28">
        <v>649</v>
      </c>
      <c r="AH1357" s="36" t="s">
        <v>64</v>
      </c>
      <c r="AI1357" s="84">
        <v>45323</v>
      </c>
      <c r="AJ1357" s="84">
        <v>46054</v>
      </c>
      <c r="AK13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7" s="30"/>
      <c r="AN1357" s="20" t="s">
        <v>99</v>
      </c>
      <c r="AP1357" s="20" t="s">
        <v>84</v>
      </c>
      <c r="AQ1357" s="20" t="s">
        <v>100</v>
      </c>
    </row>
    <row r="1358" spans="1:43" ht="16">
      <c r="A1358" s="20">
        <v>8126810930</v>
      </c>
      <c r="B1358" s="49">
        <v>1015282</v>
      </c>
      <c r="C1358" s="20" t="s">
        <v>6151</v>
      </c>
      <c r="D1358" s="20" t="s">
        <v>405</v>
      </c>
      <c r="E1358" s="20" t="s">
        <v>5369</v>
      </c>
      <c r="F1358" s="20" t="s">
        <v>5890</v>
      </c>
      <c r="G1358" s="20" t="s">
        <v>5890</v>
      </c>
      <c r="H1358" s="20" t="s">
        <v>199</v>
      </c>
      <c r="I1358" s="20" t="s">
        <v>5890</v>
      </c>
      <c r="J1358" s="22" t="s">
        <v>6148</v>
      </c>
      <c r="K1358" s="22" t="s">
        <v>6148</v>
      </c>
      <c r="L1358" s="23" t="s">
        <v>92</v>
      </c>
      <c r="M1358" s="24" t="s">
        <v>7738</v>
      </c>
      <c r="N1358" s="23">
        <v>18848076</v>
      </c>
      <c r="O1358" s="25" t="s">
        <v>74</v>
      </c>
      <c r="P1358" s="25" t="s">
        <v>53</v>
      </c>
      <c r="Q1358" s="20" t="s">
        <v>6152</v>
      </c>
      <c r="R1358" s="20">
        <v>44114428</v>
      </c>
      <c r="S1358" s="25" t="s">
        <v>55</v>
      </c>
      <c r="T1358" s="26" t="s">
        <v>56</v>
      </c>
      <c r="U1358" s="23">
        <v>352556229025429</v>
      </c>
      <c r="V1358" s="27" t="s">
        <v>78</v>
      </c>
      <c r="W1358" s="20" t="s">
        <v>5299</v>
      </c>
      <c r="X1358" s="20" t="s">
        <v>5299</v>
      </c>
      <c r="Y1358" s="20" t="s">
        <v>5299</v>
      </c>
      <c r="Z1358" s="20" t="s">
        <v>60</v>
      </c>
      <c r="AA1358" s="20" t="s">
        <v>61</v>
      </c>
      <c r="AB1358" s="20" t="s">
        <v>96</v>
      </c>
      <c r="AC1358" s="28">
        <v>369.83</v>
      </c>
      <c r="AD1358" s="28">
        <f>SUM(BASE[[#This Row],[MONTO DE RENTA ]]*1.16)</f>
        <v>429.00279999999998</v>
      </c>
      <c r="AE1358" s="28" t="s">
        <v>83</v>
      </c>
      <c r="AF1358" s="28">
        <v>559.48275862068965</v>
      </c>
      <c r="AG1358" s="28">
        <v>649</v>
      </c>
      <c r="AH1358" s="36" t="s">
        <v>64</v>
      </c>
      <c r="AI1358" s="84">
        <v>45323</v>
      </c>
      <c r="AJ1358" s="84">
        <v>46054</v>
      </c>
      <c r="AK13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8" s="30"/>
      <c r="AN1358" s="20" t="s">
        <v>99</v>
      </c>
      <c r="AP1358" s="20" t="s">
        <v>66</v>
      </c>
      <c r="AQ1358" s="20" t="s">
        <v>100</v>
      </c>
    </row>
    <row r="1359" spans="1:43" ht="16">
      <c r="A1359" s="20">
        <v>8123201156</v>
      </c>
      <c r="B1359" s="49">
        <v>1007858</v>
      </c>
      <c r="C1359" s="20" t="s">
        <v>6153</v>
      </c>
      <c r="D1359" s="20" t="s">
        <v>6154</v>
      </c>
      <c r="E1359" s="20" t="s">
        <v>3355</v>
      </c>
      <c r="F1359" s="20" t="s">
        <v>6155</v>
      </c>
      <c r="G1359" s="20" t="s">
        <v>6155</v>
      </c>
      <c r="H1359" s="20" t="s">
        <v>5437</v>
      </c>
      <c r="I1359" s="20" t="s">
        <v>6155</v>
      </c>
      <c r="J1359" s="22" t="s">
        <v>6156</v>
      </c>
      <c r="K1359" s="22" t="s">
        <v>6157</v>
      </c>
      <c r="L1359" s="23" t="s">
        <v>92</v>
      </c>
      <c r="M1359" s="24" t="s">
        <v>7738</v>
      </c>
      <c r="N1359" s="23">
        <v>18848064</v>
      </c>
      <c r="O1359" s="25" t="s">
        <v>74</v>
      </c>
      <c r="P1359" s="25" t="s">
        <v>53</v>
      </c>
      <c r="Q1359" s="20" t="s">
        <v>6158</v>
      </c>
      <c r="R1359" s="20">
        <v>43530808</v>
      </c>
      <c r="S1359" s="25" t="s">
        <v>55</v>
      </c>
      <c r="T1359" s="26" t="s">
        <v>56</v>
      </c>
      <c r="U1359" s="23">
        <v>357654179706497</v>
      </c>
      <c r="V1359" s="27" t="s">
        <v>78</v>
      </c>
      <c r="W1359" s="20" t="s">
        <v>95</v>
      </c>
      <c r="X1359" s="20" t="s">
        <v>95</v>
      </c>
      <c r="Y1359" s="20" t="s">
        <v>95</v>
      </c>
      <c r="Z1359" s="20" t="s">
        <v>60</v>
      </c>
      <c r="AA1359" s="20" t="s">
        <v>61</v>
      </c>
      <c r="AB1359" s="20" t="s">
        <v>96</v>
      </c>
      <c r="AC1359" s="28">
        <v>369.83</v>
      </c>
      <c r="AD1359" s="28">
        <f>SUM(BASE[[#This Row],[MONTO DE RENTA ]]*1.16)</f>
        <v>429.00279999999998</v>
      </c>
      <c r="AE1359" s="28" t="s">
        <v>83</v>
      </c>
      <c r="AF1359" s="28">
        <v>559.48275862068965</v>
      </c>
      <c r="AG1359" s="28">
        <v>649</v>
      </c>
      <c r="AI1359" s="63">
        <v>44937</v>
      </c>
      <c r="AJ1359" s="73">
        <v>46043</v>
      </c>
      <c r="AK135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59" s="30"/>
      <c r="AN1359" s="20" t="s">
        <v>99</v>
      </c>
      <c r="AP1359" s="20" t="s">
        <v>66</v>
      </c>
      <c r="AQ1359" s="20" t="s">
        <v>100</v>
      </c>
    </row>
    <row r="1360" spans="1:43" ht="16">
      <c r="A1360" s="20">
        <v>8113229956</v>
      </c>
      <c r="B1360" s="49">
        <v>6602</v>
      </c>
      <c r="C1360" s="20" t="s">
        <v>6159</v>
      </c>
      <c r="D1360" s="20" t="s">
        <v>6160</v>
      </c>
      <c r="E1360" s="20">
        <v>0</v>
      </c>
      <c r="F1360" s="20" t="s">
        <v>6161</v>
      </c>
      <c r="G1360" s="20" t="s">
        <v>6161</v>
      </c>
      <c r="H1360" s="20" t="s">
        <v>5662</v>
      </c>
      <c r="I1360" s="20" t="s">
        <v>6161</v>
      </c>
      <c r="J1360" s="22" t="s">
        <v>6162</v>
      </c>
      <c r="K1360" s="22" t="s">
        <v>6162</v>
      </c>
      <c r="L1360" s="23" t="s">
        <v>92</v>
      </c>
      <c r="M1360" s="24" t="s">
        <v>7738</v>
      </c>
      <c r="N1360" s="23">
        <v>18848112</v>
      </c>
      <c r="O1360" s="25" t="s">
        <v>74</v>
      </c>
      <c r="P1360" s="25" t="s">
        <v>53</v>
      </c>
      <c r="Q1360" s="20" t="s">
        <v>6163</v>
      </c>
      <c r="R1360" s="20">
        <v>42896281</v>
      </c>
      <c r="S1360" s="25" t="s">
        <v>6164</v>
      </c>
      <c r="T1360" s="26" t="s">
        <v>77</v>
      </c>
      <c r="U1360" s="23">
        <v>357654179623502</v>
      </c>
      <c r="V1360" s="27" t="s">
        <v>78</v>
      </c>
      <c r="W1360" s="20" t="s">
        <v>95</v>
      </c>
      <c r="X1360" s="20" t="s">
        <v>95</v>
      </c>
      <c r="Y1360" s="20" t="s">
        <v>95</v>
      </c>
      <c r="Z1360" s="20" t="s">
        <v>584</v>
      </c>
      <c r="AA1360" s="20" t="s">
        <v>585</v>
      </c>
      <c r="AB1360" s="20" t="s">
        <v>82</v>
      </c>
      <c r="AC1360" s="28">
        <v>559.48</v>
      </c>
      <c r="AD1360" s="28">
        <f>SUM(BASE[[#This Row],[MONTO DE RENTA ]]*1.16)</f>
        <v>648.99680000000001</v>
      </c>
      <c r="AE1360" s="28" t="s">
        <v>83</v>
      </c>
      <c r="AF1360" s="28">
        <v>559.48275862068965</v>
      </c>
      <c r="AG1360" s="28">
        <v>649</v>
      </c>
      <c r="AI1360" s="63">
        <v>44937</v>
      </c>
      <c r="AJ1360" s="73">
        <v>46043</v>
      </c>
      <c r="AK136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60" s="30"/>
      <c r="AN1360" s="20" t="s">
        <v>99</v>
      </c>
      <c r="AP1360" s="20" t="s">
        <v>84</v>
      </c>
      <c r="AQ1360" s="20" t="s">
        <v>100</v>
      </c>
    </row>
    <row r="1361" spans="1:43" ht="16">
      <c r="A1361" s="20">
        <v>8110667529</v>
      </c>
      <c r="B1361" s="49">
        <v>1019380</v>
      </c>
      <c r="C1361" s="20" t="s">
        <v>6165</v>
      </c>
      <c r="D1361" s="20" t="s">
        <v>152</v>
      </c>
      <c r="E1361" s="20" t="s">
        <v>1886</v>
      </c>
      <c r="F1361" s="20" t="s">
        <v>5724</v>
      </c>
      <c r="G1361" s="20" t="s">
        <v>5724</v>
      </c>
      <c r="H1361" s="20" t="s">
        <v>208</v>
      </c>
      <c r="I1361" s="20" t="s">
        <v>5724</v>
      </c>
      <c r="J1361" s="54" t="s">
        <v>6166</v>
      </c>
      <c r="K1361" s="54" t="s">
        <v>6166</v>
      </c>
      <c r="L1361" s="23" t="s">
        <v>92</v>
      </c>
      <c r="M1361" s="24" t="s">
        <v>7738</v>
      </c>
      <c r="N1361" s="23">
        <v>18848087</v>
      </c>
      <c r="O1361" s="25" t="s">
        <v>74</v>
      </c>
      <c r="P1361" s="25" t="s">
        <v>53</v>
      </c>
      <c r="Q1361" s="20" t="s">
        <v>6167</v>
      </c>
      <c r="R1361" s="20">
        <v>44114631</v>
      </c>
      <c r="S1361" s="25" t="s">
        <v>6168</v>
      </c>
      <c r="T1361" s="44" t="s">
        <v>77</v>
      </c>
      <c r="U1361" s="23" t="s">
        <v>193</v>
      </c>
      <c r="V1361" s="27" t="s">
        <v>78</v>
      </c>
      <c r="W1361" s="20" t="s">
        <v>194</v>
      </c>
      <c r="X1361" s="20" t="s">
        <v>194</v>
      </c>
      <c r="Y1361" s="20" t="s">
        <v>194</v>
      </c>
      <c r="Z1361" s="20" t="s">
        <v>60</v>
      </c>
      <c r="AA1361" s="20" t="s">
        <v>61</v>
      </c>
      <c r="AB1361" s="20" t="s">
        <v>82</v>
      </c>
      <c r="AC1361" s="28">
        <v>559.48</v>
      </c>
      <c r="AD1361" s="28">
        <f>SUM(BASE[[#This Row],[MONTO DE RENTA ]]*1.16)</f>
        <v>648.99680000000001</v>
      </c>
      <c r="AE1361" s="28" t="s">
        <v>83</v>
      </c>
      <c r="AF1361" s="28">
        <v>559.48275862068965</v>
      </c>
      <c r="AG1361" s="28">
        <v>649</v>
      </c>
      <c r="AH1361" s="22" t="s">
        <v>116</v>
      </c>
      <c r="AI1361" s="63">
        <v>45833</v>
      </c>
      <c r="AJ1361" s="63">
        <v>46563</v>
      </c>
      <c r="AK1361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361" s="24">
        <v>18848087</v>
      </c>
      <c r="AM1361" s="30"/>
      <c r="AN1361" s="20" t="s">
        <v>65</v>
      </c>
      <c r="AP1361" s="20" t="s">
        <v>84</v>
      </c>
    </row>
    <row r="1362" spans="1:43" ht="16">
      <c r="A1362" s="230">
        <v>8120100726</v>
      </c>
      <c r="B1362" s="292">
        <v>1009078</v>
      </c>
      <c r="C1362" s="20" t="s">
        <v>1653</v>
      </c>
      <c r="D1362" s="20" t="s">
        <v>1654</v>
      </c>
      <c r="E1362" s="20" t="s">
        <v>1655</v>
      </c>
      <c r="F1362" s="20" t="s">
        <v>1656</v>
      </c>
      <c r="G1362" s="20" t="s">
        <v>1656</v>
      </c>
      <c r="H1362" s="20" t="s">
        <v>1657</v>
      </c>
      <c r="I1362" s="20" t="s">
        <v>1658</v>
      </c>
      <c r="J1362" s="271" t="s">
        <v>6169</v>
      </c>
      <c r="K1362" s="271" t="s">
        <v>6169</v>
      </c>
      <c r="L1362" s="266" t="s">
        <v>92</v>
      </c>
      <c r="M1362" s="265" t="s">
        <v>7738</v>
      </c>
      <c r="N1362" s="23" t="s">
        <v>1661</v>
      </c>
      <c r="O1362" s="25" t="s">
        <v>74</v>
      </c>
      <c r="P1362" s="25" t="s">
        <v>1662</v>
      </c>
      <c r="Q1362" s="20" t="s">
        <v>6170</v>
      </c>
      <c r="R1362" s="20">
        <v>43591405</v>
      </c>
      <c r="S1362" s="25" t="s">
        <v>55</v>
      </c>
      <c r="T1362" s="279" t="s">
        <v>56</v>
      </c>
      <c r="U1362" s="23" t="s">
        <v>193</v>
      </c>
      <c r="V1362" s="27" t="s">
        <v>78</v>
      </c>
      <c r="W1362" s="20" t="s">
        <v>194</v>
      </c>
      <c r="X1362" s="20" t="s">
        <v>194</v>
      </c>
      <c r="Y1362" s="20" t="s">
        <v>194</v>
      </c>
      <c r="Z1362" s="20" t="s">
        <v>60</v>
      </c>
      <c r="AA1362" s="20" t="s">
        <v>61</v>
      </c>
      <c r="AB1362" s="20" t="s">
        <v>82</v>
      </c>
      <c r="AC1362" s="28">
        <v>559.48</v>
      </c>
      <c r="AD1362" s="270">
        <f>SUM(BASE[[#This Row],[MONTO DE RENTA ]]*1.16)</f>
        <v>648.99680000000001</v>
      </c>
      <c r="AE1362" s="270" t="s">
        <v>83</v>
      </c>
      <c r="AF1362" s="270">
        <v>559.48275862068965</v>
      </c>
      <c r="AG1362" s="270">
        <v>649</v>
      </c>
      <c r="AH1362" s="271" t="s">
        <v>64</v>
      </c>
      <c r="AI1362" s="272">
        <v>45323</v>
      </c>
      <c r="AJ1362" s="272">
        <v>46054</v>
      </c>
      <c r="AK1362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L1362" s="230"/>
      <c r="AM1362" s="273"/>
      <c r="AN1362" s="20" t="s">
        <v>99</v>
      </c>
      <c r="AP1362" s="20" t="s">
        <v>84</v>
      </c>
      <c r="AQ1362" s="20" t="s">
        <v>100</v>
      </c>
    </row>
    <row r="1363" spans="1:43" ht="16">
      <c r="A1363" s="20">
        <v>8111792736</v>
      </c>
      <c r="B1363" s="140">
        <v>1063772</v>
      </c>
      <c r="C1363" s="20" t="s">
        <v>5507</v>
      </c>
      <c r="D1363" s="20" t="s">
        <v>324</v>
      </c>
      <c r="E1363" s="20" t="s">
        <v>86</v>
      </c>
      <c r="F1363" s="20" t="s">
        <v>6171</v>
      </c>
      <c r="G1363" s="20" t="s">
        <v>6171</v>
      </c>
      <c r="H1363" s="20" t="s">
        <v>5730</v>
      </c>
      <c r="I1363" s="20" t="s">
        <v>6171</v>
      </c>
      <c r="J1363" s="141" t="s">
        <v>6172</v>
      </c>
      <c r="K1363" s="54" t="s">
        <v>6172</v>
      </c>
      <c r="L1363" s="23" t="s">
        <v>92</v>
      </c>
      <c r="M1363" s="24" t="s">
        <v>7738</v>
      </c>
      <c r="N1363" s="23">
        <v>18848015</v>
      </c>
      <c r="O1363" s="25" t="s">
        <v>74</v>
      </c>
      <c r="P1363" s="25" t="s">
        <v>53</v>
      </c>
      <c r="Q1363" s="20" t="s">
        <v>6173</v>
      </c>
      <c r="R1363" s="20">
        <v>42896300</v>
      </c>
      <c r="S1363" s="25" t="s">
        <v>55</v>
      </c>
      <c r="T1363" s="65" t="s">
        <v>56</v>
      </c>
      <c r="U1363" s="23">
        <v>860982060869334</v>
      </c>
      <c r="V1363" s="27" t="s">
        <v>183</v>
      </c>
      <c r="W1363" s="20" t="s">
        <v>129</v>
      </c>
      <c r="X1363" s="20" t="s">
        <v>130</v>
      </c>
      <c r="Y1363" s="20" t="s">
        <v>130</v>
      </c>
      <c r="Z1363" s="20" t="s">
        <v>60</v>
      </c>
      <c r="AA1363" s="20" t="s">
        <v>61</v>
      </c>
      <c r="AB1363" s="20" t="s">
        <v>82</v>
      </c>
      <c r="AC1363" s="28">
        <v>559.48</v>
      </c>
      <c r="AD1363" s="28">
        <f>SUM(BASE[[#This Row],[MONTO DE RENTA ]]*1.16)</f>
        <v>648.99680000000001</v>
      </c>
      <c r="AE1363" s="28" t="s">
        <v>83</v>
      </c>
      <c r="AF1363" s="28">
        <v>559.48275862068965</v>
      </c>
      <c r="AG1363" s="28">
        <v>649</v>
      </c>
      <c r="AH1363" s="22" t="s">
        <v>116</v>
      </c>
      <c r="AI1363" s="63">
        <v>45533</v>
      </c>
      <c r="AJ1363" s="63">
        <v>46040</v>
      </c>
      <c r="AK136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63" s="30"/>
      <c r="AN1363" s="20" t="s">
        <v>99</v>
      </c>
      <c r="AP1363" s="20" t="s">
        <v>84</v>
      </c>
      <c r="AQ1363" s="20" t="s">
        <v>100</v>
      </c>
    </row>
    <row r="1364" spans="1:43" ht="16">
      <c r="A1364" s="20">
        <v>8119104061</v>
      </c>
      <c r="B1364" s="49">
        <v>6161</v>
      </c>
      <c r="C1364" s="20" t="s">
        <v>6174</v>
      </c>
      <c r="D1364" s="20" t="s">
        <v>6175</v>
      </c>
      <c r="E1364" s="20" t="s">
        <v>5758</v>
      </c>
      <c r="F1364" s="20" t="s">
        <v>6176</v>
      </c>
      <c r="G1364" s="20" t="s">
        <v>6176</v>
      </c>
      <c r="H1364" s="20" t="s">
        <v>199</v>
      </c>
      <c r="I1364" s="20" t="s">
        <v>6176</v>
      </c>
      <c r="J1364" s="22" t="s">
        <v>6177</v>
      </c>
      <c r="K1364" s="22" t="s">
        <v>6178</v>
      </c>
      <c r="L1364" s="23" t="s">
        <v>92</v>
      </c>
      <c r="M1364" s="24" t="s">
        <v>7738</v>
      </c>
      <c r="N1364" s="23">
        <v>18848078</v>
      </c>
      <c r="O1364" s="25" t="s">
        <v>74</v>
      </c>
      <c r="P1364" s="25" t="s">
        <v>53</v>
      </c>
      <c r="Q1364" s="20" t="s">
        <v>6179</v>
      </c>
      <c r="R1364" s="20">
        <v>43216016</v>
      </c>
      <c r="S1364" s="25" t="s">
        <v>55</v>
      </c>
      <c r="T1364" s="26" t="s">
        <v>56</v>
      </c>
      <c r="U1364" s="23">
        <v>357894928457568</v>
      </c>
      <c r="V1364" s="27" t="s">
        <v>78</v>
      </c>
      <c r="W1364" s="20" t="s">
        <v>95</v>
      </c>
      <c r="X1364" s="20" t="s">
        <v>95</v>
      </c>
      <c r="Y1364" s="20" t="s">
        <v>95</v>
      </c>
      <c r="Z1364" s="20" t="s">
        <v>60</v>
      </c>
      <c r="AA1364" s="20" t="s">
        <v>61</v>
      </c>
      <c r="AB1364" s="20" t="s">
        <v>82</v>
      </c>
      <c r="AC1364" s="28">
        <v>559.48</v>
      </c>
      <c r="AD1364" s="28">
        <f>SUM(BASE[[#This Row],[MONTO DE RENTA ]]*1.16)</f>
        <v>648.99680000000001</v>
      </c>
      <c r="AE1364" s="28" t="s">
        <v>83</v>
      </c>
      <c r="AF1364" s="28">
        <v>559.48275862068965</v>
      </c>
      <c r="AG1364" s="28">
        <v>649</v>
      </c>
      <c r="AI1364" s="63">
        <v>44937</v>
      </c>
      <c r="AJ1364" s="73">
        <v>46043</v>
      </c>
      <c r="AK136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64" s="30"/>
      <c r="AN1364" s="20" t="s">
        <v>99</v>
      </c>
      <c r="AP1364" s="20" t="s">
        <v>84</v>
      </c>
      <c r="AQ1364" s="20" t="s">
        <v>100</v>
      </c>
    </row>
    <row r="1365" spans="1:43" ht="16">
      <c r="A1365" s="20">
        <v>8111717831</v>
      </c>
      <c r="B1365" s="49">
        <v>6901</v>
      </c>
      <c r="C1365" s="20" t="s">
        <v>6180</v>
      </c>
      <c r="D1365" s="20" t="s">
        <v>3860</v>
      </c>
      <c r="E1365" s="20" t="s">
        <v>172</v>
      </c>
      <c r="F1365" s="20" t="s">
        <v>6181</v>
      </c>
      <c r="G1365" s="20" t="s">
        <v>6181</v>
      </c>
      <c r="H1365" s="20" t="s">
        <v>5662</v>
      </c>
      <c r="I1365" s="20" t="s">
        <v>6181</v>
      </c>
      <c r="J1365" s="22" t="s">
        <v>6182</v>
      </c>
      <c r="K1365" s="22" t="s">
        <v>6183</v>
      </c>
      <c r="L1365" s="23" t="s">
        <v>92</v>
      </c>
      <c r="M1365" s="24" t="s">
        <v>7738</v>
      </c>
      <c r="N1365" s="23">
        <v>18848112</v>
      </c>
      <c r="O1365" s="25" t="s">
        <v>74</v>
      </c>
      <c r="P1365" s="25" t="s">
        <v>53</v>
      </c>
      <c r="Q1365" s="20" t="s">
        <v>6184</v>
      </c>
      <c r="R1365" s="20">
        <v>42943900</v>
      </c>
      <c r="S1365" s="25" t="s">
        <v>55</v>
      </c>
      <c r="T1365" s="26" t="s">
        <v>56</v>
      </c>
      <c r="U1365" s="23">
        <v>357894928800817</v>
      </c>
      <c r="V1365" s="27" t="s">
        <v>78</v>
      </c>
      <c r="W1365" s="20" t="s">
        <v>95</v>
      </c>
      <c r="X1365" s="20" t="s">
        <v>95</v>
      </c>
      <c r="Y1365" s="20" t="s">
        <v>95</v>
      </c>
      <c r="Z1365" s="20" t="s">
        <v>60</v>
      </c>
      <c r="AA1365" s="20" t="s">
        <v>61</v>
      </c>
      <c r="AB1365" s="20" t="s">
        <v>82</v>
      </c>
      <c r="AC1365" s="28">
        <v>559.48</v>
      </c>
      <c r="AD1365" s="28">
        <f>SUM(BASE[[#This Row],[MONTO DE RENTA ]]*1.16)</f>
        <v>648.99680000000001</v>
      </c>
      <c r="AE1365" s="28" t="s">
        <v>83</v>
      </c>
      <c r="AF1365" s="28">
        <v>559.48275862068965</v>
      </c>
      <c r="AG1365" s="28">
        <v>649</v>
      </c>
      <c r="AI1365" s="63">
        <v>44937</v>
      </c>
      <c r="AJ1365" s="73">
        <v>46043</v>
      </c>
      <c r="AK13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65" s="30"/>
      <c r="AN1365" s="20" t="s">
        <v>99</v>
      </c>
      <c r="AP1365" s="20" t="s">
        <v>84</v>
      </c>
      <c r="AQ1365" s="20" t="s">
        <v>100</v>
      </c>
    </row>
    <row r="1366" spans="1:43" s="171" customFormat="1" ht="16">
      <c r="A1366" s="20">
        <v>4773576517</v>
      </c>
      <c r="B1366" s="21">
        <v>997662</v>
      </c>
      <c r="C1366" s="20" t="s">
        <v>6185</v>
      </c>
      <c r="D1366" s="20" t="s">
        <v>143</v>
      </c>
      <c r="E1366" s="20" t="s">
        <v>2538</v>
      </c>
      <c r="F1366" s="20" t="s">
        <v>3245</v>
      </c>
      <c r="G1366" s="20" t="s">
        <v>3245</v>
      </c>
      <c r="H1366" s="20" t="s">
        <v>48</v>
      </c>
      <c r="I1366" s="20" t="s">
        <v>3245</v>
      </c>
      <c r="J1366" s="22" t="s">
        <v>6186</v>
      </c>
      <c r="K1366" s="22" t="s">
        <v>6187</v>
      </c>
      <c r="L1366" s="23" t="s">
        <v>3764</v>
      </c>
      <c r="M1366" s="24" t="s">
        <v>7743</v>
      </c>
      <c r="N1366" s="23">
        <v>18740003</v>
      </c>
      <c r="O1366" s="25" t="s">
        <v>93</v>
      </c>
      <c r="P1366" s="25" t="s">
        <v>53</v>
      </c>
      <c r="Q1366" s="20" t="s">
        <v>6188</v>
      </c>
      <c r="R1366" s="20">
        <v>62123171</v>
      </c>
      <c r="S1366" s="25" t="s">
        <v>6189</v>
      </c>
      <c r="T1366" s="26" t="s">
        <v>57</v>
      </c>
      <c r="U1366" s="23">
        <v>860900062336243</v>
      </c>
      <c r="V1366" s="27" t="s">
        <v>57</v>
      </c>
      <c r="W1366" s="20" t="s">
        <v>58</v>
      </c>
      <c r="X1366" s="20" t="s">
        <v>59</v>
      </c>
      <c r="Y1366" s="20" t="s">
        <v>59</v>
      </c>
      <c r="Z1366" s="20" t="s">
        <v>60</v>
      </c>
      <c r="AA1366" s="20" t="s">
        <v>61</v>
      </c>
      <c r="AB1366" s="20" t="s">
        <v>96</v>
      </c>
      <c r="AC1366" s="28">
        <v>369.83</v>
      </c>
      <c r="AD1366" s="28">
        <f>SUM(BASE[[#This Row],[MONTO DE RENTA ]]*1.16)</f>
        <v>429.00279999999998</v>
      </c>
      <c r="AE1366" s="28" t="s">
        <v>63</v>
      </c>
      <c r="AF1366" s="28">
        <v>369.82758620689657</v>
      </c>
      <c r="AG1366" s="28">
        <v>429</v>
      </c>
      <c r="AH1366" s="22" t="s">
        <v>64</v>
      </c>
      <c r="AI1366" s="63">
        <v>45703</v>
      </c>
      <c r="AJ1366" s="63">
        <v>46433</v>
      </c>
      <c r="AK136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366" s="20"/>
      <c r="AM1366" s="30"/>
      <c r="AN1366" s="20" t="s">
        <v>65</v>
      </c>
      <c r="AO1366" s="20"/>
      <c r="AP1366" s="20" t="s">
        <v>84</v>
      </c>
      <c r="AQ1366" s="20"/>
    </row>
    <row r="1367" spans="1:43" ht="16">
      <c r="A1367" s="20">
        <v>8122012474</v>
      </c>
      <c r="B1367" s="21">
        <v>6267</v>
      </c>
      <c r="C1367" s="20" t="s">
        <v>475</v>
      </c>
      <c r="D1367" s="20" t="s">
        <v>1182</v>
      </c>
      <c r="E1367" s="20" t="s">
        <v>3454</v>
      </c>
      <c r="F1367" s="20" t="s">
        <v>6064</v>
      </c>
      <c r="G1367" s="20" t="s">
        <v>6064</v>
      </c>
      <c r="H1367" s="20" t="s">
        <v>199</v>
      </c>
      <c r="I1367" s="20" t="s">
        <v>6064</v>
      </c>
      <c r="J1367" s="22" t="s">
        <v>6190</v>
      </c>
      <c r="K1367" s="32" t="s">
        <v>6191</v>
      </c>
      <c r="L1367" s="23" t="s">
        <v>92</v>
      </c>
      <c r="M1367" s="24" t="s">
        <v>7738</v>
      </c>
      <c r="N1367" s="23">
        <v>18848076</v>
      </c>
      <c r="O1367" s="25" t="s">
        <v>74</v>
      </c>
      <c r="P1367" s="25" t="s">
        <v>53</v>
      </c>
      <c r="Q1367" s="20" t="s">
        <v>6192</v>
      </c>
      <c r="R1367" s="20">
        <v>43163439</v>
      </c>
      <c r="S1367" s="25" t="s">
        <v>6193</v>
      </c>
      <c r="T1367" s="26" t="s">
        <v>57</v>
      </c>
      <c r="U1367" s="23">
        <v>860900062238662</v>
      </c>
      <c r="V1367" s="27" t="s">
        <v>57</v>
      </c>
      <c r="W1367" s="20" t="s">
        <v>58</v>
      </c>
      <c r="X1367" s="20" t="s">
        <v>59</v>
      </c>
      <c r="Y1367" s="20" t="s">
        <v>59</v>
      </c>
      <c r="Z1367" s="20" t="s">
        <v>131</v>
      </c>
      <c r="AA1367" s="20" t="s">
        <v>132</v>
      </c>
      <c r="AB1367" s="20" t="s">
        <v>96</v>
      </c>
      <c r="AC1367" s="28">
        <v>369.83</v>
      </c>
      <c r="AD1367" s="28">
        <f>SUM(BASE[[#This Row],[MONTO DE RENTA ]]*1.16)</f>
        <v>429.00279999999998</v>
      </c>
      <c r="AE1367" s="28" t="s">
        <v>63</v>
      </c>
      <c r="AF1367" s="28">
        <v>369.82758620689657</v>
      </c>
      <c r="AG1367" s="28">
        <v>429</v>
      </c>
      <c r="AH1367" s="22" t="s">
        <v>64</v>
      </c>
      <c r="AI1367" s="63">
        <v>45703</v>
      </c>
      <c r="AJ1367" s="63">
        <v>46433</v>
      </c>
      <c r="AK136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67" s="30"/>
      <c r="AN1367" s="20" t="s">
        <v>65</v>
      </c>
      <c r="AP1367" s="20" t="s">
        <v>84</v>
      </c>
    </row>
    <row r="1368" spans="1:43" ht="16">
      <c r="A1368" s="20">
        <v>8116188387</v>
      </c>
      <c r="B1368" s="21">
        <v>999327</v>
      </c>
      <c r="C1368" s="20" t="s">
        <v>475</v>
      </c>
      <c r="D1368" s="20" t="s">
        <v>358</v>
      </c>
      <c r="E1368" s="20" t="s">
        <v>657</v>
      </c>
      <c r="F1368" s="20" t="s">
        <v>6194</v>
      </c>
      <c r="G1368" s="20" t="s">
        <v>6194</v>
      </c>
      <c r="H1368" s="20" t="s">
        <v>199</v>
      </c>
      <c r="I1368" s="20" t="s">
        <v>6194</v>
      </c>
      <c r="J1368" s="22" t="s">
        <v>6195</v>
      </c>
      <c r="K1368" s="32" t="s">
        <v>6196</v>
      </c>
      <c r="L1368" s="23" t="s">
        <v>92</v>
      </c>
      <c r="M1368" s="24" t="s">
        <v>7738</v>
      </c>
      <c r="N1368" s="23">
        <v>18848010</v>
      </c>
      <c r="O1368" s="25" t="s">
        <v>74</v>
      </c>
      <c r="P1368" s="25" t="s">
        <v>53</v>
      </c>
      <c r="Q1368" s="20" t="s">
        <v>6197</v>
      </c>
      <c r="R1368" s="20">
        <v>43163618</v>
      </c>
      <c r="S1368" s="25" t="s">
        <v>6198</v>
      </c>
      <c r="T1368" s="26" t="s">
        <v>57</v>
      </c>
      <c r="U1368" s="23">
        <v>860900062732367</v>
      </c>
      <c r="V1368" s="27" t="s">
        <v>57</v>
      </c>
      <c r="W1368" s="20" t="s">
        <v>58</v>
      </c>
      <c r="X1368" s="20" t="s">
        <v>59</v>
      </c>
      <c r="Y1368" s="20" t="s">
        <v>59</v>
      </c>
      <c r="Z1368" s="20" t="s">
        <v>167</v>
      </c>
      <c r="AA1368" s="20" t="s">
        <v>168</v>
      </c>
      <c r="AB1368" s="20" t="s">
        <v>96</v>
      </c>
      <c r="AC1368" s="28">
        <v>369.83</v>
      </c>
      <c r="AD1368" s="28">
        <f>SUM(BASE[[#This Row],[MONTO DE RENTA ]]*1.16)</f>
        <v>429.00279999999998</v>
      </c>
      <c r="AE1368" s="28" t="s">
        <v>63</v>
      </c>
      <c r="AF1368" s="28">
        <v>369.82758620689657</v>
      </c>
      <c r="AG1368" s="28">
        <v>429</v>
      </c>
      <c r="AH1368" s="22" t="s">
        <v>64</v>
      </c>
      <c r="AI1368" s="63">
        <v>45703</v>
      </c>
      <c r="AJ1368" s="63">
        <v>46433</v>
      </c>
      <c r="AK13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68" s="30"/>
      <c r="AN1368" s="20" t="s">
        <v>65</v>
      </c>
      <c r="AP1368" s="20" t="s">
        <v>84</v>
      </c>
    </row>
    <row r="1369" spans="1:43" ht="16">
      <c r="A1369" s="20">
        <v>8113951251</v>
      </c>
      <c r="B1369" s="21">
        <v>11835</v>
      </c>
      <c r="C1369" s="20" t="s">
        <v>6199</v>
      </c>
      <c r="D1369" s="20" t="s">
        <v>2752</v>
      </c>
      <c r="E1369" s="20" t="s">
        <v>438</v>
      </c>
      <c r="F1369" s="20" t="s">
        <v>5385</v>
      </c>
      <c r="G1369" s="20" t="s">
        <v>5385</v>
      </c>
      <c r="H1369" s="20" t="s">
        <v>5381</v>
      </c>
      <c r="I1369" s="20" t="s">
        <v>5385</v>
      </c>
      <c r="J1369" s="54" t="s">
        <v>6200</v>
      </c>
      <c r="K1369" s="54" t="s">
        <v>6201</v>
      </c>
      <c r="L1369" s="23" t="s">
        <v>92</v>
      </c>
      <c r="M1369" s="24" t="s">
        <v>7738</v>
      </c>
      <c r="N1369" s="23">
        <v>18848081</v>
      </c>
      <c r="O1369" s="25" t="s">
        <v>74</v>
      </c>
      <c r="P1369" s="25" t="s">
        <v>53</v>
      </c>
      <c r="Q1369" s="20" t="s">
        <v>6202</v>
      </c>
      <c r="R1369" s="20">
        <v>43056252</v>
      </c>
      <c r="S1369" s="25" t="s">
        <v>5809</v>
      </c>
      <c r="T1369" s="44" t="s">
        <v>57</v>
      </c>
      <c r="U1369" s="23">
        <v>358366320182242</v>
      </c>
      <c r="V1369" s="27" t="s">
        <v>78</v>
      </c>
      <c r="W1369" s="20" t="s">
        <v>79</v>
      </c>
      <c r="X1369" s="20" t="s">
        <v>79</v>
      </c>
      <c r="Y1369" s="20" t="s">
        <v>79</v>
      </c>
      <c r="Z1369" s="20" t="s">
        <v>167</v>
      </c>
      <c r="AA1369" s="20" t="s">
        <v>168</v>
      </c>
      <c r="AB1369" s="20" t="s">
        <v>96</v>
      </c>
      <c r="AC1369" s="28">
        <v>369.83</v>
      </c>
      <c r="AD1369" s="28">
        <f>SUM(BASE[[#This Row],[MONTO DE RENTA ]]*1.16)</f>
        <v>429.00279999999998</v>
      </c>
      <c r="AE1369" s="28" t="s">
        <v>83</v>
      </c>
      <c r="AF1369" s="28">
        <v>559.48275862068965</v>
      </c>
      <c r="AG1369" s="28">
        <v>649</v>
      </c>
      <c r="AH1369" s="22" t="s">
        <v>98</v>
      </c>
      <c r="AI1369" s="63">
        <v>45665</v>
      </c>
      <c r="AJ1369" s="293">
        <v>46395</v>
      </c>
      <c r="AK136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369" s="294">
        <v>18848057</v>
      </c>
      <c r="AM1369" s="30" t="s">
        <v>6203</v>
      </c>
      <c r="AN1369" s="20" t="s">
        <v>65</v>
      </c>
      <c r="AO1369" s="20" t="s">
        <v>169</v>
      </c>
      <c r="AP1369" s="20" t="s">
        <v>66</v>
      </c>
      <c r="AQ1369" s="20" t="s">
        <v>100</v>
      </c>
    </row>
    <row r="1370" spans="1:43" s="171" customFormat="1" ht="16">
      <c r="A1370" s="20">
        <v>8123196278</v>
      </c>
      <c r="B1370" s="86">
        <v>1071662</v>
      </c>
      <c r="C1370" s="20" t="s">
        <v>6204</v>
      </c>
      <c r="D1370" s="20" t="s">
        <v>4451</v>
      </c>
      <c r="E1370" s="20" t="s">
        <v>6205</v>
      </c>
      <c r="F1370" s="20" t="s">
        <v>5612</v>
      </c>
      <c r="G1370" s="20" t="s">
        <v>5612</v>
      </c>
      <c r="H1370" s="20" t="s">
        <v>199</v>
      </c>
      <c r="I1370" s="20" t="s">
        <v>5612</v>
      </c>
      <c r="J1370" s="54" t="s">
        <v>6206</v>
      </c>
      <c r="K1370" s="54" t="s">
        <v>6206</v>
      </c>
      <c r="L1370" s="23" t="s">
        <v>92</v>
      </c>
      <c r="M1370" s="24" t="s">
        <v>7738</v>
      </c>
      <c r="N1370" s="23">
        <v>18848076</v>
      </c>
      <c r="O1370" s="25" t="s">
        <v>74</v>
      </c>
      <c r="P1370" s="25" t="s">
        <v>53</v>
      </c>
      <c r="Q1370" s="20" t="s">
        <v>6207</v>
      </c>
      <c r="R1370" s="20">
        <v>44114516</v>
      </c>
      <c r="S1370" s="25" t="s">
        <v>55</v>
      </c>
      <c r="T1370" s="44" t="s">
        <v>56</v>
      </c>
      <c r="U1370" s="23">
        <v>865356065729469</v>
      </c>
      <c r="V1370" s="27" t="s">
        <v>183</v>
      </c>
      <c r="W1370" s="20" t="s">
        <v>129</v>
      </c>
      <c r="X1370" s="20" t="s">
        <v>130</v>
      </c>
      <c r="Y1370" s="20" t="s">
        <v>130</v>
      </c>
      <c r="Z1370" s="20" t="s">
        <v>60</v>
      </c>
      <c r="AA1370" s="20" t="s">
        <v>61</v>
      </c>
      <c r="AB1370" s="20" t="s">
        <v>96</v>
      </c>
      <c r="AC1370" s="28">
        <v>369.83</v>
      </c>
      <c r="AD1370" s="28">
        <f>SUM(BASE[[#This Row],[MONTO DE RENTA ]]*1.16)</f>
        <v>429.00279999999998</v>
      </c>
      <c r="AE1370" s="28" t="s">
        <v>63</v>
      </c>
      <c r="AF1370" s="28">
        <v>369.82758620689657</v>
      </c>
      <c r="AG1370" s="28">
        <v>429</v>
      </c>
      <c r="AH1370" s="22" t="s">
        <v>116</v>
      </c>
      <c r="AI1370" s="63">
        <v>45685</v>
      </c>
      <c r="AJ1370" s="63">
        <v>46050</v>
      </c>
      <c r="AK137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370" s="20"/>
      <c r="AM1370" s="30"/>
      <c r="AN1370" s="20" t="s">
        <v>99</v>
      </c>
      <c r="AO1370" s="20"/>
      <c r="AP1370" s="20" t="s">
        <v>84</v>
      </c>
      <c r="AQ1370" s="20" t="s">
        <v>100</v>
      </c>
    </row>
    <row r="1371" spans="1:43" ht="16">
      <c r="A1371" s="20">
        <v>8119176861</v>
      </c>
      <c r="B1371" s="21">
        <v>6337</v>
      </c>
      <c r="C1371" s="20" t="s">
        <v>6208</v>
      </c>
      <c r="D1371" s="20" t="s">
        <v>580</v>
      </c>
      <c r="E1371" s="20" t="s">
        <v>45</v>
      </c>
      <c r="F1371" s="20" t="s">
        <v>6209</v>
      </c>
      <c r="G1371" s="20" t="s">
        <v>6209</v>
      </c>
      <c r="H1371" s="20" t="s">
        <v>208</v>
      </c>
      <c r="I1371" s="20" t="s">
        <v>6209</v>
      </c>
      <c r="J1371" s="54" t="s">
        <v>6210</v>
      </c>
      <c r="K1371" s="54" t="s">
        <v>6210</v>
      </c>
      <c r="L1371" s="23" t="s">
        <v>92</v>
      </c>
      <c r="M1371" s="24" t="s">
        <v>7738</v>
      </c>
      <c r="N1371" s="23">
        <v>18848052</v>
      </c>
      <c r="O1371" s="25" t="s">
        <v>74</v>
      </c>
      <c r="P1371" s="25" t="s">
        <v>53</v>
      </c>
      <c r="Q1371" s="20" t="s">
        <v>6211</v>
      </c>
      <c r="R1371" s="20">
        <v>44918876</v>
      </c>
      <c r="S1371" s="25" t="s">
        <v>6212</v>
      </c>
      <c r="T1371" s="44" t="s">
        <v>77</v>
      </c>
      <c r="U1371" s="23">
        <v>359928213753402</v>
      </c>
      <c r="V1371" s="27" t="s">
        <v>78</v>
      </c>
      <c r="W1371" s="20" t="s">
        <v>79</v>
      </c>
      <c r="X1371" s="20" t="s">
        <v>79</v>
      </c>
      <c r="Y1371" s="20" t="s">
        <v>79</v>
      </c>
      <c r="Z1371" s="20" t="s">
        <v>167</v>
      </c>
      <c r="AA1371" s="20" t="s">
        <v>168</v>
      </c>
      <c r="AB1371" s="20" t="s">
        <v>82</v>
      </c>
      <c r="AC1371" s="28">
        <v>559.48</v>
      </c>
      <c r="AD1371" s="28">
        <f>SUM(BASE[[#This Row],[MONTO DE RENTA ]]*1.16)</f>
        <v>648.99680000000001</v>
      </c>
      <c r="AE1371" s="28" t="s">
        <v>83</v>
      </c>
      <c r="AF1371" s="28">
        <v>559.48275862068965</v>
      </c>
      <c r="AG1371" s="28">
        <v>649</v>
      </c>
      <c r="AH1371" s="22" t="s">
        <v>116</v>
      </c>
      <c r="AI1371" s="63">
        <v>45797</v>
      </c>
      <c r="AJ1371" s="63">
        <v>46527</v>
      </c>
      <c r="AK1371" s="30">
        <f ca="1">IFERROR(IF(BASE[[#This Row],[FECHA DE RENOVACION ]]&gt;TODAY(), DATEDIF(TODAY(),BASE[[#This Row],[FECHA DE RENOVACION ]],"M"), -DATEDIF(BASE[[#This Row],[FECHA DE RENOVACION ]],TODAY(),"M")), "Sin fecha")</f>
        <v>14</v>
      </c>
      <c r="AL1371" s="20">
        <v>18848052</v>
      </c>
      <c r="AM1371" s="30"/>
      <c r="AN1371" s="20" t="s">
        <v>65</v>
      </c>
      <c r="AP1371" s="20" t="s">
        <v>84</v>
      </c>
    </row>
    <row r="1372" spans="1:43" ht="16">
      <c r="A1372" s="20">
        <v>8110359097</v>
      </c>
      <c r="B1372" s="49">
        <v>1052642</v>
      </c>
      <c r="C1372" s="20" t="s">
        <v>1735</v>
      </c>
      <c r="D1372" s="20" t="s">
        <v>6213</v>
      </c>
      <c r="E1372" s="20" t="s">
        <v>432</v>
      </c>
      <c r="F1372" s="20" t="s">
        <v>6214</v>
      </c>
      <c r="G1372" s="20" t="s">
        <v>6214</v>
      </c>
      <c r="H1372" s="20" t="s">
        <v>208</v>
      </c>
      <c r="I1372" s="20" t="s">
        <v>6214</v>
      </c>
      <c r="J1372" s="54" t="s">
        <v>6215</v>
      </c>
      <c r="K1372" s="54" t="s">
        <v>6215</v>
      </c>
      <c r="L1372" s="23" t="s">
        <v>92</v>
      </c>
      <c r="M1372" s="24" t="s">
        <v>7738</v>
      </c>
      <c r="N1372" s="23">
        <v>18848052</v>
      </c>
      <c r="O1372" s="25" t="s">
        <v>74</v>
      </c>
      <c r="P1372" s="25" t="s">
        <v>53</v>
      </c>
      <c r="Q1372" s="20" t="s">
        <v>6216</v>
      </c>
      <c r="R1372" s="20">
        <v>44114343</v>
      </c>
      <c r="S1372" s="25" t="s">
        <v>55</v>
      </c>
      <c r="T1372" s="65" t="s">
        <v>56</v>
      </c>
      <c r="U1372" s="23">
        <v>860900060885068</v>
      </c>
      <c r="V1372" s="27" t="s">
        <v>57</v>
      </c>
      <c r="W1372" s="20" t="s">
        <v>58</v>
      </c>
      <c r="X1372" s="20" t="s">
        <v>59</v>
      </c>
      <c r="Y1372" s="20" t="s">
        <v>59</v>
      </c>
      <c r="Z1372" s="20" t="s">
        <v>60</v>
      </c>
      <c r="AA1372" s="20" t="s">
        <v>61</v>
      </c>
      <c r="AB1372" s="20" t="s">
        <v>96</v>
      </c>
      <c r="AC1372" s="28">
        <v>369.83</v>
      </c>
      <c r="AD1372" s="28">
        <f>SUM(BASE[[#This Row],[MONTO DE RENTA ]]*1.16)</f>
        <v>429.00279999999998</v>
      </c>
      <c r="AE1372" s="28" t="s">
        <v>63</v>
      </c>
      <c r="AF1372" s="28">
        <v>369.82758620689657</v>
      </c>
      <c r="AG1372" s="28">
        <v>429</v>
      </c>
      <c r="AH1372" s="22" t="s">
        <v>116</v>
      </c>
      <c r="AI1372" s="63">
        <v>45588</v>
      </c>
      <c r="AJ1372" s="63">
        <v>46402</v>
      </c>
      <c r="AK137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372" s="30"/>
      <c r="AN1372" s="20" t="s">
        <v>65</v>
      </c>
      <c r="AP1372" s="20" t="s">
        <v>84</v>
      </c>
    </row>
    <row r="1373" spans="1:43" ht="16">
      <c r="A1373" s="20">
        <v>8112064116</v>
      </c>
      <c r="B1373" s="49">
        <v>6856</v>
      </c>
      <c r="C1373" s="20" t="s">
        <v>6217</v>
      </c>
      <c r="D1373" s="20" t="s">
        <v>6218</v>
      </c>
      <c r="E1373" s="20" t="s">
        <v>6219</v>
      </c>
      <c r="F1373" s="20" t="s">
        <v>5890</v>
      </c>
      <c r="G1373" s="20" t="s">
        <v>5890</v>
      </c>
      <c r="H1373" s="20" t="s">
        <v>199</v>
      </c>
      <c r="I1373" s="20" t="s">
        <v>5890</v>
      </c>
      <c r="J1373" s="22" t="s">
        <v>6220</v>
      </c>
      <c r="K1373" s="22" t="s">
        <v>6221</v>
      </c>
      <c r="L1373" s="23" t="s">
        <v>92</v>
      </c>
      <c r="M1373" s="24" t="s">
        <v>7738</v>
      </c>
      <c r="N1373" s="23">
        <v>18848076</v>
      </c>
      <c r="O1373" s="25" t="s">
        <v>74</v>
      </c>
      <c r="P1373" s="25" t="s">
        <v>53</v>
      </c>
      <c r="Q1373" s="20" t="s">
        <v>6222</v>
      </c>
      <c r="R1373" s="20">
        <v>43090354</v>
      </c>
      <c r="S1373" s="25" t="s">
        <v>55</v>
      </c>
      <c r="T1373" s="26" t="s">
        <v>56</v>
      </c>
      <c r="U1373" s="23">
        <v>357654177650507</v>
      </c>
      <c r="V1373" s="27" t="s">
        <v>78</v>
      </c>
      <c r="W1373" s="20" t="s">
        <v>95</v>
      </c>
      <c r="X1373" s="20" t="s">
        <v>95</v>
      </c>
      <c r="Y1373" s="20" t="s">
        <v>95</v>
      </c>
      <c r="Z1373" s="20" t="s">
        <v>60</v>
      </c>
      <c r="AA1373" s="20" t="s">
        <v>61</v>
      </c>
      <c r="AB1373" s="20" t="s">
        <v>82</v>
      </c>
      <c r="AC1373" s="28">
        <v>559.48</v>
      </c>
      <c r="AD1373" s="28">
        <f>SUM(BASE[[#This Row],[MONTO DE RENTA ]]*1.16)</f>
        <v>648.99680000000001</v>
      </c>
      <c r="AE1373" s="28" t="s">
        <v>83</v>
      </c>
      <c r="AF1373" s="28">
        <v>559.48275862068965</v>
      </c>
      <c r="AG1373" s="28">
        <v>649</v>
      </c>
      <c r="AI1373" s="63">
        <v>44937</v>
      </c>
      <c r="AJ1373" s="73">
        <v>46043</v>
      </c>
      <c r="AK13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73" s="30"/>
      <c r="AN1373" s="20" t="s">
        <v>99</v>
      </c>
      <c r="AP1373" s="20" t="s">
        <v>84</v>
      </c>
      <c r="AQ1373" s="20" t="s">
        <v>100</v>
      </c>
    </row>
    <row r="1374" spans="1:43" ht="16">
      <c r="A1374" s="20">
        <v>8112197367</v>
      </c>
      <c r="B1374" s="49">
        <v>4096</v>
      </c>
      <c r="C1374" s="20" t="s">
        <v>328</v>
      </c>
      <c r="D1374" s="20" t="s">
        <v>6223</v>
      </c>
      <c r="E1374" s="20" t="s">
        <v>6224</v>
      </c>
      <c r="F1374" s="20" t="s">
        <v>6225</v>
      </c>
      <c r="G1374" s="20" t="s">
        <v>6225</v>
      </c>
      <c r="H1374" s="20" t="s">
        <v>155</v>
      </c>
      <c r="I1374" s="20" t="s">
        <v>6225</v>
      </c>
      <c r="J1374" s="32" t="s">
        <v>6226</v>
      </c>
      <c r="K1374" s="32" t="s">
        <v>6226</v>
      </c>
      <c r="L1374" s="23" t="s">
        <v>92</v>
      </c>
      <c r="M1374" s="24" t="s">
        <v>7738</v>
      </c>
      <c r="N1374" s="23">
        <v>18848002</v>
      </c>
      <c r="O1374" s="25" t="s">
        <v>74</v>
      </c>
      <c r="P1374" s="25" t="s">
        <v>53</v>
      </c>
      <c r="Q1374" s="20" t="s">
        <v>6227</v>
      </c>
      <c r="R1374" s="20">
        <v>42852695</v>
      </c>
      <c r="S1374" s="25" t="s">
        <v>6228</v>
      </c>
      <c r="T1374" s="26" t="s">
        <v>77</v>
      </c>
      <c r="U1374" s="23" t="s">
        <v>193</v>
      </c>
      <c r="V1374" s="27" t="s">
        <v>78</v>
      </c>
      <c r="W1374" s="20" t="s">
        <v>194</v>
      </c>
      <c r="X1374" s="20" t="s">
        <v>194</v>
      </c>
      <c r="Y1374" s="20" t="s">
        <v>194</v>
      </c>
      <c r="Z1374" s="20" t="s">
        <v>60</v>
      </c>
      <c r="AA1374" s="20" t="s">
        <v>61</v>
      </c>
      <c r="AB1374" s="20" t="s">
        <v>5457</v>
      </c>
      <c r="AC1374" s="28">
        <v>602.59</v>
      </c>
      <c r="AD1374" s="28">
        <f>SUM(BASE[[#This Row],[MONTO DE RENTA ]]*1.16)</f>
        <v>699.00440000000003</v>
      </c>
      <c r="AE1374" s="28" t="s">
        <v>83</v>
      </c>
      <c r="AF1374" s="28">
        <v>559.48275862068965</v>
      </c>
      <c r="AG1374" s="28">
        <v>649</v>
      </c>
      <c r="AI1374" s="63">
        <v>44937</v>
      </c>
      <c r="AJ1374" s="73">
        <v>46043</v>
      </c>
      <c r="AK137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74" s="30" t="s">
        <v>5952</v>
      </c>
      <c r="AN1374" s="20" t="s">
        <v>99</v>
      </c>
      <c r="AP1374" s="20" t="s">
        <v>84</v>
      </c>
      <c r="AQ1374" s="20" t="s">
        <v>100</v>
      </c>
    </row>
    <row r="1375" spans="1:43" ht="16">
      <c r="A1375" s="20">
        <v>8126810917</v>
      </c>
      <c r="B1375" s="49">
        <v>1007595</v>
      </c>
      <c r="C1375" s="20" t="s">
        <v>6229</v>
      </c>
      <c r="D1375" s="20" t="s">
        <v>1789</v>
      </c>
      <c r="E1375" s="20" t="s">
        <v>6230</v>
      </c>
      <c r="F1375" s="20" t="s">
        <v>6231</v>
      </c>
      <c r="G1375" s="20" t="s">
        <v>6231</v>
      </c>
      <c r="H1375" s="20" t="s">
        <v>155</v>
      </c>
      <c r="I1375" s="20" t="s">
        <v>6231</v>
      </c>
      <c r="J1375" s="22" t="s">
        <v>6232</v>
      </c>
      <c r="K1375" s="32" t="s">
        <v>6233</v>
      </c>
      <c r="L1375" s="23" t="s">
        <v>92</v>
      </c>
      <c r="M1375" s="24" t="s">
        <v>7738</v>
      </c>
      <c r="N1375" s="23">
        <v>18848059</v>
      </c>
      <c r="O1375" s="25" t="s">
        <v>74</v>
      </c>
      <c r="P1375" s="25" t="s">
        <v>53</v>
      </c>
      <c r="Q1375" s="20" t="s">
        <v>6234</v>
      </c>
      <c r="R1375" s="20">
        <v>44114454</v>
      </c>
      <c r="S1375" s="25" t="s">
        <v>55</v>
      </c>
      <c r="T1375" s="26" t="s">
        <v>56</v>
      </c>
      <c r="U1375" s="23">
        <v>865356065730160</v>
      </c>
      <c r="V1375" s="27" t="s">
        <v>183</v>
      </c>
      <c r="W1375" s="20" t="s">
        <v>129</v>
      </c>
      <c r="X1375" s="20" t="s">
        <v>130</v>
      </c>
      <c r="Y1375" s="20" t="s">
        <v>130</v>
      </c>
      <c r="Z1375" s="20" t="s">
        <v>60</v>
      </c>
      <c r="AA1375" s="20" t="s">
        <v>61</v>
      </c>
      <c r="AB1375" s="20" t="s">
        <v>96</v>
      </c>
      <c r="AC1375" s="28">
        <v>369.83</v>
      </c>
      <c r="AD1375" s="28">
        <f>SUM(BASE[[#This Row],[MONTO DE RENTA ]]*1.16)</f>
        <v>429.00279999999998</v>
      </c>
      <c r="AE1375" s="28" t="s">
        <v>63</v>
      </c>
      <c r="AF1375" s="28">
        <v>369.82758620689657</v>
      </c>
      <c r="AG1375" s="28">
        <v>429</v>
      </c>
      <c r="AI1375" s="63">
        <v>44937</v>
      </c>
      <c r="AJ1375" s="73">
        <v>46043</v>
      </c>
      <c r="AK13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75" s="30"/>
      <c r="AN1375" s="20" t="s">
        <v>99</v>
      </c>
      <c r="AP1375" s="20" t="s">
        <v>84</v>
      </c>
      <c r="AQ1375" s="20" t="s">
        <v>100</v>
      </c>
    </row>
    <row r="1376" spans="1:43" ht="16">
      <c r="A1376" s="20">
        <v>8115447726</v>
      </c>
      <c r="B1376" s="49">
        <v>4061</v>
      </c>
      <c r="C1376" s="20" t="s">
        <v>6235</v>
      </c>
      <c r="D1376" s="20" t="s">
        <v>6236</v>
      </c>
      <c r="E1376" s="20" t="s">
        <v>143</v>
      </c>
      <c r="F1376" s="20" t="s">
        <v>6237</v>
      </c>
      <c r="G1376" s="20" t="s">
        <v>6237</v>
      </c>
      <c r="H1376" s="20" t="s">
        <v>5289</v>
      </c>
      <c r="I1376" s="20" t="s">
        <v>6237</v>
      </c>
      <c r="J1376" s="22" t="s">
        <v>6238</v>
      </c>
      <c r="K1376" s="22" t="s">
        <v>6239</v>
      </c>
      <c r="L1376" s="23" t="s">
        <v>92</v>
      </c>
      <c r="M1376" s="24" t="s">
        <v>7738</v>
      </c>
      <c r="N1376" s="23">
        <v>18848027</v>
      </c>
      <c r="O1376" s="25" t="s">
        <v>74</v>
      </c>
      <c r="P1376" s="25" t="s">
        <v>53</v>
      </c>
      <c r="Q1376" s="20" t="s">
        <v>6240</v>
      </c>
      <c r="R1376" s="20">
        <v>44026633</v>
      </c>
      <c r="S1376" s="25" t="s">
        <v>55</v>
      </c>
      <c r="T1376" s="26" t="s">
        <v>56</v>
      </c>
      <c r="U1376" s="23">
        <v>357894929764855</v>
      </c>
      <c r="V1376" s="27" t="s">
        <v>78</v>
      </c>
      <c r="W1376" s="20" t="s">
        <v>95</v>
      </c>
      <c r="X1376" s="20" t="s">
        <v>95</v>
      </c>
      <c r="Y1376" s="20" t="s">
        <v>95</v>
      </c>
      <c r="Z1376" s="20" t="s">
        <v>60</v>
      </c>
      <c r="AA1376" s="20" t="s">
        <v>61</v>
      </c>
      <c r="AB1376" s="20" t="s">
        <v>82</v>
      </c>
      <c r="AC1376" s="28">
        <v>559.48</v>
      </c>
      <c r="AD1376" s="28">
        <f>SUM(BASE[[#This Row],[MONTO DE RENTA ]]*1.16)</f>
        <v>648.99680000000001</v>
      </c>
      <c r="AE1376" s="28" t="s">
        <v>83</v>
      </c>
      <c r="AF1376" s="28">
        <v>559.48275862068965</v>
      </c>
      <c r="AG1376" s="28">
        <v>649</v>
      </c>
      <c r="AI1376" s="63">
        <v>44937</v>
      </c>
      <c r="AJ1376" s="73">
        <v>46043</v>
      </c>
      <c r="AK13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76" s="30"/>
      <c r="AN1376" s="20" t="s">
        <v>99</v>
      </c>
      <c r="AP1376" s="20" t="s">
        <v>84</v>
      </c>
      <c r="AQ1376" s="20" t="s">
        <v>100</v>
      </c>
    </row>
    <row r="1377" spans="1:43" ht="16">
      <c r="A1377" s="20">
        <v>8181896337</v>
      </c>
      <c r="B1377" s="106">
        <v>1078528</v>
      </c>
      <c r="C1377" s="20" t="s">
        <v>742</v>
      </c>
      <c r="D1377" s="20" t="s">
        <v>5369</v>
      </c>
      <c r="E1377" s="20" t="s">
        <v>152</v>
      </c>
      <c r="F1377" s="20" t="s">
        <v>5326</v>
      </c>
      <c r="G1377" s="20" t="s">
        <v>5326</v>
      </c>
      <c r="H1377" s="20" t="s">
        <v>155</v>
      </c>
      <c r="I1377" s="20" t="s">
        <v>5326</v>
      </c>
      <c r="J1377" s="54" t="s">
        <v>6241</v>
      </c>
      <c r="K1377" s="54" t="s">
        <v>6241</v>
      </c>
      <c r="L1377" s="23" t="s">
        <v>92</v>
      </c>
      <c r="M1377" s="24" t="s">
        <v>7738</v>
      </c>
      <c r="N1377" s="23">
        <v>18848013</v>
      </c>
      <c r="O1377" s="25" t="s">
        <v>74</v>
      </c>
      <c r="P1377" s="25" t="s">
        <v>53</v>
      </c>
      <c r="Q1377" s="20" t="s">
        <v>6242</v>
      </c>
      <c r="R1377" s="20">
        <v>43163508</v>
      </c>
      <c r="S1377" s="25" t="s">
        <v>4421</v>
      </c>
      <c r="T1377" s="44" t="s">
        <v>57</v>
      </c>
      <c r="U1377" s="23">
        <v>860900062338793</v>
      </c>
      <c r="V1377" s="27" t="s">
        <v>183</v>
      </c>
      <c r="W1377" s="20" t="s">
        <v>58</v>
      </c>
      <c r="X1377" s="20" t="s">
        <v>59</v>
      </c>
      <c r="Y1377" s="20" t="s">
        <v>59</v>
      </c>
      <c r="Z1377" s="20" t="s">
        <v>131</v>
      </c>
      <c r="AA1377" s="20" t="s">
        <v>132</v>
      </c>
      <c r="AB1377" s="20" t="s">
        <v>96</v>
      </c>
      <c r="AC1377" s="28">
        <v>369.83</v>
      </c>
      <c r="AD1377" s="28">
        <f>SUM(BASE[[#This Row],[MONTO DE RENTA ]]*1.16)</f>
        <v>429.00279999999998</v>
      </c>
      <c r="AE1377" s="28" t="s">
        <v>63</v>
      </c>
      <c r="AF1377" s="28">
        <v>369.82758620689657</v>
      </c>
      <c r="AG1377" s="28">
        <v>429</v>
      </c>
      <c r="AH1377" s="22" t="s">
        <v>98</v>
      </c>
      <c r="AI1377" s="63">
        <v>45875</v>
      </c>
      <c r="AJ1377" s="63">
        <v>46605</v>
      </c>
      <c r="AK1377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377" s="20">
        <v>18848013</v>
      </c>
      <c r="AM1377" s="30"/>
      <c r="AN1377" s="20" t="s">
        <v>65</v>
      </c>
      <c r="AP1377" s="20" t="s">
        <v>84</v>
      </c>
    </row>
    <row r="1378" spans="1:43" ht="16">
      <c r="A1378" s="20">
        <v>8115999527</v>
      </c>
      <c r="B1378" s="49">
        <v>1021851</v>
      </c>
      <c r="C1378" s="20" t="s">
        <v>6243</v>
      </c>
      <c r="D1378" s="20" t="s">
        <v>6244</v>
      </c>
      <c r="E1378" s="20" t="s">
        <v>6245</v>
      </c>
      <c r="F1378" s="20" t="s">
        <v>5689</v>
      </c>
      <c r="G1378" s="20" t="s">
        <v>5689</v>
      </c>
      <c r="H1378" s="20" t="s">
        <v>5437</v>
      </c>
      <c r="I1378" s="20" t="s">
        <v>5689</v>
      </c>
      <c r="J1378" s="22" t="s">
        <v>6246</v>
      </c>
      <c r="K1378" s="22" t="s">
        <v>6247</v>
      </c>
      <c r="L1378" s="23" t="s">
        <v>92</v>
      </c>
      <c r="M1378" s="24" t="s">
        <v>7738</v>
      </c>
      <c r="N1378" s="23">
        <v>18848063</v>
      </c>
      <c r="O1378" s="25" t="s">
        <v>74</v>
      </c>
      <c r="P1378" s="25" t="s">
        <v>53</v>
      </c>
      <c r="Q1378" s="20" t="s">
        <v>6248</v>
      </c>
      <c r="R1378" s="20">
        <v>42920416</v>
      </c>
      <c r="S1378" s="25" t="s">
        <v>55</v>
      </c>
      <c r="T1378" s="26" t="s">
        <v>56</v>
      </c>
      <c r="U1378" s="23">
        <v>357894929525306</v>
      </c>
      <c r="V1378" s="27" t="s">
        <v>78</v>
      </c>
      <c r="W1378" s="20" t="s">
        <v>95</v>
      </c>
      <c r="X1378" s="20" t="s">
        <v>95</v>
      </c>
      <c r="Y1378" s="20" t="s">
        <v>95</v>
      </c>
      <c r="Z1378" s="20" t="s">
        <v>584</v>
      </c>
      <c r="AA1378" s="20" t="s">
        <v>585</v>
      </c>
      <c r="AB1378" s="20" t="s">
        <v>82</v>
      </c>
      <c r="AC1378" s="28">
        <v>559.48</v>
      </c>
      <c r="AD1378" s="28">
        <f>SUM(BASE[[#This Row],[MONTO DE RENTA ]]*1.16)</f>
        <v>648.99680000000001</v>
      </c>
      <c r="AE1378" s="28" t="s">
        <v>83</v>
      </c>
      <c r="AF1378" s="28">
        <v>559.48275862068965</v>
      </c>
      <c r="AG1378" s="28">
        <v>649</v>
      </c>
      <c r="AI1378" s="63">
        <v>44937</v>
      </c>
      <c r="AJ1378" s="73">
        <v>46043</v>
      </c>
      <c r="AK13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78" s="30"/>
      <c r="AN1378" s="20" t="s">
        <v>99</v>
      </c>
      <c r="AP1378" s="20" t="s">
        <v>84</v>
      </c>
      <c r="AQ1378" s="20" t="s">
        <v>100</v>
      </c>
    </row>
    <row r="1379" spans="1:43" ht="16">
      <c r="A1379" s="20">
        <v>8118249649</v>
      </c>
      <c r="B1379" s="21">
        <v>1013712</v>
      </c>
      <c r="C1379" s="20" t="s">
        <v>6249</v>
      </c>
      <c r="D1379" s="20" t="s">
        <v>657</v>
      </c>
      <c r="E1379" s="20" t="s">
        <v>405</v>
      </c>
      <c r="F1379" s="20" t="s">
        <v>5329</v>
      </c>
      <c r="G1379" s="20" t="s">
        <v>5329</v>
      </c>
      <c r="H1379" s="20" t="s">
        <v>155</v>
      </c>
      <c r="I1379" s="20" t="s">
        <v>5329</v>
      </c>
      <c r="J1379" s="22" t="s">
        <v>6250</v>
      </c>
      <c r="K1379" s="32" t="s">
        <v>6251</v>
      </c>
      <c r="L1379" s="23" t="s">
        <v>92</v>
      </c>
      <c r="M1379" s="24" t="s">
        <v>7738</v>
      </c>
      <c r="N1379" s="23">
        <v>18848003</v>
      </c>
      <c r="O1379" s="25" t="s">
        <v>74</v>
      </c>
      <c r="P1379" s="25" t="s">
        <v>53</v>
      </c>
      <c r="Q1379" s="20" t="s">
        <v>6252</v>
      </c>
      <c r="R1379" s="20">
        <v>42888676</v>
      </c>
      <c r="S1379" s="25" t="s">
        <v>6253</v>
      </c>
      <c r="T1379" s="26" t="s">
        <v>57</v>
      </c>
      <c r="U1379" s="23">
        <v>860900062238563</v>
      </c>
      <c r="V1379" s="27" t="s">
        <v>57</v>
      </c>
      <c r="W1379" s="20" t="s">
        <v>58</v>
      </c>
      <c r="X1379" s="20" t="s">
        <v>59</v>
      </c>
      <c r="Y1379" s="20" t="s">
        <v>59</v>
      </c>
      <c r="Z1379" s="20" t="s">
        <v>131</v>
      </c>
      <c r="AA1379" s="20" t="s">
        <v>132</v>
      </c>
      <c r="AB1379" s="20" t="s">
        <v>96</v>
      </c>
      <c r="AC1379" s="28">
        <v>369.83</v>
      </c>
      <c r="AD1379" s="28">
        <f>SUM(BASE[[#This Row],[MONTO DE RENTA ]]*1.16)</f>
        <v>429.00279999999998</v>
      </c>
      <c r="AE1379" s="28" t="s">
        <v>63</v>
      </c>
      <c r="AF1379" s="28">
        <v>369.82758620689657</v>
      </c>
      <c r="AG1379" s="28">
        <v>429</v>
      </c>
      <c r="AH1379" s="22" t="s">
        <v>64</v>
      </c>
      <c r="AI1379" s="63">
        <v>45703</v>
      </c>
      <c r="AJ1379" s="63">
        <v>46433</v>
      </c>
      <c r="AK13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79" s="30"/>
      <c r="AN1379" s="20" t="s">
        <v>65</v>
      </c>
      <c r="AP1379" s="20" t="s">
        <v>84</v>
      </c>
    </row>
    <row r="1380" spans="1:43" ht="16">
      <c r="A1380" s="171">
        <v>8182591032</v>
      </c>
      <c r="B1380" s="213">
        <v>1019163</v>
      </c>
      <c r="C1380" s="20" t="s">
        <v>2771</v>
      </c>
      <c r="D1380" s="20" t="s">
        <v>6254</v>
      </c>
      <c r="E1380" s="20" t="s">
        <v>5393</v>
      </c>
      <c r="F1380" s="20" t="s">
        <v>6255</v>
      </c>
      <c r="G1380" s="20" t="s">
        <v>6255</v>
      </c>
      <c r="H1380" s="20" t="s">
        <v>5289</v>
      </c>
      <c r="I1380" s="20" t="s">
        <v>6255</v>
      </c>
      <c r="J1380" s="175" t="s">
        <v>6256</v>
      </c>
      <c r="K1380" s="289" t="s">
        <v>6256</v>
      </c>
      <c r="L1380" s="23" t="s">
        <v>92</v>
      </c>
      <c r="M1380" s="24" t="s">
        <v>7738</v>
      </c>
      <c r="N1380" s="23">
        <v>18848004</v>
      </c>
      <c r="O1380" s="25" t="s">
        <v>74</v>
      </c>
      <c r="P1380" s="25" t="s">
        <v>53</v>
      </c>
      <c r="Q1380" s="20" t="s">
        <v>6257</v>
      </c>
      <c r="R1380" s="20">
        <v>863548</v>
      </c>
      <c r="S1380" s="25" t="s">
        <v>6258</v>
      </c>
      <c r="T1380" s="290" t="s">
        <v>77</v>
      </c>
      <c r="U1380" s="23">
        <v>357002330557724</v>
      </c>
      <c r="V1380" s="27" t="s">
        <v>78</v>
      </c>
      <c r="W1380" s="20" t="s">
        <v>6259</v>
      </c>
      <c r="X1380" s="20" t="s">
        <v>6259</v>
      </c>
      <c r="Y1380" s="20" t="s">
        <v>6259</v>
      </c>
      <c r="Z1380" s="20" t="s">
        <v>167</v>
      </c>
      <c r="AA1380" s="20" t="s">
        <v>132</v>
      </c>
      <c r="AB1380" s="20" t="s">
        <v>82</v>
      </c>
      <c r="AC1380" s="28">
        <v>559.48</v>
      </c>
      <c r="AD1380" s="28">
        <f>SUM(BASE[[#This Row],[MONTO DE RENTA ]]*1.16)</f>
        <v>648.99680000000001</v>
      </c>
      <c r="AE1380" s="28" t="s">
        <v>83</v>
      </c>
      <c r="AF1380" s="28">
        <v>559.48275862068965</v>
      </c>
      <c r="AG1380" s="28">
        <v>649</v>
      </c>
      <c r="AH1380" s="22" t="s">
        <v>64</v>
      </c>
      <c r="AI1380" s="63">
        <v>45703</v>
      </c>
      <c r="AJ1380" s="84">
        <v>46408</v>
      </c>
      <c r="AK1380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380" s="171"/>
      <c r="AM1380" s="30" t="s">
        <v>5952</v>
      </c>
      <c r="AN1380" s="20" t="s">
        <v>65</v>
      </c>
      <c r="AP1380" s="20" t="s">
        <v>84</v>
      </c>
    </row>
    <row r="1381" spans="1:43" ht="16">
      <c r="A1381" s="20">
        <v>8120395466</v>
      </c>
      <c r="B1381" s="49">
        <v>40371</v>
      </c>
      <c r="C1381" s="20" t="s">
        <v>1820</v>
      </c>
      <c r="D1381" s="20" t="s">
        <v>6260</v>
      </c>
      <c r="E1381" s="20" t="s">
        <v>3189</v>
      </c>
      <c r="F1381" s="20" t="s">
        <v>5334</v>
      </c>
      <c r="G1381" s="20" t="s">
        <v>5334</v>
      </c>
      <c r="H1381" s="20" t="s">
        <v>5320</v>
      </c>
      <c r="I1381" s="20" t="s">
        <v>5334</v>
      </c>
      <c r="J1381" s="22" t="s">
        <v>6261</v>
      </c>
      <c r="K1381" s="22" t="s">
        <v>6262</v>
      </c>
      <c r="L1381" s="23" t="s">
        <v>92</v>
      </c>
      <c r="M1381" s="24" t="s">
        <v>7738</v>
      </c>
      <c r="N1381" s="23">
        <v>18848070</v>
      </c>
      <c r="O1381" s="25" t="s">
        <v>74</v>
      </c>
      <c r="P1381" s="25" t="s">
        <v>53</v>
      </c>
      <c r="Q1381" s="20" t="s">
        <v>6263</v>
      </c>
      <c r="R1381" s="20">
        <v>43662365</v>
      </c>
      <c r="S1381" s="25" t="s">
        <v>55</v>
      </c>
      <c r="T1381" s="26" t="s">
        <v>56</v>
      </c>
      <c r="U1381" s="23">
        <v>357894929826787</v>
      </c>
      <c r="V1381" s="27" t="s">
        <v>78</v>
      </c>
      <c r="W1381" s="20" t="s">
        <v>95</v>
      </c>
      <c r="X1381" s="20" t="s">
        <v>95</v>
      </c>
      <c r="Y1381" s="20" t="s">
        <v>95</v>
      </c>
      <c r="Z1381" s="20" t="s">
        <v>584</v>
      </c>
      <c r="AA1381" s="20" t="s">
        <v>585</v>
      </c>
      <c r="AB1381" s="20" t="s">
        <v>82</v>
      </c>
      <c r="AC1381" s="28">
        <v>559.48</v>
      </c>
      <c r="AD1381" s="28">
        <f>SUM(BASE[[#This Row],[MONTO DE RENTA ]]*1.16)</f>
        <v>648.99680000000001</v>
      </c>
      <c r="AE1381" s="28" t="s">
        <v>83</v>
      </c>
      <c r="AF1381" s="28">
        <v>559.48275862068965</v>
      </c>
      <c r="AG1381" s="28">
        <v>649</v>
      </c>
      <c r="AI1381" s="63">
        <v>44937</v>
      </c>
      <c r="AJ1381" s="73">
        <v>46043</v>
      </c>
      <c r="AK138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81" s="30"/>
      <c r="AN1381" s="20" t="s">
        <v>99</v>
      </c>
      <c r="AP1381" s="20" t="s">
        <v>84</v>
      </c>
      <c r="AQ1381" s="20" t="s">
        <v>100</v>
      </c>
    </row>
    <row r="1382" spans="1:43" ht="16">
      <c r="A1382" s="20">
        <v>8113230016</v>
      </c>
      <c r="B1382" s="49">
        <v>6255</v>
      </c>
      <c r="C1382" s="20" t="s">
        <v>742</v>
      </c>
      <c r="D1382" s="20" t="s">
        <v>86</v>
      </c>
      <c r="E1382" s="20" t="s">
        <v>1100</v>
      </c>
      <c r="F1382" s="20" t="s">
        <v>5295</v>
      </c>
      <c r="G1382" s="20" t="s">
        <v>5295</v>
      </c>
      <c r="H1382" s="20" t="s">
        <v>155</v>
      </c>
      <c r="I1382" s="20" t="s">
        <v>5295</v>
      </c>
      <c r="J1382" s="22" t="s">
        <v>6264</v>
      </c>
      <c r="K1382" s="22" t="s">
        <v>6265</v>
      </c>
      <c r="L1382" s="23" t="s">
        <v>92</v>
      </c>
      <c r="M1382" s="24" t="s">
        <v>7738</v>
      </c>
      <c r="N1382" s="23">
        <v>18848003</v>
      </c>
      <c r="O1382" s="25" t="s">
        <v>74</v>
      </c>
      <c r="P1382" s="25" t="s">
        <v>53</v>
      </c>
      <c r="Q1382" s="20" t="s">
        <v>6266</v>
      </c>
      <c r="R1382" s="20">
        <v>42896244</v>
      </c>
      <c r="S1382" s="25" t="s">
        <v>55</v>
      </c>
      <c r="T1382" s="26" t="s">
        <v>56</v>
      </c>
      <c r="U1382" s="23">
        <v>357654178184597</v>
      </c>
      <c r="V1382" s="27" t="s">
        <v>78</v>
      </c>
      <c r="W1382" s="20" t="s">
        <v>95</v>
      </c>
      <c r="X1382" s="20" t="s">
        <v>95</v>
      </c>
      <c r="Y1382" s="20" t="s">
        <v>95</v>
      </c>
      <c r="Z1382" s="20" t="s">
        <v>60</v>
      </c>
      <c r="AA1382" s="20" t="s">
        <v>61</v>
      </c>
      <c r="AB1382" s="20" t="s">
        <v>82</v>
      </c>
      <c r="AC1382" s="28">
        <v>559.48</v>
      </c>
      <c r="AD1382" s="28">
        <f>SUM(BASE[[#This Row],[MONTO DE RENTA ]]*1.16)</f>
        <v>648.99680000000001</v>
      </c>
      <c r="AE1382" s="28" t="s">
        <v>83</v>
      </c>
      <c r="AF1382" s="28">
        <v>559.48275862068965</v>
      </c>
      <c r="AG1382" s="28">
        <v>649</v>
      </c>
      <c r="AI1382" s="29">
        <v>44937</v>
      </c>
      <c r="AJ1382" s="50">
        <v>46043</v>
      </c>
      <c r="AK13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82" s="30"/>
      <c r="AN1382" s="20" t="s">
        <v>99</v>
      </c>
      <c r="AP1382" s="20" t="s">
        <v>84</v>
      </c>
      <c r="AQ1382" s="20" t="s">
        <v>100</v>
      </c>
    </row>
    <row r="1383" spans="1:43" s="171" customFormat="1" ht="16">
      <c r="A1383" s="20">
        <v>8113215465</v>
      </c>
      <c r="B1383" s="49">
        <v>6829</v>
      </c>
      <c r="C1383" s="20" t="s">
        <v>742</v>
      </c>
      <c r="D1383" s="20" t="s">
        <v>1433</v>
      </c>
      <c r="E1383" s="20" t="s">
        <v>186</v>
      </c>
      <c r="F1383" s="20" t="s">
        <v>6267</v>
      </c>
      <c r="G1383" s="20" t="s">
        <v>6267</v>
      </c>
      <c r="H1383" s="20" t="s">
        <v>5320</v>
      </c>
      <c r="I1383" s="20" t="s">
        <v>6267</v>
      </c>
      <c r="J1383" s="22" t="s">
        <v>6268</v>
      </c>
      <c r="K1383" s="32" t="s">
        <v>6269</v>
      </c>
      <c r="L1383" s="23" t="s">
        <v>92</v>
      </c>
      <c r="M1383" s="24" t="s">
        <v>7738</v>
      </c>
      <c r="N1383" s="23">
        <v>18848048</v>
      </c>
      <c r="O1383" s="25" t="s">
        <v>74</v>
      </c>
      <c r="P1383" s="25" t="s">
        <v>53</v>
      </c>
      <c r="Q1383" s="20" t="s">
        <v>6270</v>
      </c>
      <c r="R1383" s="20">
        <v>43056265</v>
      </c>
      <c r="S1383" s="25" t="s">
        <v>55</v>
      </c>
      <c r="T1383" s="26" t="s">
        <v>56</v>
      </c>
      <c r="U1383" s="23">
        <v>865356065720534</v>
      </c>
      <c r="V1383" s="27" t="s">
        <v>183</v>
      </c>
      <c r="W1383" s="20" t="s">
        <v>129</v>
      </c>
      <c r="X1383" s="20" t="s">
        <v>130</v>
      </c>
      <c r="Y1383" s="20" t="s">
        <v>130</v>
      </c>
      <c r="Z1383" s="20" t="s">
        <v>60</v>
      </c>
      <c r="AA1383" s="20" t="s">
        <v>61</v>
      </c>
      <c r="AB1383" s="20" t="s">
        <v>96</v>
      </c>
      <c r="AC1383" s="28">
        <v>369.83</v>
      </c>
      <c r="AD1383" s="28">
        <f>SUM(BASE[[#This Row],[MONTO DE RENTA ]]*1.16)</f>
        <v>429.00279999999998</v>
      </c>
      <c r="AE1383" s="28" t="s">
        <v>63</v>
      </c>
      <c r="AF1383" s="28">
        <v>369.82758620689657</v>
      </c>
      <c r="AG1383" s="28">
        <v>429</v>
      </c>
      <c r="AH1383" s="22"/>
      <c r="AI1383" s="63">
        <v>44937</v>
      </c>
      <c r="AJ1383" s="73">
        <v>46043</v>
      </c>
      <c r="AK13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383" s="20"/>
      <c r="AM1383" s="30"/>
      <c r="AN1383" s="20" t="s">
        <v>99</v>
      </c>
      <c r="AO1383" s="20"/>
      <c r="AP1383" s="20" t="s">
        <v>84</v>
      </c>
      <c r="AQ1383" s="20" t="s">
        <v>100</v>
      </c>
    </row>
    <row r="1384" spans="1:43" ht="16">
      <c r="A1384" s="20">
        <v>8126811396</v>
      </c>
      <c r="B1384" s="49">
        <v>1038732</v>
      </c>
      <c r="C1384" s="20" t="s">
        <v>3256</v>
      </c>
      <c r="D1384" s="20" t="s">
        <v>45</v>
      </c>
      <c r="E1384" s="20" t="s">
        <v>186</v>
      </c>
      <c r="F1384" s="20" t="s">
        <v>6271</v>
      </c>
      <c r="G1384" s="20" t="s">
        <v>6271</v>
      </c>
      <c r="H1384" s="20" t="s">
        <v>199</v>
      </c>
      <c r="I1384" s="20" t="s">
        <v>6271</v>
      </c>
      <c r="J1384" s="22" t="s">
        <v>6272</v>
      </c>
      <c r="K1384" s="32" t="s">
        <v>6273</v>
      </c>
      <c r="L1384" s="23" t="s">
        <v>92</v>
      </c>
      <c r="M1384" s="24" t="s">
        <v>7738</v>
      </c>
      <c r="N1384" s="23">
        <v>18848009</v>
      </c>
      <c r="O1384" s="25" t="s">
        <v>74</v>
      </c>
      <c r="P1384" s="25" t="s">
        <v>53</v>
      </c>
      <c r="Q1384" s="20" t="s">
        <v>6274</v>
      </c>
      <c r="R1384" s="20">
        <v>44114444</v>
      </c>
      <c r="S1384" s="25" t="s">
        <v>55</v>
      </c>
      <c r="T1384" s="26" t="s">
        <v>56</v>
      </c>
      <c r="U1384" s="23">
        <v>865356065671745</v>
      </c>
      <c r="V1384" s="27" t="s">
        <v>183</v>
      </c>
      <c r="W1384" s="20" t="s">
        <v>129</v>
      </c>
      <c r="X1384" s="20" t="s">
        <v>130</v>
      </c>
      <c r="Y1384" s="20" t="s">
        <v>130</v>
      </c>
      <c r="Z1384" s="20" t="s">
        <v>60</v>
      </c>
      <c r="AA1384" s="20" t="s">
        <v>61</v>
      </c>
      <c r="AB1384" s="20" t="s">
        <v>96</v>
      </c>
      <c r="AC1384" s="28">
        <v>369.83</v>
      </c>
      <c r="AD1384" s="28">
        <f>SUM(BASE[[#This Row],[MONTO DE RENTA ]]*1.16)</f>
        <v>429.00279999999998</v>
      </c>
      <c r="AE1384" s="28" t="s">
        <v>63</v>
      </c>
      <c r="AF1384" s="28">
        <v>369.82758620689657</v>
      </c>
      <c r="AG1384" s="28">
        <v>429</v>
      </c>
      <c r="AI1384" s="63">
        <v>44937</v>
      </c>
      <c r="AJ1384" s="73">
        <v>46043</v>
      </c>
      <c r="AK138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84" s="30"/>
      <c r="AN1384" s="20" t="s">
        <v>99</v>
      </c>
      <c r="AP1384" s="20" t="s">
        <v>84</v>
      </c>
      <c r="AQ1384" s="20" t="s">
        <v>100</v>
      </c>
    </row>
    <row r="1385" spans="1:43" ht="16">
      <c r="A1385" s="20">
        <v>8118210616</v>
      </c>
      <c r="B1385" s="49">
        <v>1023453</v>
      </c>
      <c r="C1385" s="20" t="s">
        <v>3256</v>
      </c>
      <c r="D1385" s="20" t="s">
        <v>1104</v>
      </c>
      <c r="E1385" s="20" t="s">
        <v>45</v>
      </c>
      <c r="F1385" s="20" t="s">
        <v>6275</v>
      </c>
      <c r="G1385" s="20" t="s">
        <v>6275</v>
      </c>
      <c r="H1385" s="20" t="s">
        <v>5381</v>
      </c>
      <c r="I1385" s="20" t="s">
        <v>6275</v>
      </c>
      <c r="J1385" s="22" t="s">
        <v>6276</v>
      </c>
      <c r="K1385" s="22" t="s">
        <v>6277</v>
      </c>
      <c r="L1385" s="23" t="s">
        <v>92</v>
      </c>
      <c r="M1385" s="24" t="s">
        <v>7738</v>
      </c>
      <c r="N1385" s="23">
        <v>18848025</v>
      </c>
      <c r="O1385" s="25" t="s">
        <v>74</v>
      </c>
      <c r="P1385" s="25" t="s">
        <v>53</v>
      </c>
      <c r="Q1385" s="20" t="s">
        <v>6278</v>
      </c>
      <c r="R1385" s="20">
        <v>43163443</v>
      </c>
      <c r="S1385" s="25" t="s">
        <v>55</v>
      </c>
      <c r="T1385" s="26" t="s">
        <v>56</v>
      </c>
      <c r="U1385" s="23">
        <v>357894928954408</v>
      </c>
      <c r="V1385" s="27" t="s">
        <v>78</v>
      </c>
      <c r="W1385" s="20" t="s">
        <v>95</v>
      </c>
      <c r="X1385" s="20" t="s">
        <v>95</v>
      </c>
      <c r="Y1385" s="20" t="s">
        <v>95</v>
      </c>
      <c r="Z1385" s="20" t="s">
        <v>60</v>
      </c>
      <c r="AA1385" s="20" t="s">
        <v>61</v>
      </c>
      <c r="AB1385" s="20" t="s">
        <v>82</v>
      </c>
      <c r="AC1385" s="28">
        <v>559.48</v>
      </c>
      <c r="AD1385" s="28">
        <f>SUM(BASE[[#This Row],[MONTO DE RENTA ]]*1.16)</f>
        <v>648.99680000000001</v>
      </c>
      <c r="AE1385" s="28" t="s">
        <v>83</v>
      </c>
      <c r="AF1385" s="28">
        <v>559.48275862068965</v>
      </c>
      <c r="AG1385" s="28">
        <v>649</v>
      </c>
      <c r="AI1385" s="63">
        <v>44937</v>
      </c>
      <c r="AJ1385" s="73">
        <v>46043</v>
      </c>
      <c r="AK138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85" s="30"/>
      <c r="AN1385" s="20" t="s">
        <v>99</v>
      </c>
      <c r="AP1385" s="20" t="s">
        <v>84</v>
      </c>
      <c r="AQ1385" s="20" t="s">
        <v>100</v>
      </c>
    </row>
    <row r="1386" spans="1:43" ht="16">
      <c r="A1386" s="20">
        <v>8120227850</v>
      </c>
      <c r="B1386" s="49">
        <v>94085</v>
      </c>
      <c r="C1386" s="20" t="s">
        <v>3256</v>
      </c>
      <c r="D1386" s="20" t="s">
        <v>6279</v>
      </c>
      <c r="E1386" s="20" t="s">
        <v>1789</v>
      </c>
      <c r="F1386" s="20" t="s">
        <v>6280</v>
      </c>
      <c r="G1386" s="20" t="s">
        <v>6280</v>
      </c>
      <c r="H1386" s="20" t="s">
        <v>5320</v>
      </c>
      <c r="I1386" s="20" t="s">
        <v>6280</v>
      </c>
      <c r="J1386" s="22" t="s">
        <v>6281</v>
      </c>
      <c r="K1386" s="22" t="s">
        <v>6281</v>
      </c>
      <c r="L1386" s="23" t="s">
        <v>92</v>
      </c>
      <c r="M1386" s="24" t="s">
        <v>7738</v>
      </c>
      <c r="N1386" s="23">
        <v>18848105</v>
      </c>
      <c r="O1386" s="25" t="s">
        <v>74</v>
      </c>
      <c r="P1386" s="25" t="s">
        <v>53</v>
      </c>
      <c r="Q1386" s="20" t="s">
        <v>6282</v>
      </c>
      <c r="R1386" s="20">
        <v>43163629</v>
      </c>
      <c r="S1386" s="25" t="s">
        <v>55</v>
      </c>
      <c r="T1386" s="26" t="s">
        <v>56</v>
      </c>
      <c r="U1386" s="23" t="s">
        <v>6283</v>
      </c>
      <c r="V1386" s="27" t="s">
        <v>78</v>
      </c>
      <c r="W1386" s="20" t="s">
        <v>6284</v>
      </c>
      <c r="X1386" s="20" t="s">
        <v>6284</v>
      </c>
      <c r="Y1386" s="20" t="s">
        <v>6284</v>
      </c>
      <c r="Z1386" s="20" t="s">
        <v>60</v>
      </c>
      <c r="AA1386" s="20" t="s">
        <v>61</v>
      </c>
      <c r="AB1386" s="20" t="s">
        <v>6285</v>
      </c>
      <c r="AC1386" s="28">
        <v>559.48</v>
      </c>
      <c r="AD1386" s="28">
        <f>SUM(BASE[[#This Row],[MONTO DE RENTA ]]*1.16)</f>
        <v>648.99680000000001</v>
      </c>
      <c r="AE1386" s="28" t="s">
        <v>83</v>
      </c>
      <c r="AF1386" s="28">
        <v>559.48275862068965</v>
      </c>
      <c r="AG1386" s="28">
        <v>649</v>
      </c>
      <c r="AI1386" s="63">
        <v>45940</v>
      </c>
      <c r="AJ1386" s="63">
        <v>45940</v>
      </c>
      <c r="AK1386" s="30">
        <f ca="1">IFERROR(IF(BASE[[#This Row],[FECHA DE RENOVACION ]]&gt;TODAY(), DATEDIF(TODAY(),BASE[[#This Row],[FECHA DE RENOVACION ]],"M"), -DATEDIF(BASE[[#This Row],[FECHA DE RENOVACION ]],TODAY(),"M")), "Sin fecha")</f>
        <v>-4</v>
      </c>
      <c r="AM1386" s="30" t="s">
        <v>5952</v>
      </c>
      <c r="AN1386" s="20" t="s">
        <v>99</v>
      </c>
      <c r="AP1386" s="20" t="s">
        <v>84</v>
      </c>
      <c r="AQ1386" s="20" t="s">
        <v>100</v>
      </c>
    </row>
    <row r="1387" spans="1:43" ht="16">
      <c r="A1387" s="20">
        <v>8182534800</v>
      </c>
      <c r="B1387" s="21">
        <v>750222</v>
      </c>
      <c r="C1387" s="20" t="s">
        <v>6286</v>
      </c>
      <c r="D1387" s="20" t="s">
        <v>786</v>
      </c>
      <c r="E1387" s="20" t="s">
        <v>461</v>
      </c>
      <c r="F1387" s="20" t="s">
        <v>5587</v>
      </c>
      <c r="G1387" s="20" t="s">
        <v>5587</v>
      </c>
      <c r="H1387" s="20" t="s">
        <v>5320</v>
      </c>
      <c r="I1387" s="20" t="s">
        <v>5587</v>
      </c>
      <c r="J1387" s="54" t="s">
        <v>6287</v>
      </c>
      <c r="K1387" s="54" t="s">
        <v>6287</v>
      </c>
      <c r="L1387" s="23" t="s">
        <v>92</v>
      </c>
      <c r="M1387" s="24" t="s">
        <v>7738</v>
      </c>
      <c r="N1387" s="23">
        <v>18848044</v>
      </c>
      <c r="O1387" s="25" t="s">
        <v>74</v>
      </c>
      <c r="P1387" s="25" t="s">
        <v>53</v>
      </c>
      <c r="Q1387" s="20" t="s">
        <v>6288</v>
      </c>
      <c r="R1387" s="20">
        <v>43149860</v>
      </c>
      <c r="S1387" s="25" t="s">
        <v>6289</v>
      </c>
      <c r="T1387" s="81" t="s">
        <v>57</v>
      </c>
      <c r="U1387" s="23">
        <v>351835921835116</v>
      </c>
      <c r="V1387" s="27" t="s">
        <v>78</v>
      </c>
      <c r="W1387" s="20" t="s">
        <v>95</v>
      </c>
      <c r="X1387" s="20" t="s">
        <v>95</v>
      </c>
      <c r="Y1387" s="20" t="s">
        <v>95</v>
      </c>
      <c r="Z1387" s="20" t="s">
        <v>167</v>
      </c>
      <c r="AA1387" s="20" t="s">
        <v>168</v>
      </c>
      <c r="AB1387" s="20" t="s">
        <v>96</v>
      </c>
      <c r="AC1387" s="28">
        <v>369.83</v>
      </c>
      <c r="AD1387" s="28">
        <f>SUM(BASE[[#This Row],[MONTO DE RENTA ]]*1.16)</f>
        <v>429.00279999999998</v>
      </c>
      <c r="AE1387" s="28" t="s">
        <v>83</v>
      </c>
      <c r="AF1387" s="28">
        <v>559.48275862068965</v>
      </c>
      <c r="AG1387" s="28">
        <v>649</v>
      </c>
      <c r="AH1387" s="22" t="s">
        <v>116</v>
      </c>
      <c r="AI1387" s="63">
        <v>45440</v>
      </c>
      <c r="AJ1387" s="63">
        <v>46170</v>
      </c>
      <c r="AK1387" s="30">
        <f ca="1">IFERROR(IF(BASE[[#This Row],[FECHA DE RENOVACION ]]&gt;TODAY(), DATEDIF(TODAY(),BASE[[#This Row],[FECHA DE RENOVACION ]],"M"), -DATEDIF(BASE[[#This Row],[FECHA DE RENOVACION ]],TODAY(),"M")), "Sin fecha")</f>
        <v>2</v>
      </c>
      <c r="AM1387" s="30"/>
      <c r="AN1387" s="20" t="s">
        <v>99</v>
      </c>
      <c r="AP1387" s="20" t="s">
        <v>66</v>
      </c>
      <c r="AQ1387" s="20" t="s">
        <v>100</v>
      </c>
    </row>
    <row r="1388" spans="1:43" ht="16">
      <c r="A1388" s="20">
        <v>8115991867</v>
      </c>
      <c r="B1388" s="21">
        <v>1035803</v>
      </c>
      <c r="C1388" s="20" t="s">
        <v>6290</v>
      </c>
      <c r="D1388" s="20" t="s">
        <v>1638</v>
      </c>
      <c r="E1388" s="20" t="s">
        <v>358</v>
      </c>
      <c r="F1388" s="20" t="s">
        <v>6291</v>
      </c>
      <c r="G1388" s="20" t="s">
        <v>6291</v>
      </c>
      <c r="H1388" s="20" t="s">
        <v>5437</v>
      </c>
      <c r="I1388" s="20" t="s">
        <v>6291</v>
      </c>
      <c r="J1388" s="32" t="s">
        <v>6292</v>
      </c>
      <c r="K1388" s="32" t="s">
        <v>6292</v>
      </c>
      <c r="L1388" s="23" t="s">
        <v>92</v>
      </c>
      <c r="M1388" s="24" t="s">
        <v>7738</v>
      </c>
      <c r="N1388" s="23">
        <v>18848064</v>
      </c>
      <c r="O1388" s="25" t="s">
        <v>74</v>
      </c>
      <c r="P1388" s="25" t="s">
        <v>53</v>
      </c>
      <c r="Q1388" s="20" t="s">
        <v>6293</v>
      </c>
      <c r="R1388" s="20">
        <v>43131809</v>
      </c>
      <c r="S1388" s="25" t="s">
        <v>6294</v>
      </c>
      <c r="T1388" s="26" t="s">
        <v>57</v>
      </c>
      <c r="U1388" s="23">
        <v>860900062337894</v>
      </c>
      <c r="V1388" s="27" t="s">
        <v>57</v>
      </c>
      <c r="W1388" s="20" t="s">
        <v>58</v>
      </c>
      <c r="X1388" s="20" t="s">
        <v>59</v>
      </c>
      <c r="Y1388" s="20" t="s">
        <v>59</v>
      </c>
      <c r="Z1388" s="20" t="s">
        <v>167</v>
      </c>
      <c r="AA1388" s="20" t="s">
        <v>168</v>
      </c>
      <c r="AB1388" s="20" t="s">
        <v>96</v>
      </c>
      <c r="AC1388" s="28">
        <v>369.83</v>
      </c>
      <c r="AD1388" s="28">
        <f>SUM(BASE[[#This Row],[MONTO DE RENTA ]]*1.16)</f>
        <v>429.00279999999998</v>
      </c>
      <c r="AE1388" s="28" t="s">
        <v>63</v>
      </c>
      <c r="AF1388" s="28">
        <v>369.82758620689657</v>
      </c>
      <c r="AG1388" s="28">
        <v>429</v>
      </c>
      <c r="AH1388" s="22" t="s">
        <v>64</v>
      </c>
      <c r="AI1388" s="63">
        <v>45703</v>
      </c>
      <c r="AJ1388" s="63">
        <v>46433</v>
      </c>
      <c r="AK138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88" s="30"/>
      <c r="AN1388" s="20" t="s">
        <v>65</v>
      </c>
      <c r="AP1388" s="20" t="s">
        <v>84</v>
      </c>
    </row>
    <row r="1389" spans="1:43" ht="16.5" customHeight="1">
      <c r="A1389" s="20">
        <v>8183661718</v>
      </c>
      <c r="B1389" s="49">
        <v>1071867</v>
      </c>
      <c r="C1389" s="20" t="s">
        <v>6295</v>
      </c>
      <c r="D1389" s="20" t="s">
        <v>357</v>
      </c>
      <c r="E1389" s="20" t="s">
        <v>376</v>
      </c>
      <c r="F1389" s="20" t="s">
        <v>5612</v>
      </c>
      <c r="G1389" s="20" t="s">
        <v>5612</v>
      </c>
      <c r="H1389" s="20" t="s">
        <v>199</v>
      </c>
      <c r="I1389" s="20" t="s">
        <v>5612</v>
      </c>
      <c r="J1389" s="141" t="s">
        <v>6296</v>
      </c>
      <c r="K1389" s="54" t="s">
        <v>6296</v>
      </c>
      <c r="L1389" s="23" t="s">
        <v>92</v>
      </c>
      <c r="M1389" s="24" t="s">
        <v>7738</v>
      </c>
      <c r="N1389" s="23">
        <v>18848076</v>
      </c>
      <c r="O1389" s="25" t="s">
        <v>74</v>
      </c>
      <c r="P1389" s="25" t="s">
        <v>53</v>
      </c>
      <c r="Q1389" s="20" t="s">
        <v>6297</v>
      </c>
      <c r="R1389" s="20">
        <v>43374255</v>
      </c>
      <c r="S1389" s="25" t="s">
        <v>6298</v>
      </c>
      <c r="T1389" s="44" t="s">
        <v>57</v>
      </c>
      <c r="U1389" s="23">
        <v>860900062257878</v>
      </c>
      <c r="V1389" s="27" t="s">
        <v>183</v>
      </c>
      <c r="W1389" s="20" t="s">
        <v>58</v>
      </c>
      <c r="X1389" s="20" t="s">
        <v>59</v>
      </c>
      <c r="Y1389" s="20" t="s">
        <v>59</v>
      </c>
      <c r="Z1389" s="20" t="s">
        <v>60</v>
      </c>
      <c r="AA1389" s="20" t="s">
        <v>61</v>
      </c>
      <c r="AB1389" s="20" t="s">
        <v>82</v>
      </c>
      <c r="AC1389" s="28">
        <v>559.48</v>
      </c>
      <c r="AD1389" s="28">
        <f>SUM(BASE[[#This Row],[MONTO DE RENTA ]]*1.16)</f>
        <v>648.99680000000001</v>
      </c>
      <c r="AE1389" s="28" t="s">
        <v>83</v>
      </c>
      <c r="AF1389" s="28">
        <v>559.48275862068965</v>
      </c>
      <c r="AG1389" s="28">
        <v>649</v>
      </c>
      <c r="AH1389" s="22" t="s">
        <v>116</v>
      </c>
      <c r="AI1389" s="63">
        <v>45734</v>
      </c>
      <c r="AJ1389" s="63">
        <v>46464</v>
      </c>
      <c r="AK1389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389" s="20">
        <v>18848093</v>
      </c>
      <c r="AM1389" s="30"/>
      <c r="AN1389" s="20" t="s">
        <v>65</v>
      </c>
      <c r="AP1389" s="20" t="s">
        <v>84</v>
      </c>
    </row>
    <row r="1390" spans="1:43" ht="16">
      <c r="A1390" s="20">
        <v>5533413574</v>
      </c>
      <c r="B1390" s="49">
        <v>910007</v>
      </c>
      <c r="C1390" s="20" t="s">
        <v>6299</v>
      </c>
      <c r="D1390" s="20" t="s">
        <v>44</v>
      </c>
      <c r="E1390" s="20" t="s">
        <v>797</v>
      </c>
      <c r="F1390" s="20" t="s">
        <v>6300</v>
      </c>
      <c r="G1390" s="20" t="s">
        <v>6300</v>
      </c>
      <c r="H1390" s="20" t="s">
        <v>5320</v>
      </c>
      <c r="I1390" s="20" t="s">
        <v>6300</v>
      </c>
      <c r="J1390" s="22" t="s">
        <v>6301</v>
      </c>
      <c r="K1390" s="22" t="s">
        <v>6302</v>
      </c>
      <c r="L1390" s="23" t="s">
        <v>92</v>
      </c>
      <c r="M1390" s="24" t="s">
        <v>7738</v>
      </c>
      <c r="N1390" s="23">
        <v>18848105</v>
      </c>
      <c r="O1390" s="25" t="s">
        <v>52</v>
      </c>
      <c r="P1390" s="25" t="s">
        <v>53</v>
      </c>
      <c r="Q1390" s="20" t="s">
        <v>6303</v>
      </c>
      <c r="R1390" s="20">
        <v>9434313</v>
      </c>
      <c r="S1390" s="25" t="s">
        <v>55</v>
      </c>
      <c r="T1390" s="26" t="s">
        <v>56</v>
      </c>
      <c r="U1390" s="23">
        <v>354435325222198</v>
      </c>
      <c r="V1390" s="27" t="s">
        <v>78</v>
      </c>
      <c r="W1390" s="20" t="s">
        <v>5430</v>
      </c>
      <c r="X1390" s="20" t="s">
        <v>5430</v>
      </c>
      <c r="Y1390" s="20" t="s">
        <v>5430</v>
      </c>
      <c r="Z1390" s="20" t="s">
        <v>60</v>
      </c>
      <c r="AA1390" s="20" t="s">
        <v>61</v>
      </c>
      <c r="AB1390" s="20" t="s">
        <v>6304</v>
      </c>
      <c r="AC1390" s="28">
        <v>818.1</v>
      </c>
      <c r="AD1390" s="28">
        <f>SUM(BASE[[#This Row],[MONTO DE RENTA ]]*1.16)</f>
        <v>948.99599999999998</v>
      </c>
      <c r="AE1390" s="28" t="s">
        <v>83</v>
      </c>
      <c r="AF1390" s="28">
        <v>559.48275862068965</v>
      </c>
      <c r="AG1390" s="28">
        <v>649</v>
      </c>
      <c r="AI1390" s="63">
        <v>44937</v>
      </c>
      <c r="AJ1390" s="73">
        <v>46043</v>
      </c>
      <c r="AK13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0" s="30"/>
      <c r="AN1390" s="20" t="s">
        <v>99</v>
      </c>
      <c r="AP1390" s="20" t="s">
        <v>118</v>
      </c>
      <c r="AQ1390" s="20" t="s">
        <v>100</v>
      </c>
    </row>
    <row r="1391" spans="1:43" ht="16">
      <c r="A1391" s="20">
        <v>8113215479</v>
      </c>
      <c r="B1391" s="49">
        <v>6181</v>
      </c>
      <c r="C1391" s="20" t="s">
        <v>6305</v>
      </c>
      <c r="D1391" s="20" t="s">
        <v>4659</v>
      </c>
      <c r="E1391" s="20" t="s">
        <v>657</v>
      </c>
      <c r="F1391" s="20" t="s">
        <v>6306</v>
      </c>
      <c r="G1391" s="20" t="s">
        <v>6306</v>
      </c>
      <c r="H1391" s="20" t="s">
        <v>5289</v>
      </c>
      <c r="I1391" s="20" t="s">
        <v>6306</v>
      </c>
      <c r="J1391" s="22" t="s">
        <v>6307</v>
      </c>
      <c r="K1391" s="22" t="s">
        <v>6308</v>
      </c>
      <c r="L1391" s="23" t="s">
        <v>92</v>
      </c>
      <c r="M1391" s="24" t="s">
        <v>7738</v>
      </c>
      <c r="N1391" s="23">
        <v>18848027</v>
      </c>
      <c r="O1391" s="25" t="s">
        <v>74</v>
      </c>
      <c r="P1391" s="25" t="s">
        <v>53</v>
      </c>
      <c r="Q1391" s="20" t="s">
        <v>6309</v>
      </c>
      <c r="R1391" s="20">
        <v>42948664</v>
      </c>
      <c r="S1391" s="25" t="s">
        <v>55</v>
      </c>
      <c r="T1391" s="26" t="s">
        <v>56</v>
      </c>
      <c r="U1391" s="23">
        <v>357654178257575</v>
      </c>
      <c r="V1391" s="27" t="s">
        <v>78</v>
      </c>
      <c r="W1391" s="20" t="s">
        <v>5299</v>
      </c>
      <c r="X1391" s="20" t="s">
        <v>5299</v>
      </c>
      <c r="Y1391" s="20" t="s">
        <v>5299</v>
      </c>
      <c r="Z1391" s="20" t="s">
        <v>60</v>
      </c>
      <c r="AA1391" s="20" t="s">
        <v>61</v>
      </c>
      <c r="AB1391" s="20" t="s">
        <v>5457</v>
      </c>
      <c r="AC1391" s="28">
        <v>602.59</v>
      </c>
      <c r="AD1391" s="28">
        <f>SUM(BASE[[#This Row],[MONTO DE RENTA ]]*1.16)</f>
        <v>699.00440000000003</v>
      </c>
      <c r="AE1391" s="28" t="s">
        <v>83</v>
      </c>
      <c r="AF1391" s="28">
        <v>559.48275862068965</v>
      </c>
      <c r="AG1391" s="28">
        <v>649</v>
      </c>
      <c r="AI1391" s="63">
        <v>44937</v>
      </c>
      <c r="AJ1391" s="73">
        <v>46043</v>
      </c>
      <c r="AK13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1" s="30"/>
      <c r="AN1391" s="20" t="s">
        <v>99</v>
      </c>
      <c r="AP1391" s="20" t="s">
        <v>84</v>
      </c>
      <c r="AQ1391" s="20" t="s">
        <v>100</v>
      </c>
    </row>
    <row r="1392" spans="1:43" ht="16">
      <c r="A1392" s="20">
        <v>8180207136</v>
      </c>
      <c r="B1392" s="49">
        <v>6135</v>
      </c>
      <c r="C1392" s="20" t="s">
        <v>6310</v>
      </c>
      <c r="D1392" s="20" t="s">
        <v>6311</v>
      </c>
      <c r="E1392" s="20">
        <v>0</v>
      </c>
      <c r="F1392" s="20" t="s">
        <v>6312</v>
      </c>
      <c r="G1392" s="20" t="s">
        <v>6312</v>
      </c>
      <c r="H1392" s="20" t="s">
        <v>5662</v>
      </c>
      <c r="I1392" s="20" t="s">
        <v>6312</v>
      </c>
      <c r="J1392" s="54" t="s">
        <v>6313</v>
      </c>
      <c r="K1392" s="54" t="s">
        <v>6313</v>
      </c>
      <c r="L1392" s="23" t="s">
        <v>92</v>
      </c>
      <c r="M1392" s="24" t="s">
        <v>7738</v>
      </c>
      <c r="N1392" s="23">
        <v>18848058</v>
      </c>
      <c r="O1392" s="25" t="s">
        <v>74</v>
      </c>
      <c r="P1392" s="25" t="s">
        <v>53</v>
      </c>
      <c r="Q1392" s="20" t="s">
        <v>6314</v>
      </c>
      <c r="R1392" s="20">
        <v>42842014</v>
      </c>
      <c r="S1392" s="25" t="s">
        <v>55</v>
      </c>
      <c r="T1392" s="65" t="s">
        <v>56</v>
      </c>
      <c r="U1392" s="23">
        <v>357894929399652</v>
      </c>
      <c r="V1392" s="27" t="s">
        <v>78</v>
      </c>
      <c r="W1392" s="20" t="s">
        <v>95</v>
      </c>
      <c r="X1392" s="20" t="s">
        <v>95</v>
      </c>
      <c r="Y1392" s="20" t="s">
        <v>95</v>
      </c>
      <c r="Z1392" s="20" t="s">
        <v>60</v>
      </c>
      <c r="AA1392" s="20" t="s">
        <v>61</v>
      </c>
      <c r="AB1392" s="20" t="s">
        <v>6285</v>
      </c>
      <c r="AC1392" s="28">
        <v>559.48</v>
      </c>
      <c r="AD1392" s="28">
        <f>SUM(BASE[[#This Row],[MONTO DE RENTA ]]*1.16)</f>
        <v>648.99680000000001</v>
      </c>
      <c r="AE1392" s="28" t="s">
        <v>83</v>
      </c>
      <c r="AF1392" s="28">
        <v>559.48275862068965</v>
      </c>
      <c r="AG1392" s="28">
        <v>649</v>
      </c>
      <c r="AH1392" s="22" t="s">
        <v>448</v>
      </c>
      <c r="AI1392" s="63">
        <v>45588</v>
      </c>
      <c r="AJ1392" s="63">
        <v>46318</v>
      </c>
      <c r="AK1392" s="30">
        <f ca="1">IFERROR(IF(BASE[[#This Row],[FECHA DE RENOVACION ]]&gt;TODAY(), DATEDIF(TODAY(),BASE[[#This Row],[FECHA DE RENOVACION ]],"M"), -DATEDIF(BASE[[#This Row],[FECHA DE RENOVACION ]],TODAY(),"M")), "Sin fecha")</f>
        <v>7</v>
      </c>
      <c r="AM1392" s="30"/>
      <c r="AN1392" s="20" t="s">
        <v>65</v>
      </c>
      <c r="AP1392" s="20" t="s">
        <v>84</v>
      </c>
    </row>
    <row r="1393" spans="1:43" ht="16">
      <c r="A1393" s="20">
        <v>2225410279</v>
      </c>
      <c r="B1393" s="49">
        <v>440288</v>
      </c>
      <c r="C1393" s="20" t="s">
        <v>6315</v>
      </c>
      <c r="D1393" s="20" t="s">
        <v>6316</v>
      </c>
      <c r="E1393" s="20" t="s">
        <v>627</v>
      </c>
      <c r="F1393" s="20" t="s">
        <v>6300</v>
      </c>
      <c r="G1393" s="20" t="s">
        <v>6300</v>
      </c>
      <c r="H1393" s="20" t="s">
        <v>5320</v>
      </c>
      <c r="I1393" s="20" t="s">
        <v>6300</v>
      </c>
      <c r="J1393" s="22" t="s">
        <v>6317</v>
      </c>
      <c r="K1393" s="22" t="s">
        <v>6318</v>
      </c>
      <c r="L1393" s="23" t="s">
        <v>92</v>
      </c>
      <c r="M1393" s="24" t="s">
        <v>7738</v>
      </c>
      <c r="N1393" s="23">
        <v>18848105</v>
      </c>
      <c r="O1393" s="25" t="s">
        <v>828</v>
      </c>
      <c r="P1393" s="25" t="s">
        <v>53</v>
      </c>
      <c r="Q1393" s="20" t="s">
        <v>6319</v>
      </c>
      <c r="R1393" s="20">
        <v>72748452</v>
      </c>
      <c r="S1393" s="25" t="s">
        <v>55</v>
      </c>
      <c r="T1393" s="26" t="s">
        <v>56</v>
      </c>
      <c r="U1393" s="23">
        <v>357654178453307</v>
      </c>
      <c r="V1393" s="27" t="s">
        <v>78</v>
      </c>
      <c r="W1393" s="20" t="s">
        <v>5299</v>
      </c>
      <c r="X1393" s="20" t="s">
        <v>5299</v>
      </c>
      <c r="Y1393" s="20" t="s">
        <v>5299</v>
      </c>
      <c r="Z1393" s="20" t="s">
        <v>60</v>
      </c>
      <c r="AA1393" s="20" t="s">
        <v>61</v>
      </c>
      <c r="AB1393" s="20" t="s">
        <v>6304</v>
      </c>
      <c r="AC1393" s="28">
        <v>818.1</v>
      </c>
      <c r="AD1393" s="28">
        <f>SUM(BASE[[#This Row],[MONTO DE RENTA ]]*1.16)</f>
        <v>948.99599999999998</v>
      </c>
      <c r="AE1393" s="28" t="s">
        <v>83</v>
      </c>
      <c r="AF1393" s="28">
        <v>559.48275862068965</v>
      </c>
      <c r="AG1393" s="28">
        <v>649</v>
      </c>
      <c r="AI1393" s="63">
        <v>44937</v>
      </c>
      <c r="AJ1393" s="63">
        <v>46043</v>
      </c>
      <c r="AK139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3" s="30"/>
      <c r="AN1393" s="20" t="s">
        <v>99</v>
      </c>
      <c r="AP1393" s="20" t="s">
        <v>118</v>
      </c>
      <c r="AQ1393" s="20" t="s">
        <v>100</v>
      </c>
    </row>
    <row r="1394" spans="1:43" ht="16">
      <c r="A1394" s="20">
        <v>8113214740</v>
      </c>
      <c r="B1394" s="21">
        <v>6870</v>
      </c>
      <c r="C1394" s="20" t="s">
        <v>6320</v>
      </c>
      <c r="D1394" s="20" t="s">
        <v>358</v>
      </c>
      <c r="E1394" s="20" t="s">
        <v>45</v>
      </c>
      <c r="F1394" s="20" t="s">
        <v>6321</v>
      </c>
      <c r="G1394" s="20" t="s">
        <v>6321</v>
      </c>
      <c r="H1394" s="20" t="s">
        <v>5289</v>
      </c>
      <c r="I1394" s="20" t="s">
        <v>6321</v>
      </c>
      <c r="J1394" s="22" t="s">
        <v>6322</v>
      </c>
      <c r="K1394" s="22" t="s">
        <v>6322</v>
      </c>
      <c r="L1394" s="23" t="s">
        <v>92</v>
      </c>
      <c r="M1394" s="24" t="s">
        <v>7738</v>
      </c>
      <c r="N1394" s="23">
        <v>18848028</v>
      </c>
      <c r="O1394" s="25" t="s">
        <v>74</v>
      </c>
      <c r="P1394" s="25" t="s">
        <v>53</v>
      </c>
      <c r="Q1394" s="20" t="s">
        <v>6323</v>
      </c>
      <c r="R1394" s="20">
        <v>43163528</v>
      </c>
      <c r="S1394" s="25" t="s">
        <v>6324</v>
      </c>
      <c r="T1394" s="26" t="s">
        <v>57</v>
      </c>
      <c r="U1394" s="23">
        <v>860900062337787</v>
      </c>
      <c r="V1394" s="27" t="s">
        <v>57</v>
      </c>
      <c r="W1394" s="20" t="s">
        <v>58</v>
      </c>
      <c r="X1394" s="20" t="s">
        <v>59</v>
      </c>
      <c r="Y1394" s="20" t="s">
        <v>59</v>
      </c>
      <c r="Z1394" s="20" t="s">
        <v>167</v>
      </c>
      <c r="AA1394" s="20" t="s">
        <v>168</v>
      </c>
      <c r="AB1394" s="20" t="s">
        <v>96</v>
      </c>
      <c r="AC1394" s="28">
        <v>369.83</v>
      </c>
      <c r="AD1394" s="28">
        <f>SUM(BASE[[#This Row],[MONTO DE RENTA ]]*1.16)</f>
        <v>429.00279999999998</v>
      </c>
      <c r="AE1394" s="28" t="s">
        <v>63</v>
      </c>
      <c r="AF1394" s="28">
        <v>369.82758620689657</v>
      </c>
      <c r="AG1394" s="28">
        <v>429</v>
      </c>
      <c r="AH1394" s="22" t="s">
        <v>64</v>
      </c>
      <c r="AI1394" s="63">
        <v>45703</v>
      </c>
      <c r="AJ1394" s="63">
        <v>46433</v>
      </c>
      <c r="AK139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394" s="30"/>
      <c r="AN1394" s="20" t="s">
        <v>65</v>
      </c>
      <c r="AP1394" s="20" t="s">
        <v>84</v>
      </c>
    </row>
    <row r="1395" spans="1:43" ht="16">
      <c r="A1395" s="20">
        <v>8112634946</v>
      </c>
      <c r="B1395" s="49">
        <v>30001</v>
      </c>
      <c r="C1395" s="20" t="s">
        <v>857</v>
      </c>
      <c r="D1395" s="20" t="s">
        <v>598</v>
      </c>
      <c r="E1395" s="20" t="s">
        <v>187</v>
      </c>
      <c r="F1395" s="20" t="s">
        <v>5334</v>
      </c>
      <c r="G1395" s="20" t="s">
        <v>5334</v>
      </c>
      <c r="H1395" s="20" t="s">
        <v>5320</v>
      </c>
      <c r="I1395" s="20" t="s">
        <v>5334</v>
      </c>
      <c r="J1395" s="22" t="s">
        <v>6325</v>
      </c>
      <c r="K1395" s="22" t="s">
        <v>6326</v>
      </c>
      <c r="L1395" s="23" t="s">
        <v>92</v>
      </c>
      <c r="M1395" s="24" t="s">
        <v>7738</v>
      </c>
      <c r="N1395" s="23">
        <v>18848032</v>
      </c>
      <c r="O1395" s="25" t="s">
        <v>74</v>
      </c>
      <c r="P1395" s="25" t="s">
        <v>53</v>
      </c>
      <c r="Q1395" s="20" t="s">
        <v>6327</v>
      </c>
      <c r="R1395" s="20">
        <v>42809321</v>
      </c>
      <c r="S1395" s="25" t="s">
        <v>55</v>
      </c>
      <c r="T1395" s="26" t="s">
        <v>56</v>
      </c>
      <c r="U1395" s="23">
        <v>357654179231967</v>
      </c>
      <c r="V1395" s="27" t="s">
        <v>78</v>
      </c>
      <c r="W1395" s="20" t="s">
        <v>95</v>
      </c>
      <c r="X1395" s="20" t="s">
        <v>95</v>
      </c>
      <c r="Y1395" s="20" t="s">
        <v>95</v>
      </c>
      <c r="Z1395" s="20" t="s">
        <v>60</v>
      </c>
      <c r="AA1395" s="20" t="s">
        <v>61</v>
      </c>
      <c r="AB1395" s="20" t="s">
        <v>82</v>
      </c>
      <c r="AC1395" s="28">
        <v>559.48</v>
      </c>
      <c r="AD1395" s="28">
        <f>SUM(BASE[[#This Row],[MONTO DE RENTA ]]*1.16)</f>
        <v>648.99680000000001</v>
      </c>
      <c r="AE1395" s="28" t="s">
        <v>83</v>
      </c>
      <c r="AF1395" s="28">
        <v>559.48275862068965</v>
      </c>
      <c r="AG1395" s="28">
        <v>649</v>
      </c>
      <c r="AI1395" s="63">
        <v>44937</v>
      </c>
      <c r="AJ1395" s="73">
        <v>46043</v>
      </c>
      <c r="AK139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5" s="30"/>
      <c r="AN1395" s="20" t="s">
        <v>99</v>
      </c>
      <c r="AP1395" s="20" t="s">
        <v>84</v>
      </c>
      <c r="AQ1395" s="20" t="s">
        <v>100</v>
      </c>
    </row>
    <row r="1396" spans="1:43" ht="16">
      <c r="A1396" s="20">
        <v>8113116656</v>
      </c>
      <c r="B1396" s="86">
        <v>640052</v>
      </c>
      <c r="C1396" s="20" t="s">
        <v>6328</v>
      </c>
      <c r="D1396" s="20" t="s">
        <v>1488</v>
      </c>
      <c r="E1396" s="20" t="s">
        <v>1367</v>
      </c>
      <c r="F1396" s="20" t="s">
        <v>6329</v>
      </c>
      <c r="G1396" s="20" t="s">
        <v>6329</v>
      </c>
      <c r="H1396" s="20" t="s">
        <v>199</v>
      </c>
      <c r="I1396" s="20" t="s">
        <v>6329</v>
      </c>
      <c r="J1396" s="22" t="s">
        <v>6330</v>
      </c>
      <c r="K1396" s="32" t="s">
        <v>6331</v>
      </c>
      <c r="L1396" s="23" t="s">
        <v>92</v>
      </c>
      <c r="M1396" s="24" t="s">
        <v>7738</v>
      </c>
      <c r="N1396" s="23">
        <v>18848078</v>
      </c>
      <c r="O1396" s="25" t="s">
        <v>74</v>
      </c>
      <c r="P1396" s="25" t="s">
        <v>53</v>
      </c>
      <c r="Q1396" s="20" t="s">
        <v>6332</v>
      </c>
      <c r="R1396" s="20">
        <v>42943861</v>
      </c>
      <c r="S1396" s="25" t="s">
        <v>55</v>
      </c>
      <c r="T1396" s="26" t="s">
        <v>56</v>
      </c>
      <c r="U1396" s="23">
        <v>865356065670556</v>
      </c>
      <c r="V1396" s="27" t="s">
        <v>183</v>
      </c>
      <c r="W1396" s="20" t="s">
        <v>129</v>
      </c>
      <c r="X1396" s="20" t="s">
        <v>130</v>
      </c>
      <c r="Y1396" s="20" t="s">
        <v>130</v>
      </c>
      <c r="Z1396" s="20" t="s">
        <v>60</v>
      </c>
      <c r="AA1396" s="20" t="s">
        <v>61</v>
      </c>
      <c r="AB1396" s="20" t="s">
        <v>96</v>
      </c>
      <c r="AC1396" s="28">
        <v>369.83</v>
      </c>
      <c r="AD1396" s="28">
        <f>SUM(BASE[[#This Row],[MONTO DE RENTA ]]*1.16)</f>
        <v>429.00279999999998</v>
      </c>
      <c r="AE1396" s="28" t="s">
        <v>63</v>
      </c>
      <c r="AF1396" s="28">
        <v>369.82758620689657</v>
      </c>
      <c r="AG1396" s="28">
        <v>429</v>
      </c>
      <c r="AI1396" s="29">
        <v>44937</v>
      </c>
      <c r="AJ1396" s="50">
        <v>46043</v>
      </c>
      <c r="AK139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6" s="30"/>
      <c r="AN1396" s="20" t="s">
        <v>99</v>
      </c>
      <c r="AP1396" s="20" t="s">
        <v>84</v>
      </c>
      <c r="AQ1396" s="20" t="s">
        <v>100</v>
      </c>
    </row>
    <row r="1397" spans="1:43" ht="16">
      <c r="A1397" s="20">
        <v>8113230034</v>
      </c>
      <c r="B1397" s="49">
        <v>910026</v>
      </c>
      <c r="C1397" s="20" t="s">
        <v>2395</v>
      </c>
      <c r="D1397" s="20" t="s">
        <v>6333</v>
      </c>
      <c r="E1397" s="20" t="s">
        <v>2203</v>
      </c>
      <c r="F1397" s="20" t="s">
        <v>6334</v>
      </c>
      <c r="G1397" s="20" t="s">
        <v>6334</v>
      </c>
      <c r="H1397" s="20" t="s">
        <v>199</v>
      </c>
      <c r="I1397" s="20" t="s">
        <v>6334</v>
      </c>
      <c r="J1397" s="22" t="s">
        <v>6335</v>
      </c>
      <c r="K1397" s="32" t="s">
        <v>6336</v>
      </c>
      <c r="L1397" s="23" t="s">
        <v>92</v>
      </c>
      <c r="M1397" s="24" t="s">
        <v>7738</v>
      </c>
      <c r="N1397" s="23">
        <v>18848011</v>
      </c>
      <c r="O1397" s="25" t="s">
        <v>74</v>
      </c>
      <c r="P1397" s="25" t="s">
        <v>53</v>
      </c>
      <c r="Q1397" s="20" t="s">
        <v>6337</v>
      </c>
      <c r="R1397" s="20">
        <v>42896273</v>
      </c>
      <c r="S1397" s="25" t="s">
        <v>55</v>
      </c>
      <c r="T1397" s="26" t="s">
        <v>56</v>
      </c>
      <c r="U1397" s="23">
        <v>357654178231364</v>
      </c>
      <c r="V1397" s="27" t="s">
        <v>78</v>
      </c>
      <c r="W1397" s="20" t="s">
        <v>5299</v>
      </c>
      <c r="X1397" s="20" t="s">
        <v>5299</v>
      </c>
      <c r="Y1397" s="20" t="s">
        <v>5299</v>
      </c>
      <c r="Z1397" s="20" t="s">
        <v>60</v>
      </c>
      <c r="AA1397" s="20" t="s">
        <v>61</v>
      </c>
      <c r="AB1397" s="20" t="s">
        <v>82</v>
      </c>
      <c r="AC1397" s="28">
        <v>559.48</v>
      </c>
      <c r="AD1397" s="28">
        <f>SUM(BASE[[#This Row],[MONTO DE RENTA ]]*1.16)</f>
        <v>648.99680000000001</v>
      </c>
      <c r="AE1397" s="28" t="s">
        <v>83</v>
      </c>
      <c r="AF1397" s="28">
        <v>559.48275862068965</v>
      </c>
      <c r="AG1397" s="28">
        <v>649</v>
      </c>
      <c r="AI1397" s="63">
        <v>44937</v>
      </c>
      <c r="AJ1397" s="73">
        <v>46043</v>
      </c>
      <c r="AK139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7" s="30"/>
      <c r="AN1397" s="20" t="s">
        <v>99</v>
      </c>
      <c r="AP1397" s="20" t="s">
        <v>84</v>
      </c>
      <c r="AQ1397" s="20" t="s">
        <v>100</v>
      </c>
    </row>
    <row r="1398" spans="1:43" ht="16">
      <c r="A1398" s="20">
        <v>6674895703</v>
      </c>
      <c r="B1398" s="49">
        <v>80635</v>
      </c>
      <c r="C1398" s="20" t="s">
        <v>6338</v>
      </c>
      <c r="D1398" s="20" t="s">
        <v>172</v>
      </c>
      <c r="E1398" s="20" t="s">
        <v>45</v>
      </c>
      <c r="F1398" s="20" t="s">
        <v>5334</v>
      </c>
      <c r="G1398" s="20" t="s">
        <v>5334</v>
      </c>
      <c r="H1398" s="20" t="s">
        <v>5320</v>
      </c>
      <c r="I1398" s="20" t="s">
        <v>5334</v>
      </c>
      <c r="J1398" s="22" t="s">
        <v>6339</v>
      </c>
      <c r="K1398" s="22" t="s">
        <v>6340</v>
      </c>
      <c r="L1398" s="23" t="s">
        <v>92</v>
      </c>
      <c r="M1398" s="24" t="s">
        <v>7738</v>
      </c>
      <c r="N1398" s="23">
        <v>18848092</v>
      </c>
      <c r="O1398" s="25" t="s">
        <v>866</v>
      </c>
      <c r="P1398" s="25" t="s">
        <v>53</v>
      </c>
      <c r="Q1398" s="20" t="s">
        <v>6341</v>
      </c>
      <c r="R1398" s="20">
        <v>22901520</v>
      </c>
      <c r="S1398" s="25" t="s">
        <v>55</v>
      </c>
      <c r="T1398" s="26" t="s">
        <v>56</v>
      </c>
      <c r="U1398" s="23">
        <v>352556228749375</v>
      </c>
      <c r="V1398" s="27" t="s">
        <v>78</v>
      </c>
      <c r="W1398" s="20" t="s">
        <v>5299</v>
      </c>
      <c r="X1398" s="20" t="s">
        <v>5299</v>
      </c>
      <c r="Y1398" s="20" t="s">
        <v>5299</v>
      </c>
      <c r="Z1398" s="20" t="s">
        <v>60</v>
      </c>
      <c r="AA1398" s="20" t="s">
        <v>61</v>
      </c>
      <c r="AB1398" s="20" t="s">
        <v>82</v>
      </c>
      <c r="AC1398" s="28">
        <v>559.48</v>
      </c>
      <c r="AD1398" s="28">
        <f>SUM(BASE[[#This Row],[MONTO DE RENTA ]]*1.16)</f>
        <v>648.99680000000001</v>
      </c>
      <c r="AE1398" s="28" t="s">
        <v>83</v>
      </c>
      <c r="AF1398" s="28">
        <v>559.48275862068965</v>
      </c>
      <c r="AG1398" s="28">
        <v>649</v>
      </c>
      <c r="AI1398" s="63">
        <v>44937</v>
      </c>
      <c r="AJ1398" s="73">
        <v>46043</v>
      </c>
      <c r="AK13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8" s="30"/>
      <c r="AN1398" s="20" t="s">
        <v>99</v>
      </c>
      <c r="AP1398" s="20" t="s">
        <v>84</v>
      </c>
      <c r="AQ1398" s="20" t="s">
        <v>100</v>
      </c>
    </row>
    <row r="1399" spans="1:43" ht="16">
      <c r="A1399" s="20">
        <v>4771751920</v>
      </c>
      <c r="B1399" s="86">
        <v>300211</v>
      </c>
      <c r="C1399" s="20" t="s">
        <v>6342</v>
      </c>
      <c r="D1399" s="20" t="s">
        <v>442</v>
      </c>
      <c r="E1399" s="20" t="s">
        <v>216</v>
      </c>
      <c r="F1399" s="20" t="s">
        <v>5282</v>
      </c>
      <c r="G1399" s="20" t="s">
        <v>5282</v>
      </c>
      <c r="H1399" s="20" t="s">
        <v>155</v>
      </c>
      <c r="I1399" s="20" t="s">
        <v>5282</v>
      </c>
      <c r="J1399" s="22" t="s">
        <v>6343</v>
      </c>
      <c r="K1399" s="22" t="s">
        <v>6344</v>
      </c>
      <c r="L1399" s="23" t="s">
        <v>92</v>
      </c>
      <c r="M1399" s="24" t="s">
        <v>7738</v>
      </c>
      <c r="N1399" s="23">
        <v>18848080</v>
      </c>
      <c r="O1399" s="25" t="s">
        <v>93</v>
      </c>
      <c r="P1399" s="25" t="s">
        <v>53</v>
      </c>
      <c r="Q1399" s="20" t="s">
        <v>6345</v>
      </c>
      <c r="R1399" s="20">
        <v>62002915</v>
      </c>
      <c r="S1399" s="25" t="s">
        <v>55</v>
      </c>
      <c r="T1399" s="26" t="s">
        <v>56</v>
      </c>
      <c r="U1399" s="23">
        <v>860982060887781</v>
      </c>
      <c r="V1399" s="27" t="s">
        <v>183</v>
      </c>
      <c r="W1399" s="20" t="s">
        <v>129</v>
      </c>
      <c r="X1399" s="20" t="s">
        <v>130</v>
      </c>
      <c r="Y1399" s="20" t="s">
        <v>130</v>
      </c>
      <c r="Z1399" s="20" t="s">
        <v>60</v>
      </c>
      <c r="AA1399" s="20" t="s">
        <v>61</v>
      </c>
      <c r="AB1399" s="20" t="s">
        <v>96</v>
      </c>
      <c r="AC1399" s="28">
        <v>369.83</v>
      </c>
      <c r="AD1399" s="28">
        <f>SUM(BASE[[#This Row],[MONTO DE RENTA ]]*1.16)</f>
        <v>429.00279999999998</v>
      </c>
      <c r="AE1399" s="28" t="s">
        <v>63</v>
      </c>
      <c r="AF1399" s="28">
        <v>369.82758620689657</v>
      </c>
      <c r="AG1399" s="28">
        <v>429</v>
      </c>
      <c r="AI1399" s="63">
        <v>44937</v>
      </c>
      <c r="AJ1399" s="73">
        <v>46043</v>
      </c>
      <c r="AK139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399" s="30"/>
      <c r="AN1399" s="20" t="s">
        <v>99</v>
      </c>
      <c r="AP1399" s="20" t="s">
        <v>84</v>
      </c>
      <c r="AQ1399" s="20" t="s">
        <v>100</v>
      </c>
    </row>
    <row r="1400" spans="1:43" ht="16">
      <c r="A1400" s="20">
        <v>8123509917</v>
      </c>
      <c r="B1400" s="21">
        <v>6728</v>
      </c>
      <c r="C1400" s="20" t="s">
        <v>6346</v>
      </c>
      <c r="D1400" s="20" t="s">
        <v>357</v>
      </c>
      <c r="E1400" s="20" t="s">
        <v>1842</v>
      </c>
      <c r="F1400" s="20" t="s">
        <v>6347</v>
      </c>
      <c r="G1400" s="20" t="s">
        <v>6347</v>
      </c>
      <c r="H1400" s="20" t="s">
        <v>5320</v>
      </c>
      <c r="I1400" s="20" t="s">
        <v>6347</v>
      </c>
      <c r="J1400" s="22" t="s">
        <v>6348</v>
      </c>
      <c r="K1400" s="32" t="s">
        <v>6349</v>
      </c>
      <c r="L1400" s="23" t="s">
        <v>92</v>
      </c>
      <c r="M1400" s="24" t="s">
        <v>7738</v>
      </c>
      <c r="N1400" s="23">
        <v>18848111</v>
      </c>
      <c r="O1400" s="25" t="s">
        <v>74</v>
      </c>
      <c r="P1400" s="25" t="s">
        <v>53</v>
      </c>
      <c r="Q1400" s="20" t="s">
        <v>6350</v>
      </c>
      <c r="R1400" s="20">
        <v>43054035</v>
      </c>
      <c r="S1400" s="25" t="s">
        <v>6351</v>
      </c>
      <c r="T1400" s="26" t="s">
        <v>57</v>
      </c>
      <c r="U1400" s="23">
        <v>860900062338322</v>
      </c>
      <c r="V1400" s="27" t="s">
        <v>57</v>
      </c>
      <c r="W1400" s="20" t="s">
        <v>58</v>
      </c>
      <c r="X1400" s="20" t="s">
        <v>59</v>
      </c>
      <c r="Y1400" s="20" t="s">
        <v>59</v>
      </c>
      <c r="Z1400" s="20" t="s">
        <v>167</v>
      </c>
      <c r="AA1400" s="20" t="s">
        <v>168</v>
      </c>
      <c r="AB1400" s="20" t="s">
        <v>96</v>
      </c>
      <c r="AC1400" s="28">
        <v>369.83</v>
      </c>
      <c r="AD1400" s="28">
        <f>SUM(BASE[[#This Row],[MONTO DE RENTA ]]*1.16)</f>
        <v>429.00279999999998</v>
      </c>
      <c r="AE1400" s="28" t="s">
        <v>63</v>
      </c>
      <c r="AF1400" s="28">
        <v>369.82758620689657</v>
      </c>
      <c r="AG1400" s="28">
        <v>429</v>
      </c>
      <c r="AH1400" s="22" t="s">
        <v>64</v>
      </c>
      <c r="AI1400" s="63">
        <v>45703</v>
      </c>
      <c r="AJ1400" s="63">
        <v>46433</v>
      </c>
      <c r="AK14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00" s="30"/>
      <c r="AN1400" s="20" t="s">
        <v>65</v>
      </c>
      <c r="AP1400" s="20" t="s">
        <v>84</v>
      </c>
    </row>
    <row r="1401" spans="1:43" ht="16">
      <c r="A1401" s="20">
        <v>8122001808</v>
      </c>
      <c r="B1401" s="21">
        <v>1059301</v>
      </c>
      <c r="C1401" s="20" t="s">
        <v>6352</v>
      </c>
      <c r="D1401" s="20" t="s">
        <v>187</v>
      </c>
      <c r="E1401" s="20" t="s">
        <v>6077</v>
      </c>
      <c r="F1401" s="20" t="s">
        <v>6291</v>
      </c>
      <c r="G1401" s="20" t="s">
        <v>6291</v>
      </c>
      <c r="H1401" s="20" t="s">
        <v>5437</v>
      </c>
      <c r="I1401" s="20" t="s">
        <v>6291</v>
      </c>
      <c r="J1401" s="54" t="s">
        <v>6353</v>
      </c>
      <c r="K1401" s="54" t="s">
        <v>6353</v>
      </c>
      <c r="L1401" s="23" t="s">
        <v>92</v>
      </c>
      <c r="M1401" s="24" t="s">
        <v>7738</v>
      </c>
      <c r="N1401" s="23">
        <v>18848064</v>
      </c>
      <c r="O1401" s="25" t="s">
        <v>74</v>
      </c>
      <c r="P1401" s="25" t="s">
        <v>53</v>
      </c>
      <c r="Q1401" s="20" t="s">
        <v>6354</v>
      </c>
      <c r="R1401" s="20">
        <v>45142540</v>
      </c>
      <c r="S1401" s="25" t="s">
        <v>4573</v>
      </c>
      <c r="T1401" s="39" t="s">
        <v>57</v>
      </c>
      <c r="U1401" s="23">
        <v>860900062336219</v>
      </c>
      <c r="V1401" s="27" t="s">
        <v>183</v>
      </c>
      <c r="W1401" s="20" t="s">
        <v>58</v>
      </c>
      <c r="X1401" s="20" t="s">
        <v>59</v>
      </c>
      <c r="Y1401" s="20" t="s">
        <v>59</v>
      </c>
      <c r="Z1401" s="20" t="s">
        <v>60</v>
      </c>
      <c r="AA1401" s="20" t="s">
        <v>61</v>
      </c>
      <c r="AB1401" s="20" t="s">
        <v>62</v>
      </c>
      <c r="AC1401" s="28">
        <v>197.41</v>
      </c>
      <c r="AD1401" s="28">
        <f>SUM(BASE[[#This Row],[MONTO DE RENTA ]]*1.16)</f>
        <v>228.99559999999997</v>
      </c>
      <c r="AE1401" s="28" t="s">
        <v>63</v>
      </c>
      <c r="AF1401" s="28">
        <v>369.82758620689657</v>
      </c>
      <c r="AG1401" s="28">
        <v>429</v>
      </c>
      <c r="AH1401" s="22" t="s">
        <v>98</v>
      </c>
      <c r="AI1401" s="63">
        <v>45811</v>
      </c>
      <c r="AJ1401" s="63">
        <v>46541</v>
      </c>
      <c r="AK1401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401" s="20">
        <v>18848064</v>
      </c>
      <c r="AM1401" s="30"/>
      <c r="AN1401" s="20" t="s">
        <v>65</v>
      </c>
      <c r="AP1401" s="20" t="s">
        <v>66</v>
      </c>
    </row>
    <row r="1402" spans="1:43" ht="16">
      <c r="A1402" s="20">
        <v>8111967967</v>
      </c>
      <c r="B1402" s="49">
        <v>6919</v>
      </c>
      <c r="C1402" s="20" t="s">
        <v>5059</v>
      </c>
      <c r="D1402" s="20" t="s">
        <v>598</v>
      </c>
      <c r="E1402" s="20" t="s">
        <v>1000</v>
      </c>
      <c r="F1402" s="20" t="s">
        <v>6355</v>
      </c>
      <c r="G1402" s="20" t="s">
        <v>6355</v>
      </c>
      <c r="H1402" s="20" t="s">
        <v>208</v>
      </c>
      <c r="I1402" s="20" t="s">
        <v>6355</v>
      </c>
      <c r="J1402" s="22" t="s">
        <v>6356</v>
      </c>
      <c r="K1402" s="22" t="s">
        <v>6357</v>
      </c>
      <c r="L1402" s="23" t="s">
        <v>92</v>
      </c>
      <c r="M1402" s="24" t="s">
        <v>7738</v>
      </c>
      <c r="N1402" s="23">
        <v>18848106</v>
      </c>
      <c r="O1402" s="25" t="s">
        <v>74</v>
      </c>
      <c r="P1402" s="25" t="s">
        <v>53</v>
      </c>
      <c r="Q1402" s="20" t="s">
        <v>6358</v>
      </c>
      <c r="R1402" s="20">
        <v>42943904</v>
      </c>
      <c r="S1402" s="25" t="s">
        <v>55</v>
      </c>
      <c r="T1402" s="26" t="s">
        <v>56</v>
      </c>
      <c r="U1402" s="23">
        <v>357654177738815</v>
      </c>
      <c r="V1402" s="27" t="s">
        <v>78</v>
      </c>
      <c r="W1402" s="20" t="s">
        <v>95</v>
      </c>
      <c r="X1402" s="20" t="s">
        <v>95</v>
      </c>
      <c r="Y1402" s="20" t="s">
        <v>95</v>
      </c>
      <c r="Z1402" s="20" t="s">
        <v>60</v>
      </c>
      <c r="AA1402" s="20" t="s">
        <v>61</v>
      </c>
      <c r="AB1402" s="20" t="s">
        <v>82</v>
      </c>
      <c r="AC1402" s="28">
        <v>559.48</v>
      </c>
      <c r="AD1402" s="28">
        <f>SUM(BASE[[#This Row],[MONTO DE RENTA ]]*1.16)</f>
        <v>648.99680000000001</v>
      </c>
      <c r="AE1402" s="28" t="s">
        <v>83</v>
      </c>
      <c r="AF1402" s="28">
        <v>559.48275862068965</v>
      </c>
      <c r="AG1402" s="28">
        <v>649</v>
      </c>
      <c r="AI1402" s="63">
        <v>44937</v>
      </c>
      <c r="AJ1402" s="73">
        <v>46043</v>
      </c>
      <c r="AK140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02" s="30"/>
      <c r="AN1402" s="20" t="s">
        <v>99</v>
      </c>
      <c r="AP1402" s="20" t="s">
        <v>84</v>
      </c>
      <c r="AQ1402" s="20" t="s">
        <v>100</v>
      </c>
    </row>
    <row r="1403" spans="1:43" ht="16">
      <c r="A1403" s="51">
        <v>8114872030</v>
      </c>
      <c r="B1403" s="21">
        <v>1049624</v>
      </c>
      <c r="C1403" s="20" t="s">
        <v>6359</v>
      </c>
      <c r="D1403" s="20" t="s">
        <v>1265</v>
      </c>
      <c r="E1403" s="20" t="s">
        <v>6360</v>
      </c>
      <c r="F1403" s="20" t="s">
        <v>6361</v>
      </c>
      <c r="G1403" s="20" t="s">
        <v>6361</v>
      </c>
      <c r="H1403" s="20" t="s">
        <v>5320</v>
      </c>
      <c r="I1403" s="20" t="s">
        <v>6361</v>
      </c>
      <c r="J1403" s="54" t="s">
        <v>6362</v>
      </c>
      <c r="K1403" s="54" t="s">
        <v>6362</v>
      </c>
      <c r="L1403" s="23" t="s">
        <v>92</v>
      </c>
      <c r="M1403" s="24" t="s">
        <v>7738</v>
      </c>
      <c r="N1403" s="23">
        <v>18848111</v>
      </c>
      <c r="O1403" s="25" t="s">
        <v>74</v>
      </c>
      <c r="P1403" s="25" t="s">
        <v>53</v>
      </c>
      <c r="Q1403" s="20" t="s">
        <v>6363</v>
      </c>
      <c r="R1403" s="20">
        <v>43486341</v>
      </c>
      <c r="S1403" s="25" t="s">
        <v>55</v>
      </c>
      <c r="T1403" s="283" t="s">
        <v>56</v>
      </c>
      <c r="U1403" s="23">
        <v>865356065672784</v>
      </c>
      <c r="V1403" s="27" t="s">
        <v>183</v>
      </c>
      <c r="W1403" s="20" t="s">
        <v>129</v>
      </c>
      <c r="X1403" s="20" t="s">
        <v>130</v>
      </c>
      <c r="Y1403" s="20" t="s">
        <v>130</v>
      </c>
      <c r="Z1403" s="20" t="s">
        <v>60</v>
      </c>
      <c r="AA1403" s="20" t="s">
        <v>61</v>
      </c>
      <c r="AB1403" s="20" t="s">
        <v>96</v>
      </c>
      <c r="AC1403" s="28">
        <v>369.83</v>
      </c>
      <c r="AD1403" s="28">
        <f>SUM(BASE[[#This Row],[MONTO DE RENTA ]]*1.16)</f>
        <v>429.00279999999998</v>
      </c>
      <c r="AE1403" s="28" t="s">
        <v>63</v>
      </c>
      <c r="AF1403" s="28">
        <v>369.82758620689657</v>
      </c>
      <c r="AG1403" s="28">
        <v>429</v>
      </c>
      <c r="AH1403" s="56" t="s">
        <v>5666</v>
      </c>
      <c r="AI1403" s="165">
        <v>45525</v>
      </c>
      <c r="AJ1403" s="63">
        <v>46040</v>
      </c>
      <c r="AK14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403" s="51">
        <v>18848012</v>
      </c>
      <c r="AM1403" s="58"/>
      <c r="AN1403" s="20" t="s">
        <v>99</v>
      </c>
      <c r="AP1403" s="20" t="s">
        <v>84</v>
      </c>
      <c r="AQ1403" s="20" t="s">
        <v>100</v>
      </c>
    </row>
    <row r="1404" spans="1:43" ht="16">
      <c r="A1404" s="20">
        <v>6566262460</v>
      </c>
      <c r="B1404" s="21">
        <v>999326</v>
      </c>
      <c r="C1404" s="20" t="s">
        <v>6364</v>
      </c>
      <c r="D1404" s="20" t="s">
        <v>2987</v>
      </c>
      <c r="E1404" s="20" t="s">
        <v>358</v>
      </c>
      <c r="F1404" s="20" t="s">
        <v>5385</v>
      </c>
      <c r="G1404" s="20" t="s">
        <v>5385</v>
      </c>
      <c r="H1404" s="20" t="s">
        <v>5381</v>
      </c>
      <c r="I1404" s="20" t="s">
        <v>5385</v>
      </c>
      <c r="J1404" s="54" t="s">
        <v>6365</v>
      </c>
      <c r="K1404" s="54" t="s">
        <v>6365</v>
      </c>
      <c r="L1404" s="23" t="s">
        <v>92</v>
      </c>
      <c r="M1404" s="24" t="s">
        <v>7738</v>
      </c>
      <c r="N1404" s="23">
        <v>18848022</v>
      </c>
      <c r="O1404" s="25" t="s">
        <v>362</v>
      </c>
      <c r="P1404" s="25" t="s">
        <v>53</v>
      </c>
      <c r="Q1404" s="20" t="s">
        <v>6366</v>
      </c>
      <c r="R1404" s="20">
        <v>32351415</v>
      </c>
      <c r="S1404" s="25" t="s">
        <v>6367</v>
      </c>
      <c r="T1404" s="44" t="s">
        <v>77</v>
      </c>
      <c r="U1404" s="23">
        <v>358366320804175</v>
      </c>
      <c r="V1404" s="27" t="s">
        <v>78</v>
      </c>
      <c r="W1404" s="20" t="s">
        <v>79</v>
      </c>
      <c r="X1404" s="20" t="s">
        <v>79</v>
      </c>
      <c r="Y1404" s="20" t="s">
        <v>79</v>
      </c>
      <c r="Z1404" s="20" t="s">
        <v>167</v>
      </c>
      <c r="AA1404" s="20" t="s">
        <v>168</v>
      </c>
      <c r="AB1404" s="20" t="s">
        <v>82</v>
      </c>
      <c r="AC1404" s="28">
        <v>559.48</v>
      </c>
      <c r="AD1404" s="28">
        <f>SUM(BASE[[#This Row],[MONTO DE RENTA ]]*1.16)</f>
        <v>648.99680000000001</v>
      </c>
      <c r="AE1404" s="28" t="s">
        <v>83</v>
      </c>
      <c r="AF1404" s="28">
        <v>559.48275862068965</v>
      </c>
      <c r="AG1404" s="28">
        <v>649</v>
      </c>
      <c r="AH1404" s="22" t="s">
        <v>116</v>
      </c>
      <c r="AI1404" s="63">
        <v>45923</v>
      </c>
      <c r="AJ1404" s="63">
        <v>46379</v>
      </c>
      <c r="AK1404" s="30">
        <f ca="1">IFERROR(IF(BASE[[#This Row],[FECHA DE RENOVACION ]]&gt;TODAY(), DATEDIF(TODAY(),BASE[[#This Row],[FECHA DE RENOVACION ]],"M"), -DATEDIF(BASE[[#This Row],[FECHA DE RENOVACION ]],TODAY(),"M")), "Sin fecha")</f>
        <v>9</v>
      </c>
      <c r="AL1404" s="47">
        <v>18848074</v>
      </c>
      <c r="AM1404" s="30"/>
      <c r="AN1404" s="20" t="s">
        <v>65</v>
      </c>
      <c r="AP1404" s="20" t="s">
        <v>84</v>
      </c>
    </row>
    <row r="1405" spans="1:43" ht="16">
      <c r="A1405" s="20">
        <v>7771364146</v>
      </c>
      <c r="B1405" s="49">
        <v>470043</v>
      </c>
      <c r="C1405" s="20" t="s">
        <v>1955</v>
      </c>
      <c r="D1405" s="20" t="s">
        <v>3344</v>
      </c>
      <c r="E1405" s="20" t="s">
        <v>358</v>
      </c>
      <c r="F1405" s="20" t="s">
        <v>5385</v>
      </c>
      <c r="G1405" s="20" t="s">
        <v>5385</v>
      </c>
      <c r="H1405" s="20" t="s">
        <v>5381</v>
      </c>
      <c r="I1405" s="20" t="s">
        <v>5385</v>
      </c>
      <c r="J1405" s="22" t="s">
        <v>6368</v>
      </c>
      <c r="K1405" s="22" t="s">
        <v>6369</v>
      </c>
      <c r="L1405" s="23" t="s">
        <v>92</v>
      </c>
      <c r="M1405" s="24" t="s">
        <v>7738</v>
      </c>
      <c r="N1405" s="23">
        <v>18848023</v>
      </c>
      <c r="O1405" s="25" t="s">
        <v>52</v>
      </c>
      <c r="P1405" s="25" t="s">
        <v>53</v>
      </c>
      <c r="Q1405" s="20" t="s">
        <v>6370</v>
      </c>
      <c r="R1405" s="20">
        <v>96180103</v>
      </c>
      <c r="S1405" s="25" t="s">
        <v>55</v>
      </c>
      <c r="T1405" s="26" t="s">
        <v>56</v>
      </c>
      <c r="U1405" s="23">
        <v>357654179338333</v>
      </c>
      <c r="V1405" s="27" t="s">
        <v>78</v>
      </c>
      <c r="W1405" s="20" t="s">
        <v>95</v>
      </c>
      <c r="X1405" s="20" t="s">
        <v>95</v>
      </c>
      <c r="Y1405" s="20" t="s">
        <v>95</v>
      </c>
      <c r="Z1405" s="20" t="s">
        <v>60</v>
      </c>
      <c r="AA1405" s="20" t="s">
        <v>61</v>
      </c>
      <c r="AB1405" s="20" t="s">
        <v>96</v>
      </c>
      <c r="AC1405" s="28">
        <v>369.83</v>
      </c>
      <c r="AD1405" s="28">
        <f>SUM(BASE[[#This Row],[MONTO DE RENTA ]]*1.16)</f>
        <v>429.00279999999998</v>
      </c>
      <c r="AE1405" s="28" t="s">
        <v>83</v>
      </c>
      <c r="AF1405" s="28">
        <v>559.48275862068965</v>
      </c>
      <c r="AG1405" s="28">
        <v>649</v>
      </c>
      <c r="AI1405" s="63">
        <v>44937</v>
      </c>
      <c r="AJ1405" s="73">
        <v>46043</v>
      </c>
      <c r="AK14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05" s="30"/>
      <c r="AN1405" s="20" t="s">
        <v>99</v>
      </c>
      <c r="AP1405" s="20" t="s">
        <v>66</v>
      </c>
      <c r="AQ1405" s="20" t="s">
        <v>100</v>
      </c>
    </row>
    <row r="1406" spans="1:43" ht="16">
      <c r="A1406" s="20">
        <v>5529721277</v>
      </c>
      <c r="B1406" s="21">
        <v>630011</v>
      </c>
      <c r="C1406" s="20" t="s">
        <v>3088</v>
      </c>
      <c r="D1406" s="20" t="s">
        <v>6371</v>
      </c>
      <c r="E1406" s="20" t="s">
        <v>598</v>
      </c>
      <c r="F1406" s="20" t="s">
        <v>5334</v>
      </c>
      <c r="G1406" s="20" t="s">
        <v>5334</v>
      </c>
      <c r="H1406" s="20" t="s">
        <v>5320</v>
      </c>
      <c r="I1406" s="20" t="s">
        <v>5334</v>
      </c>
      <c r="J1406" s="22" t="s">
        <v>6372</v>
      </c>
      <c r="K1406" s="54" t="s">
        <v>6373</v>
      </c>
      <c r="L1406" s="23" t="s">
        <v>92</v>
      </c>
      <c r="M1406" s="24" t="s">
        <v>7738</v>
      </c>
      <c r="N1406" s="23">
        <v>18848036</v>
      </c>
      <c r="O1406" s="25" t="s">
        <v>52</v>
      </c>
      <c r="P1406" s="25" t="s">
        <v>53</v>
      </c>
      <c r="Q1406" s="20" t="s">
        <v>6374</v>
      </c>
      <c r="R1406" s="20">
        <v>95704513</v>
      </c>
      <c r="S1406" s="25" t="s">
        <v>6375</v>
      </c>
      <c r="T1406" s="44" t="s">
        <v>77</v>
      </c>
      <c r="U1406" s="23">
        <v>358366320793626</v>
      </c>
      <c r="V1406" s="27" t="s">
        <v>78</v>
      </c>
      <c r="W1406" s="20" t="s">
        <v>79</v>
      </c>
      <c r="X1406" s="20" t="s">
        <v>79</v>
      </c>
      <c r="Y1406" s="20" t="s">
        <v>79</v>
      </c>
      <c r="Z1406" s="20" t="s">
        <v>167</v>
      </c>
      <c r="AA1406" s="20" t="s">
        <v>168</v>
      </c>
      <c r="AB1406" s="20" t="s">
        <v>82</v>
      </c>
      <c r="AC1406" s="28">
        <v>559.48</v>
      </c>
      <c r="AD1406" s="28">
        <f>SUM(BASE[[#This Row],[MONTO DE RENTA ]]*1.16)</f>
        <v>648.99680000000001</v>
      </c>
      <c r="AE1406" s="28" t="s">
        <v>83</v>
      </c>
      <c r="AF1406" s="28">
        <v>559.48275862068965</v>
      </c>
      <c r="AG1406" s="28">
        <v>649</v>
      </c>
      <c r="AH1406" s="22" t="s">
        <v>64</v>
      </c>
      <c r="AI1406" s="63">
        <v>45703</v>
      </c>
      <c r="AJ1406" s="63">
        <v>46433</v>
      </c>
      <c r="AK14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06" s="30"/>
      <c r="AN1406" s="20" t="s">
        <v>65</v>
      </c>
      <c r="AP1406" s="20" t="s">
        <v>84</v>
      </c>
    </row>
    <row r="1407" spans="1:43" ht="16">
      <c r="A1407" s="20">
        <v>8118223350</v>
      </c>
      <c r="B1407" s="49">
        <v>1062166</v>
      </c>
      <c r="C1407" s="20" t="s">
        <v>6376</v>
      </c>
      <c r="D1407" s="20" t="s">
        <v>6377</v>
      </c>
      <c r="E1407" s="20" t="s">
        <v>1104</v>
      </c>
      <c r="F1407" s="20" t="s">
        <v>5612</v>
      </c>
      <c r="G1407" s="20" t="s">
        <v>5612</v>
      </c>
      <c r="H1407" s="20" t="s">
        <v>199</v>
      </c>
      <c r="I1407" s="20" t="s">
        <v>5612</v>
      </c>
      <c r="J1407" s="32" t="s">
        <v>6378</v>
      </c>
      <c r="K1407" s="32" t="s">
        <v>6378</v>
      </c>
      <c r="L1407" s="23" t="s">
        <v>92</v>
      </c>
      <c r="M1407" s="24" t="s">
        <v>7738</v>
      </c>
      <c r="N1407" s="23">
        <v>18848076</v>
      </c>
      <c r="O1407" s="25" t="s">
        <v>74</v>
      </c>
      <c r="P1407" s="25" t="s">
        <v>53</v>
      </c>
      <c r="Q1407" s="20" t="s">
        <v>6379</v>
      </c>
      <c r="R1407" s="20">
        <v>44008259</v>
      </c>
      <c r="S1407" s="25" t="s">
        <v>55</v>
      </c>
      <c r="T1407" s="26" t="s">
        <v>56</v>
      </c>
      <c r="U1407" s="23">
        <v>865356065671257</v>
      </c>
      <c r="V1407" s="27" t="s">
        <v>183</v>
      </c>
      <c r="W1407" s="20" t="s">
        <v>129</v>
      </c>
      <c r="X1407" s="20" t="s">
        <v>130</v>
      </c>
      <c r="Y1407" s="20" t="s">
        <v>130</v>
      </c>
      <c r="Z1407" s="20" t="s">
        <v>60</v>
      </c>
      <c r="AA1407" s="20" t="s">
        <v>61</v>
      </c>
      <c r="AB1407" s="20" t="s">
        <v>96</v>
      </c>
      <c r="AC1407" s="28">
        <v>369.83</v>
      </c>
      <c r="AD1407" s="28">
        <f>SUM(BASE[[#This Row],[MONTO DE RENTA ]]*1.16)</f>
        <v>429.00279999999998</v>
      </c>
      <c r="AE1407" s="28" t="s">
        <v>63</v>
      </c>
      <c r="AF1407" s="28">
        <v>369.82758620689657</v>
      </c>
      <c r="AG1407" s="28">
        <v>429</v>
      </c>
      <c r="AH1407" s="22" t="s">
        <v>116</v>
      </c>
      <c r="AI1407" s="63">
        <v>45924</v>
      </c>
      <c r="AJ1407" s="63">
        <v>46046</v>
      </c>
      <c r="AK140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07" s="30"/>
      <c r="AN1407" s="20" t="s">
        <v>99</v>
      </c>
      <c r="AP1407" s="20" t="s">
        <v>84</v>
      </c>
      <c r="AQ1407" s="20" t="s">
        <v>100</v>
      </c>
    </row>
    <row r="1408" spans="1:43" ht="16">
      <c r="A1408" s="20">
        <v>8116200404</v>
      </c>
      <c r="B1408" s="49">
        <v>10741</v>
      </c>
      <c r="C1408" s="20" t="s">
        <v>6380</v>
      </c>
      <c r="D1408" s="20" t="s">
        <v>6381</v>
      </c>
      <c r="E1408" s="20" t="s">
        <v>6377</v>
      </c>
      <c r="F1408" s="20" t="s">
        <v>5422</v>
      </c>
      <c r="G1408" s="20" t="s">
        <v>5422</v>
      </c>
      <c r="H1408" s="20" t="s">
        <v>89</v>
      </c>
      <c r="I1408" s="20" t="s">
        <v>5422</v>
      </c>
      <c r="J1408" s="22" t="s">
        <v>6382</v>
      </c>
      <c r="K1408" s="22" t="s">
        <v>6382</v>
      </c>
      <c r="L1408" s="23" t="s">
        <v>92</v>
      </c>
      <c r="M1408" s="24" t="s">
        <v>7738</v>
      </c>
      <c r="N1408" s="23">
        <v>18848041</v>
      </c>
      <c r="O1408" s="25" t="s">
        <v>74</v>
      </c>
      <c r="P1408" s="25" t="s">
        <v>53</v>
      </c>
      <c r="Q1408" s="20" t="s">
        <v>6383</v>
      </c>
      <c r="R1408" s="20">
        <v>42888649</v>
      </c>
      <c r="S1408" s="25" t="s">
        <v>55</v>
      </c>
      <c r="T1408" s="26" t="s">
        <v>56</v>
      </c>
      <c r="U1408" s="23">
        <v>357654178582030</v>
      </c>
      <c r="V1408" s="27" t="s">
        <v>78</v>
      </c>
      <c r="W1408" s="20" t="s">
        <v>95</v>
      </c>
      <c r="X1408" s="20" t="s">
        <v>95</v>
      </c>
      <c r="Y1408" s="20" t="s">
        <v>95</v>
      </c>
      <c r="Z1408" s="20" t="s">
        <v>60</v>
      </c>
      <c r="AA1408" s="20" t="s">
        <v>61</v>
      </c>
      <c r="AB1408" s="20" t="s">
        <v>82</v>
      </c>
      <c r="AC1408" s="28">
        <v>559.48</v>
      </c>
      <c r="AD1408" s="28">
        <f>SUM(BASE[[#This Row],[MONTO DE RENTA ]]*1.16)</f>
        <v>648.99680000000001</v>
      </c>
      <c r="AE1408" s="28" t="s">
        <v>83</v>
      </c>
      <c r="AF1408" s="28">
        <v>559.48275862068965</v>
      </c>
      <c r="AG1408" s="28">
        <v>649</v>
      </c>
      <c r="AI1408" s="63">
        <v>44937</v>
      </c>
      <c r="AJ1408" s="73">
        <v>46043</v>
      </c>
      <c r="AK140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08" s="30"/>
      <c r="AN1408" s="20" t="s">
        <v>99</v>
      </c>
      <c r="AP1408" s="20" t="s">
        <v>84</v>
      </c>
      <c r="AQ1408" s="20" t="s">
        <v>100</v>
      </c>
    </row>
    <row r="1409" spans="1:43" ht="16">
      <c r="A1409" s="20">
        <v>5518814979</v>
      </c>
      <c r="B1409" s="49">
        <v>470027</v>
      </c>
      <c r="C1409" s="20" t="s">
        <v>6384</v>
      </c>
      <c r="D1409" s="20" t="s">
        <v>6385</v>
      </c>
      <c r="E1409" s="20" t="s">
        <v>153</v>
      </c>
      <c r="F1409" s="20" t="s">
        <v>5587</v>
      </c>
      <c r="G1409" s="20" t="s">
        <v>5587</v>
      </c>
      <c r="H1409" s="20" t="s">
        <v>5320</v>
      </c>
      <c r="I1409" s="20" t="s">
        <v>5587</v>
      </c>
      <c r="J1409" s="22" t="s">
        <v>6386</v>
      </c>
      <c r="K1409" s="22" t="s">
        <v>6387</v>
      </c>
      <c r="L1409" s="23" t="s">
        <v>92</v>
      </c>
      <c r="M1409" s="24" t="s">
        <v>7738</v>
      </c>
      <c r="N1409" s="23">
        <v>18848044</v>
      </c>
      <c r="O1409" s="25" t="s">
        <v>52</v>
      </c>
      <c r="P1409" s="25" t="s">
        <v>53</v>
      </c>
      <c r="Q1409" s="20" t="s">
        <v>6388</v>
      </c>
      <c r="R1409" s="20">
        <v>9606068</v>
      </c>
      <c r="S1409" s="25" t="s">
        <v>55</v>
      </c>
      <c r="T1409" s="26" t="s">
        <v>56</v>
      </c>
      <c r="U1409" s="23">
        <v>357654178006261</v>
      </c>
      <c r="V1409" s="27" t="s">
        <v>78</v>
      </c>
      <c r="W1409" s="20" t="s">
        <v>5299</v>
      </c>
      <c r="X1409" s="20" t="s">
        <v>5299</v>
      </c>
      <c r="Y1409" s="20" t="s">
        <v>5299</v>
      </c>
      <c r="Z1409" s="20" t="s">
        <v>60</v>
      </c>
      <c r="AA1409" s="20" t="s">
        <v>61</v>
      </c>
      <c r="AB1409" s="20" t="s">
        <v>82</v>
      </c>
      <c r="AC1409" s="28">
        <v>559.48</v>
      </c>
      <c r="AD1409" s="28">
        <f>SUM(BASE[[#This Row],[MONTO DE RENTA ]]*1.16)</f>
        <v>648.99680000000001</v>
      </c>
      <c r="AE1409" s="28" t="s">
        <v>83</v>
      </c>
      <c r="AF1409" s="28">
        <v>559.48275862068965</v>
      </c>
      <c r="AG1409" s="28">
        <v>649</v>
      </c>
      <c r="AI1409" s="63">
        <v>44937</v>
      </c>
      <c r="AJ1409" s="73">
        <v>46043</v>
      </c>
      <c r="AK140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09" s="30"/>
      <c r="AN1409" s="20" t="s">
        <v>99</v>
      </c>
      <c r="AP1409" s="20" t="s">
        <v>84</v>
      </c>
      <c r="AQ1409" s="20" t="s">
        <v>100</v>
      </c>
    </row>
    <row r="1410" spans="1:43" ht="16">
      <c r="A1410" s="87">
        <v>8113908166</v>
      </c>
      <c r="B1410" s="49">
        <v>0</v>
      </c>
      <c r="C1410" s="87" t="s">
        <v>1653</v>
      </c>
      <c r="D1410" s="87" t="s">
        <v>1654</v>
      </c>
      <c r="E1410" s="87" t="s">
        <v>1655</v>
      </c>
      <c r="F1410" s="87" t="s">
        <v>1656</v>
      </c>
      <c r="G1410" s="87" t="s">
        <v>1656</v>
      </c>
      <c r="H1410" s="87" t="s">
        <v>1657</v>
      </c>
      <c r="I1410" s="87" t="s">
        <v>1658</v>
      </c>
      <c r="J1410" s="217" t="s">
        <v>6389</v>
      </c>
      <c r="K1410" s="216" t="s">
        <v>6390</v>
      </c>
      <c r="L1410" s="218" t="s">
        <v>92</v>
      </c>
      <c r="M1410" s="219" t="s">
        <v>7738</v>
      </c>
      <c r="N1410" s="218" t="s">
        <v>1661</v>
      </c>
      <c r="O1410" s="220" t="s">
        <v>74</v>
      </c>
      <c r="P1410" s="25" t="s">
        <v>5460</v>
      </c>
      <c r="Q1410" s="87" t="s">
        <v>6391</v>
      </c>
      <c r="R1410" s="87">
        <v>43132032</v>
      </c>
      <c r="S1410" s="220" t="s">
        <v>6392</v>
      </c>
      <c r="T1410" s="221" t="s">
        <v>57</v>
      </c>
      <c r="U1410" s="218">
        <v>860900062335492</v>
      </c>
      <c r="V1410" s="222" t="s">
        <v>57</v>
      </c>
      <c r="W1410" s="87" t="s">
        <v>58</v>
      </c>
      <c r="X1410" s="20" t="s">
        <v>59</v>
      </c>
      <c r="Y1410" s="20" t="s">
        <v>59</v>
      </c>
      <c r="Z1410" s="87" t="s">
        <v>167</v>
      </c>
      <c r="AA1410" s="87" t="s">
        <v>168</v>
      </c>
      <c r="AB1410" s="87" t="s">
        <v>96</v>
      </c>
      <c r="AC1410" s="223">
        <v>369.83</v>
      </c>
      <c r="AD1410" s="223">
        <f>SUM(BASE[[#This Row],[MONTO DE RENTA ]]*1.16)</f>
        <v>429.00279999999998</v>
      </c>
      <c r="AE1410" s="28" t="s">
        <v>63</v>
      </c>
      <c r="AF1410" s="223">
        <v>369.82758620689657</v>
      </c>
      <c r="AG1410" s="223">
        <v>429</v>
      </c>
      <c r="AH1410" s="217" t="s">
        <v>64</v>
      </c>
      <c r="AI1410" s="232">
        <v>45703</v>
      </c>
      <c r="AJ1410" s="232">
        <v>46433</v>
      </c>
      <c r="AK1410" s="225">
        <f ca="1">IFERROR(IF(BASE[[#This Row],[FECHA DE RENOVACION ]]&gt;TODAY(), DATEDIF(TODAY(),BASE[[#This Row],[FECHA DE RENOVACION ]],"M"), -DATEDIF(BASE[[#This Row],[FECHA DE RENOVACION ]],TODAY(),"M")), "Sin fecha")</f>
        <v>11</v>
      </c>
      <c r="AL1410" s="87"/>
      <c r="AM1410" s="225"/>
      <c r="AN1410" s="87" t="s">
        <v>65</v>
      </c>
      <c r="AO1410" s="87"/>
      <c r="AP1410" s="20" t="s">
        <v>84</v>
      </c>
      <c r="AQ1410" s="87"/>
    </row>
    <row r="1411" spans="1:43" ht="16">
      <c r="A1411" s="20">
        <v>8118202694</v>
      </c>
      <c r="B1411" s="49">
        <v>1050452</v>
      </c>
      <c r="C1411" s="20" t="s">
        <v>1011</v>
      </c>
      <c r="D1411" s="20" t="s">
        <v>177</v>
      </c>
      <c r="E1411" s="20" t="s">
        <v>427</v>
      </c>
      <c r="F1411" s="20" t="s">
        <v>6393</v>
      </c>
      <c r="G1411" s="20" t="s">
        <v>6393</v>
      </c>
      <c r="H1411" s="20" t="s">
        <v>208</v>
      </c>
      <c r="I1411" s="20" t="s">
        <v>6393</v>
      </c>
      <c r="J1411" s="22" t="s">
        <v>6394</v>
      </c>
      <c r="K1411" s="22" t="s">
        <v>6394</v>
      </c>
      <c r="L1411" s="23" t="s">
        <v>92</v>
      </c>
      <c r="M1411" s="24" t="s">
        <v>7738</v>
      </c>
      <c r="N1411" s="23">
        <v>18848052</v>
      </c>
      <c r="O1411" s="25" t="s">
        <v>74</v>
      </c>
      <c r="P1411" s="25" t="s">
        <v>53</v>
      </c>
      <c r="Q1411" s="20" t="s">
        <v>6395</v>
      </c>
      <c r="R1411" s="20">
        <v>45522049</v>
      </c>
      <c r="S1411" s="25" t="s">
        <v>55</v>
      </c>
      <c r="T1411" s="44" t="s">
        <v>56</v>
      </c>
      <c r="U1411" s="23">
        <v>860900062335062</v>
      </c>
      <c r="V1411" s="27" t="s">
        <v>183</v>
      </c>
      <c r="W1411" s="20" t="s">
        <v>58</v>
      </c>
      <c r="X1411" s="20" t="s">
        <v>59</v>
      </c>
      <c r="Y1411" s="20" t="s">
        <v>59</v>
      </c>
      <c r="Z1411" s="20" t="s">
        <v>113</v>
      </c>
      <c r="AA1411" s="20" t="s">
        <v>114</v>
      </c>
      <c r="AB1411" s="20" t="s">
        <v>244</v>
      </c>
      <c r="AC1411" s="28">
        <v>473.28</v>
      </c>
      <c r="AD1411" s="28">
        <f>SUM(BASE[[#This Row],[MONTO DE RENTA ]]*1.16)</f>
        <v>549.00479999999993</v>
      </c>
      <c r="AE1411" s="28" t="s">
        <v>63</v>
      </c>
      <c r="AF1411" s="28">
        <v>369.82758620689657</v>
      </c>
      <c r="AG1411" s="28">
        <v>429</v>
      </c>
      <c r="AH1411" s="22" t="s">
        <v>116</v>
      </c>
      <c r="AI1411" s="63">
        <v>45855</v>
      </c>
      <c r="AJ1411" s="63">
        <v>46753</v>
      </c>
      <c r="AK1411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411" s="20" t="s">
        <v>6396</v>
      </c>
      <c r="AM1411" s="30"/>
      <c r="AN1411" s="20" t="s">
        <v>65</v>
      </c>
      <c r="AP1411" s="20" t="s">
        <v>118</v>
      </c>
    </row>
    <row r="1412" spans="1:43" ht="16">
      <c r="A1412" s="20">
        <v>8116200396</v>
      </c>
      <c r="B1412" s="49">
        <v>160295</v>
      </c>
      <c r="C1412" s="20" t="s">
        <v>6397</v>
      </c>
      <c r="D1412" s="20" t="s">
        <v>2982</v>
      </c>
      <c r="E1412" s="20" t="s">
        <v>1367</v>
      </c>
      <c r="F1412" s="20" t="s">
        <v>5385</v>
      </c>
      <c r="G1412" s="20" t="s">
        <v>5385</v>
      </c>
      <c r="H1412" s="20" t="s">
        <v>5381</v>
      </c>
      <c r="I1412" s="20" t="s">
        <v>5385</v>
      </c>
      <c r="J1412" s="22" t="s">
        <v>6398</v>
      </c>
      <c r="K1412" s="22" t="s">
        <v>6399</v>
      </c>
      <c r="L1412" s="23" t="s">
        <v>92</v>
      </c>
      <c r="M1412" s="24" t="s">
        <v>7738</v>
      </c>
      <c r="N1412" s="23">
        <v>18848024</v>
      </c>
      <c r="O1412" s="25" t="s">
        <v>74</v>
      </c>
      <c r="P1412" s="25" t="s">
        <v>53</v>
      </c>
      <c r="Q1412" s="20" t="s">
        <v>6400</v>
      </c>
      <c r="R1412" s="20">
        <v>42888620</v>
      </c>
      <c r="S1412" s="25" t="s">
        <v>55</v>
      </c>
      <c r="T1412" s="26" t="s">
        <v>56</v>
      </c>
      <c r="U1412" s="23">
        <v>357654178750033</v>
      </c>
      <c r="V1412" s="27" t="s">
        <v>78</v>
      </c>
      <c r="W1412" s="20" t="s">
        <v>95</v>
      </c>
      <c r="X1412" s="20" t="s">
        <v>95</v>
      </c>
      <c r="Y1412" s="20" t="s">
        <v>95</v>
      </c>
      <c r="Z1412" s="20" t="s">
        <v>584</v>
      </c>
      <c r="AA1412" s="20" t="s">
        <v>585</v>
      </c>
      <c r="AB1412" s="20" t="s">
        <v>82</v>
      </c>
      <c r="AC1412" s="28">
        <v>559.48</v>
      </c>
      <c r="AD1412" s="28">
        <f>SUM(BASE[[#This Row],[MONTO DE RENTA ]]*1.16)</f>
        <v>648.99680000000001</v>
      </c>
      <c r="AE1412" s="28" t="s">
        <v>83</v>
      </c>
      <c r="AF1412" s="28">
        <v>559.48275862068965</v>
      </c>
      <c r="AG1412" s="28">
        <v>649</v>
      </c>
      <c r="AI1412" s="63">
        <v>44937</v>
      </c>
      <c r="AJ1412" s="73">
        <v>46043</v>
      </c>
      <c r="AK14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12" s="30"/>
      <c r="AN1412" s="20" t="s">
        <v>99</v>
      </c>
      <c r="AP1412" s="20" t="s">
        <v>84</v>
      </c>
      <c r="AQ1412" s="20" t="s">
        <v>100</v>
      </c>
    </row>
    <row r="1413" spans="1:43" ht="16">
      <c r="A1413" s="20">
        <v>8119111601</v>
      </c>
      <c r="B1413" s="49">
        <v>6244</v>
      </c>
      <c r="C1413" s="20" t="s">
        <v>1810</v>
      </c>
      <c r="D1413" s="20" t="s">
        <v>6401</v>
      </c>
      <c r="E1413" s="20" t="s">
        <v>293</v>
      </c>
      <c r="F1413" s="20" t="s">
        <v>6113</v>
      </c>
      <c r="G1413" s="20" t="s">
        <v>6113</v>
      </c>
      <c r="H1413" s="20" t="s">
        <v>155</v>
      </c>
      <c r="I1413" s="20" t="s">
        <v>6113</v>
      </c>
      <c r="J1413" s="22" t="s">
        <v>6402</v>
      </c>
      <c r="K1413" s="22" t="s">
        <v>6403</v>
      </c>
      <c r="L1413" s="23" t="s">
        <v>92</v>
      </c>
      <c r="M1413" s="24" t="s">
        <v>7738</v>
      </c>
      <c r="N1413" s="23">
        <v>18848013</v>
      </c>
      <c r="O1413" s="25" t="s">
        <v>74</v>
      </c>
      <c r="P1413" s="25" t="s">
        <v>53</v>
      </c>
      <c r="Q1413" s="20" t="s">
        <v>6404</v>
      </c>
      <c r="R1413" s="20">
        <v>42669151</v>
      </c>
      <c r="S1413" s="25" t="s">
        <v>55</v>
      </c>
      <c r="T1413" s="26" t="s">
        <v>56</v>
      </c>
      <c r="U1413" s="23">
        <v>350739823431563</v>
      </c>
      <c r="V1413" s="27" t="s">
        <v>78</v>
      </c>
      <c r="W1413" s="20" t="s">
        <v>5347</v>
      </c>
      <c r="X1413" s="20" t="s">
        <v>5347</v>
      </c>
      <c r="Y1413" s="20" t="s">
        <v>5347</v>
      </c>
      <c r="Z1413" s="20" t="s">
        <v>584</v>
      </c>
      <c r="AA1413" s="20" t="s">
        <v>585</v>
      </c>
      <c r="AB1413" s="20" t="s">
        <v>82</v>
      </c>
      <c r="AC1413" s="28">
        <v>559.48</v>
      </c>
      <c r="AD1413" s="28">
        <f>SUM(BASE[[#This Row],[MONTO DE RENTA ]]*1.16)</f>
        <v>648.99680000000001</v>
      </c>
      <c r="AE1413" s="28" t="s">
        <v>83</v>
      </c>
      <c r="AF1413" s="28">
        <v>559.48275862068965</v>
      </c>
      <c r="AG1413" s="28">
        <v>649</v>
      </c>
      <c r="AI1413" s="63">
        <v>44937</v>
      </c>
      <c r="AJ1413" s="73">
        <v>46043</v>
      </c>
      <c r="AK141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13" s="30"/>
      <c r="AN1413" s="20" t="s">
        <v>99</v>
      </c>
      <c r="AP1413" s="20" t="s">
        <v>84</v>
      </c>
      <c r="AQ1413" s="20" t="s">
        <v>100</v>
      </c>
    </row>
    <row r="1414" spans="1:43" ht="16">
      <c r="A1414" s="20">
        <v>9992680107</v>
      </c>
      <c r="B1414" s="49">
        <v>360092</v>
      </c>
      <c r="C1414" s="20" t="s">
        <v>6405</v>
      </c>
      <c r="D1414" s="20" t="s">
        <v>657</v>
      </c>
      <c r="E1414" s="20" t="s">
        <v>1587</v>
      </c>
      <c r="F1414" s="20" t="s">
        <v>5587</v>
      </c>
      <c r="G1414" s="20" t="s">
        <v>5587</v>
      </c>
      <c r="H1414" s="20" t="s">
        <v>5320</v>
      </c>
      <c r="I1414" s="20" t="s">
        <v>5587</v>
      </c>
      <c r="J1414" s="22" t="s">
        <v>6406</v>
      </c>
      <c r="K1414" s="32" t="s">
        <v>6407</v>
      </c>
      <c r="L1414" s="23" t="s">
        <v>92</v>
      </c>
      <c r="M1414" s="24" t="s">
        <v>7738</v>
      </c>
      <c r="N1414" s="23">
        <v>18848044</v>
      </c>
      <c r="O1414" s="25" t="s">
        <v>1035</v>
      </c>
      <c r="P1414" s="25" t="s">
        <v>53</v>
      </c>
      <c r="Q1414" s="20" t="s">
        <v>6408</v>
      </c>
      <c r="R1414" s="20">
        <v>83180499</v>
      </c>
      <c r="S1414" s="25" t="s">
        <v>55</v>
      </c>
      <c r="T1414" s="26" t="s">
        <v>56</v>
      </c>
      <c r="U1414" s="23">
        <v>357654179096501</v>
      </c>
      <c r="V1414" s="27" t="s">
        <v>78</v>
      </c>
      <c r="W1414" s="20" t="s">
        <v>5299</v>
      </c>
      <c r="X1414" s="20" t="s">
        <v>5299</v>
      </c>
      <c r="Y1414" s="20" t="s">
        <v>5299</v>
      </c>
      <c r="Z1414" s="20" t="s">
        <v>60</v>
      </c>
      <c r="AA1414" s="20" t="s">
        <v>61</v>
      </c>
      <c r="AB1414" s="20" t="s">
        <v>82</v>
      </c>
      <c r="AC1414" s="28">
        <v>559.48</v>
      </c>
      <c r="AD1414" s="28">
        <f>SUM(BASE[[#This Row],[MONTO DE RENTA ]]*1.16)</f>
        <v>648.99680000000001</v>
      </c>
      <c r="AE1414" s="28" t="s">
        <v>83</v>
      </c>
      <c r="AF1414" s="28">
        <v>559.48275862068965</v>
      </c>
      <c r="AG1414" s="28">
        <v>649</v>
      </c>
      <c r="AI1414" s="63">
        <v>44937</v>
      </c>
      <c r="AJ1414" s="73">
        <v>46043</v>
      </c>
      <c r="AK141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14" s="30"/>
      <c r="AN1414" s="20" t="s">
        <v>99</v>
      </c>
      <c r="AP1414" s="20" t="s">
        <v>84</v>
      </c>
      <c r="AQ1414" s="20" t="s">
        <v>100</v>
      </c>
    </row>
    <row r="1415" spans="1:43" s="87" customFormat="1" ht="16">
      <c r="A1415" s="87">
        <v>8116237858</v>
      </c>
      <c r="B1415" s="215">
        <v>640036</v>
      </c>
      <c r="C1415" s="87" t="s">
        <v>1810</v>
      </c>
      <c r="D1415" s="87" t="s">
        <v>1182</v>
      </c>
      <c r="E1415" s="87" t="s">
        <v>324</v>
      </c>
      <c r="F1415" s="87" t="s">
        <v>5443</v>
      </c>
      <c r="G1415" s="87" t="s">
        <v>5443</v>
      </c>
      <c r="H1415" s="87" t="s">
        <v>5320</v>
      </c>
      <c r="I1415" s="87" t="s">
        <v>5443</v>
      </c>
      <c r="J1415" s="217" t="s">
        <v>6409</v>
      </c>
      <c r="K1415" s="217" t="s">
        <v>6410</v>
      </c>
      <c r="L1415" s="218" t="s">
        <v>92</v>
      </c>
      <c r="M1415" s="219" t="s">
        <v>7738</v>
      </c>
      <c r="N1415" s="218">
        <v>18848067</v>
      </c>
      <c r="O1415" s="220" t="s">
        <v>74</v>
      </c>
      <c r="P1415" s="25" t="s">
        <v>3857</v>
      </c>
      <c r="Q1415" s="87" t="s">
        <v>6411</v>
      </c>
      <c r="R1415" s="87">
        <v>43056417</v>
      </c>
      <c r="S1415" s="220" t="s">
        <v>6412</v>
      </c>
      <c r="T1415" s="221" t="s">
        <v>57</v>
      </c>
      <c r="U1415" s="218">
        <v>860900062335880</v>
      </c>
      <c r="V1415" s="222" t="s">
        <v>57</v>
      </c>
      <c r="W1415" s="87" t="s">
        <v>58</v>
      </c>
      <c r="X1415" s="20" t="s">
        <v>59</v>
      </c>
      <c r="Y1415" s="20" t="s">
        <v>59</v>
      </c>
      <c r="Z1415" s="87" t="s">
        <v>167</v>
      </c>
      <c r="AA1415" s="87" t="s">
        <v>168</v>
      </c>
      <c r="AB1415" s="87" t="s">
        <v>96</v>
      </c>
      <c r="AC1415" s="223">
        <v>369.83</v>
      </c>
      <c r="AD1415" s="223">
        <f>SUM(BASE[[#This Row],[MONTO DE RENTA ]]*1.16)</f>
        <v>429.00279999999998</v>
      </c>
      <c r="AE1415" s="223" t="s">
        <v>63</v>
      </c>
      <c r="AF1415" s="223">
        <v>369.82758620689657</v>
      </c>
      <c r="AG1415" s="223">
        <v>429</v>
      </c>
      <c r="AH1415" s="217" t="s">
        <v>64</v>
      </c>
      <c r="AI1415" s="232">
        <v>45703</v>
      </c>
      <c r="AJ1415" s="232">
        <v>46433</v>
      </c>
      <c r="AK1415" s="225">
        <f ca="1">IFERROR(IF(BASE[[#This Row],[FECHA DE RENOVACION ]]&gt;TODAY(), DATEDIF(TODAY(),BASE[[#This Row],[FECHA DE RENOVACION ]],"M"), -DATEDIF(BASE[[#This Row],[FECHA DE RENOVACION ]],TODAY(),"M")), "Sin fecha")</f>
        <v>11</v>
      </c>
      <c r="AM1415" s="225">
        <v>147258</v>
      </c>
      <c r="AN1415" s="87" t="s">
        <v>65</v>
      </c>
      <c r="AP1415" s="87" t="s">
        <v>84</v>
      </c>
    </row>
    <row r="1416" spans="1:43" ht="16">
      <c r="A1416" s="20">
        <v>8135515213</v>
      </c>
      <c r="B1416" s="21">
        <v>1045761</v>
      </c>
      <c r="C1416" s="20" t="s">
        <v>6405</v>
      </c>
      <c r="D1416" s="20" t="s">
        <v>376</v>
      </c>
      <c r="E1416" s="20" t="s">
        <v>3074</v>
      </c>
      <c r="F1416" s="20" t="s">
        <v>198</v>
      </c>
      <c r="G1416" s="20" t="s">
        <v>198</v>
      </c>
      <c r="H1416" s="20" t="s">
        <v>199</v>
      </c>
      <c r="I1416" s="20" t="s">
        <v>198</v>
      </c>
      <c r="J1416" s="22" t="s">
        <v>6413</v>
      </c>
      <c r="K1416" s="32" t="s">
        <v>6414</v>
      </c>
      <c r="L1416" s="23" t="s">
        <v>92</v>
      </c>
      <c r="M1416" s="24" t="s">
        <v>7738</v>
      </c>
      <c r="N1416" s="23">
        <v>18848076</v>
      </c>
      <c r="O1416" s="25" t="s">
        <v>74</v>
      </c>
      <c r="P1416" s="25" t="s">
        <v>53</v>
      </c>
      <c r="Q1416" s="20" t="s">
        <v>6415</v>
      </c>
      <c r="R1416" s="20">
        <v>44918890</v>
      </c>
      <c r="S1416" s="25" t="s">
        <v>6416</v>
      </c>
      <c r="T1416" s="26" t="s">
        <v>57</v>
      </c>
      <c r="U1416" s="23">
        <v>860900062337845</v>
      </c>
      <c r="V1416" s="27" t="s">
        <v>57</v>
      </c>
      <c r="W1416" s="20" t="s">
        <v>58</v>
      </c>
      <c r="X1416" s="20" t="s">
        <v>59</v>
      </c>
      <c r="Y1416" s="20" t="s">
        <v>59</v>
      </c>
      <c r="Z1416" s="20" t="s">
        <v>167</v>
      </c>
      <c r="AA1416" s="20" t="s">
        <v>168</v>
      </c>
      <c r="AB1416" s="20" t="s">
        <v>96</v>
      </c>
      <c r="AC1416" s="28">
        <v>369.83</v>
      </c>
      <c r="AD1416" s="28">
        <f>SUM(BASE[[#This Row],[MONTO DE RENTA ]]*1.16)</f>
        <v>429.00279999999998</v>
      </c>
      <c r="AE1416" s="28" t="s">
        <v>63</v>
      </c>
      <c r="AF1416" s="28">
        <v>369.82758620689657</v>
      </c>
      <c r="AG1416" s="28">
        <v>429</v>
      </c>
      <c r="AH1416" s="22" t="s">
        <v>64</v>
      </c>
      <c r="AI1416" s="63">
        <v>45713</v>
      </c>
      <c r="AJ1416" s="63">
        <v>46433</v>
      </c>
      <c r="AK141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16" s="30"/>
      <c r="AN1416" s="20" t="s">
        <v>65</v>
      </c>
      <c r="AP1416" s="20" t="s">
        <v>84</v>
      </c>
    </row>
    <row r="1417" spans="1:43" ht="16">
      <c r="A1417" s="20">
        <v>8182588259</v>
      </c>
      <c r="B1417" s="49">
        <v>1018163</v>
      </c>
      <c r="C1417" s="20" t="s">
        <v>6417</v>
      </c>
      <c r="D1417" s="20" t="s">
        <v>756</v>
      </c>
      <c r="E1417" s="20" t="s">
        <v>347</v>
      </c>
      <c r="F1417" s="20" t="s">
        <v>6418</v>
      </c>
      <c r="G1417" s="20" t="s">
        <v>6418</v>
      </c>
      <c r="H1417" s="20" t="s">
        <v>231</v>
      </c>
      <c r="I1417" s="20" t="s">
        <v>6418</v>
      </c>
      <c r="J1417" s="54" t="s">
        <v>6419</v>
      </c>
      <c r="K1417" s="54" t="s">
        <v>6419</v>
      </c>
      <c r="L1417" s="23" t="s">
        <v>92</v>
      </c>
      <c r="M1417" s="24" t="s">
        <v>7738</v>
      </c>
      <c r="N1417" s="23">
        <v>18848062</v>
      </c>
      <c r="O1417" s="25" t="s">
        <v>74</v>
      </c>
      <c r="P1417" s="25" t="s">
        <v>53</v>
      </c>
      <c r="Q1417" s="20" t="s">
        <v>6420</v>
      </c>
      <c r="R1417" s="20">
        <v>42888667</v>
      </c>
      <c r="S1417" s="25" t="s">
        <v>55</v>
      </c>
      <c r="T1417" s="65" t="s">
        <v>56</v>
      </c>
      <c r="U1417" s="23">
        <v>860900062731518</v>
      </c>
      <c r="V1417" s="27" t="s">
        <v>57</v>
      </c>
      <c r="W1417" s="20" t="s">
        <v>58</v>
      </c>
      <c r="X1417" s="20" t="s">
        <v>59</v>
      </c>
      <c r="Y1417" s="20" t="s">
        <v>59</v>
      </c>
      <c r="Z1417" s="20" t="s">
        <v>60</v>
      </c>
      <c r="AA1417" s="20" t="s">
        <v>61</v>
      </c>
      <c r="AB1417" s="20" t="s">
        <v>96</v>
      </c>
      <c r="AC1417" s="28">
        <v>369.83</v>
      </c>
      <c r="AD1417" s="28">
        <f>SUM(BASE[[#This Row],[MONTO DE RENTA ]]*1.16)</f>
        <v>429.00279999999998</v>
      </c>
      <c r="AE1417" s="28" t="s">
        <v>63</v>
      </c>
      <c r="AF1417" s="28">
        <v>369.82758620689657</v>
      </c>
      <c r="AG1417" s="28">
        <v>429</v>
      </c>
      <c r="AH1417" s="22" t="s">
        <v>5666</v>
      </c>
      <c r="AI1417" s="63">
        <v>45602</v>
      </c>
      <c r="AJ1417" s="63">
        <v>46402</v>
      </c>
      <c r="AK1417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417" s="171">
        <v>18848062</v>
      </c>
      <c r="AM1417" s="30" t="s">
        <v>6421</v>
      </c>
      <c r="AN1417" s="20" t="s">
        <v>65</v>
      </c>
      <c r="AP1417" s="20" t="s">
        <v>84</v>
      </c>
    </row>
    <row r="1418" spans="1:43" ht="16">
      <c r="A1418" s="20">
        <v>8113214943</v>
      </c>
      <c r="B1418" s="49">
        <v>1033125</v>
      </c>
      <c r="C1418" s="20" t="s">
        <v>5133</v>
      </c>
      <c r="D1418" s="20" t="s">
        <v>6422</v>
      </c>
      <c r="E1418" s="20" t="s">
        <v>657</v>
      </c>
      <c r="F1418" s="20" t="s">
        <v>6423</v>
      </c>
      <c r="G1418" s="20" t="s">
        <v>6423</v>
      </c>
      <c r="H1418" s="20" t="s">
        <v>5289</v>
      </c>
      <c r="I1418" s="20" t="s">
        <v>6423</v>
      </c>
      <c r="J1418" s="22" t="s">
        <v>6424</v>
      </c>
      <c r="K1418" s="22" t="s">
        <v>6425</v>
      </c>
      <c r="L1418" s="23" t="s">
        <v>92</v>
      </c>
      <c r="M1418" s="24" t="s">
        <v>7738</v>
      </c>
      <c r="N1418" s="23">
        <v>18848004</v>
      </c>
      <c r="O1418" s="25" t="s">
        <v>74</v>
      </c>
      <c r="P1418" s="25" t="s">
        <v>53</v>
      </c>
      <c r="Q1418" s="20" t="s">
        <v>6426</v>
      </c>
      <c r="R1418" s="20">
        <v>42920450</v>
      </c>
      <c r="S1418" s="25" t="s">
        <v>55</v>
      </c>
      <c r="T1418" s="26" t="s">
        <v>56</v>
      </c>
      <c r="U1418" s="23">
        <v>357654177726646</v>
      </c>
      <c r="V1418" s="27" t="s">
        <v>183</v>
      </c>
      <c r="W1418" s="20" t="s">
        <v>95</v>
      </c>
      <c r="X1418" s="20" t="s">
        <v>95</v>
      </c>
      <c r="Y1418" s="20" t="s">
        <v>95</v>
      </c>
      <c r="Z1418" s="20" t="s">
        <v>60</v>
      </c>
      <c r="AA1418" s="20" t="s">
        <v>61</v>
      </c>
      <c r="AB1418" s="20" t="s">
        <v>96</v>
      </c>
      <c r="AC1418" s="28">
        <v>369.83</v>
      </c>
      <c r="AD1418" s="28">
        <f>SUM(BASE[[#This Row],[MONTO DE RENTA ]]*1.16)</f>
        <v>429.00279999999998</v>
      </c>
      <c r="AE1418" s="28" t="s">
        <v>63</v>
      </c>
      <c r="AF1418" s="28">
        <v>369.82758620689657</v>
      </c>
      <c r="AG1418" s="28">
        <v>429</v>
      </c>
      <c r="AI1418" s="63">
        <v>44937</v>
      </c>
      <c r="AJ1418" s="73">
        <v>46043</v>
      </c>
      <c r="AK141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18" s="30"/>
      <c r="AN1418" s="20" t="s">
        <v>99</v>
      </c>
      <c r="AP1418" s="20" t="s">
        <v>84</v>
      </c>
      <c r="AQ1418" s="20" t="s">
        <v>100</v>
      </c>
    </row>
    <row r="1419" spans="1:43" ht="16">
      <c r="A1419" s="20">
        <v>8113206705</v>
      </c>
      <c r="B1419" s="49">
        <v>6206</v>
      </c>
      <c r="C1419" s="20" t="s">
        <v>6427</v>
      </c>
      <c r="D1419" s="20" t="s">
        <v>376</v>
      </c>
      <c r="E1419" s="20" t="s">
        <v>3074</v>
      </c>
      <c r="F1419" s="20" t="s">
        <v>6428</v>
      </c>
      <c r="G1419" s="20" t="s">
        <v>6428</v>
      </c>
      <c r="H1419" s="20" t="s">
        <v>155</v>
      </c>
      <c r="I1419" s="20" t="s">
        <v>6428</v>
      </c>
      <c r="J1419" s="22" t="s">
        <v>6429</v>
      </c>
      <c r="K1419" s="22" t="s">
        <v>6430</v>
      </c>
      <c r="L1419" s="23" t="s">
        <v>92</v>
      </c>
      <c r="M1419" s="24" t="s">
        <v>7738</v>
      </c>
      <c r="N1419" s="23">
        <v>18848043</v>
      </c>
      <c r="O1419" s="25" t="s">
        <v>74</v>
      </c>
      <c r="P1419" s="25" t="s">
        <v>53</v>
      </c>
      <c r="Q1419" s="20" t="s">
        <v>6431</v>
      </c>
      <c r="R1419" s="20">
        <v>42920439</v>
      </c>
      <c r="S1419" s="25" t="s">
        <v>55</v>
      </c>
      <c r="T1419" s="26" t="s">
        <v>56</v>
      </c>
      <c r="U1419" s="23">
        <v>350739823475230</v>
      </c>
      <c r="V1419" s="27" t="s">
        <v>78</v>
      </c>
      <c r="W1419" s="20" t="s">
        <v>5347</v>
      </c>
      <c r="X1419" s="20" t="s">
        <v>5347</v>
      </c>
      <c r="Y1419" s="20" t="s">
        <v>5347</v>
      </c>
      <c r="Z1419" s="20" t="s">
        <v>584</v>
      </c>
      <c r="AA1419" s="20" t="s">
        <v>585</v>
      </c>
      <c r="AB1419" s="20" t="s">
        <v>82</v>
      </c>
      <c r="AC1419" s="28">
        <v>559.48</v>
      </c>
      <c r="AD1419" s="28">
        <f>SUM(BASE[[#This Row],[MONTO DE RENTA ]]*1.16)</f>
        <v>648.99680000000001</v>
      </c>
      <c r="AE1419" s="28" t="s">
        <v>83</v>
      </c>
      <c r="AF1419" s="28">
        <v>559.48275862068965</v>
      </c>
      <c r="AG1419" s="28">
        <v>649</v>
      </c>
      <c r="AI1419" s="63">
        <v>44937</v>
      </c>
      <c r="AJ1419" s="73">
        <v>46043</v>
      </c>
      <c r="AK14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19" s="30"/>
      <c r="AN1419" s="20" t="s">
        <v>99</v>
      </c>
      <c r="AP1419" s="20" t="s">
        <v>84</v>
      </c>
      <c r="AQ1419" s="20" t="s">
        <v>100</v>
      </c>
    </row>
    <row r="1420" spans="1:43" ht="16">
      <c r="A1420" s="20">
        <v>8112665437</v>
      </c>
      <c r="B1420" s="21">
        <v>40979</v>
      </c>
      <c r="C1420" s="20" t="s">
        <v>6432</v>
      </c>
      <c r="D1420" s="20" t="s">
        <v>711</v>
      </c>
      <c r="E1420" s="20" t="s">
        <v>45</v>
      </c>
      <c r="F1420" s="20" t="s">
        <v>5288</v>
      </c>
      <c r="G1420" s="20" t="s">
        <v>5288</v>
      </c>
      <c r="H1420" s="20" t="s">
        <v>5289</v>
      </c>
      <c r="I1420" s="20" t="s">
        <v>5288</v>
      </c>
      <c r="J1420" s="22" t="s">
        <v>6433</v>
      </c>
      <c r="K1420" s="32" t="s">
        <v>6434</v>
      </c>
      <c r="L1420" s="23" t="s">
        <v>92</v>
      </c>
      <c r="M1420" s="24" t="s">
        <v>7738</v>
      </c>
      <c r="N1420" s="23">
        <v>18848028</v>
      </c>
      <c r="O1420" s="25" t="s">
        <v>74</v>
      </c>
      <c r="P1420" s="25" t="s">
        <v>53</v>
      </c>
      <c r="Q1420" s="20" t="s">
        <v>6435</v>
      </c>
      <c r="R1420" s="20">
        <v>43163522</v>
      </c>
      <c r="S1420" s="25" t="s">
        <v>6436</v>
      </c>
      <c r="T1420" s="26" t="s">
        <v>57</v>
      </c>
      <c r="U1420" s="23">
        <v>860900062337720</v>
      </c>
      <c r="V1420" s="27" t="s">
        <v>78</v>
      </c>
      <c r="W1420" s="20" t="s">
        <v>58</v>
      </c>
      <c r="X1420" s="20" t="s">
        <v>59</v>
      </c>
      <c r="Y1420" s="20" t="s">
        <v>59</v>
      </c>
      <c r="Z1420" s="20" t="s">
        <v>167</v>
      </c>
      <c r="AA1420" s="20" t="s">
        <v>168</v>
      </c>
      <c r="AB1420" s="20" t="s">
        <v>96</v>
      </c>
      <c r="AC1420" s="28">
        <v>369.83</v>
      </c>
      <c r="AD1420" s="28">
        <f>SUM(BASE[[#This Row],[MONTO DE RENTA ]]*1.16)</f>
        <v>429.00279999999998</v>
      </c>
      <c r="AE1420" s="28" t="s">
        <v>83</v>
      </c>
      <c r="AF1420" s="28">
        <v>559.48275862068965</v>
      </c>
      <c r="AG1420" s="28">
        <v>649</v>
      </c>
      <c r="AH1420" s="22" t="s">
        <v>64</v>
      </c>
      <c r="AI1420" s="63">
        <v>45703</v>
      </c>
      <c r="AJ1420" s="63">
        <v>46433</v>
      </c>
      <c r="AK142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20" s="30"/>
      <c r="AN1420" s="20" t="s">
        <v>99</v>
      </c>
      <c r="AP1420" s="20" t="s">
        <v>66</v>
      </c>
      <c r="AQ1420" s="20" t="s">
        <v>100</v>
      </c>
    </row>
    <row r="1421" spans="1:43" ht="16">
      <c r="A1421" s="20">
        <v>3332014101</v>
      </c>
      <c r="B1421" s="49">
        <v>230457</v>
      </c>
      <c r="C1421" s="20" t="s">
        <v>6437</v>
      </c>
      <c r="D1421" s="20" t="s">
        <v>845</v>
      </c>
      <c r="E1421" s="20" t="s">
        <v>186</v>
      </c>
      <c r="F1421" s="20" t="s">
        <v>6438</v>
      </c>
      <c r="G1421" s="20" t="s">
        <v>6438</v>
      </c>
      <c r="H1421" s="20" t="s">
        <v>5730</v>
      </c>
      <c r="I1421" s="20" t="s">
        <v>6438</v>
      </c>
      <c r="J1421" s="22" t="s">
        <v>6439</v>
      </c>
      <c r="K1421" s="22" t="s">
        <v>6440</v>
      </c>
      <c r="L1421" s="23" t="s">
        <v>92</v>
      </c>
      <c r="M1421" s="24" t="s">
        <v>7738</v>
      </c>
      <c r="N1421" s="23">
        <v>18848088</v>
      </c>
      <c r="O1421" s="25" t="s">
        <v>677</v>
      </c>
      <c r="P1421" s="25" t="s">
        <v>53</v>
      </c>
      <c r="Q1421" s="20" t="s">
        <v>6441</v>
      </c>
      <c r="R1421" s="20">
        <v>53460099</v>
      </c>
      <c r="S1421" s="25" t="s">
        <v>55</v>
      </c>
      <c r="T1421" s="26" t="s">
        <v>56</v>
      </c>
      <c r="U1421" s="23">
        <v>860982060887583</v>
      </c>
      <c r="V1421" s="27" t="s">
        <v>183</v>
      </c>
      <c r="W1421" s="20" t="s">
        <v>129</v>
      </c>
      <c r="X1421" s="20" t="s">
        <v>130</v>
      </c>
      <c r="Y1421" s="20" t="s">
        <v>130</v>
      </c>
      <c r="Z1421" s="20" t="s">
        <v>60</v>
      </c>
      <c r="AA1421" s="20" t="s">
        <v>61</v>
      </c>
      <c r="AB1421" s="20" t="s">
        <v>96</v>
      </c>
      <c r="AC1421" s="28">
        <v>369.83</v>
      </c>
      <c r="AD1421" s="28">
        <f>SUM(BASE[[#This Row],[MONTO DE RENTA ]]*1.16)</f>
        <v>429.00279999999998</v>
      </c>
      <c r="AE1421" s="28" t="s">
        <v>63</v>
      </c>
      <c r="AF1421" s="28">
        <v>369.82758620689657</v>
      </c>
      <c r="AG1421" s="28">
        <v>429</v>
      </c>
      <c r="AI1421" s="63">
        <v>44937</v>
      </c>
      <c r="AJ1421" s="73">
        <v>46043</v>
      </c>
      <c r="AK142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1" s="30"/>
      <c r="AN1421" s="20" t="s">
        <v>99</v>
      </c>
      <c r="AP1421" s="20" t="s">
        <v>84</v>
      </c>
      <c r="AQ1421" s="20" t="s">
        <v>100</v>
      </c>
    </row>
    <row r="1422" spans="1:43" s="171" customFormat="1" ht="16">
      <c r="A1422" s="20">
        <v>8117143388</v>
      </c>
      <c r="B1422" s="49">
        <v>6400</v>
      </c>
      <c r="C1422" s="20" t="s">
        <v>6442</v>
      </c>
      <c r="D1422" s="20" t="s">
        <v>442</v>
      </c>
      <c r="E1422" s="20" t="s">
        <v>6443</v>
      </c>
      <c r="F1422" s="20" t="s">
        <v>6444</v>
      </c>
      <c r="G1422" s="20" t="s">
        <v>6444</v>
      </c>
      <c r="H1422" s="20" t="s">
        <v>5289</v>
      </c>
      <c r="I1422" s="20" t="s">
        <v>6444</v>
      </c>
      <c r="J1422" s="22" t="s">
        <v>6445</v>
      </c>
      <c r="K1422" s="22" t="s">
        <v>6445</v>
      </c>
      <c r="L1422" s="23" t="s">
        <v>92</v>
      </c>
      <c r="M1422" s="24" t="s">
        <v>7738</v>
      </c>
      <c r="N1422" s="23">
        <v>18848004</v>
      </c>
      <c r="O1422" s="25" t="s">
        <v>74</v>
      </c>
      <c r="P1422" s="25" t="s">
        <v>53</v>
      </c>
      <c r="Q1422" s="20" t="s">
        <v>6446</v>
      </c>
      <c r="R1422" s="20">
        <v>42948657</v>
      </c>
      <c r="S1422" s="25" t="s">
        <v>55</v>
      </c>
      <c r="T1422" s="26" t="s">
        <v>56</v>
      </c>
      <c r="U1422" s="23">
        <v>351500435130657</v>
      </c>
      <c r="V1422" s="27" t="s">
        <v>78</v>
      </c>
      <c r="W1422" s="20" t="s">
        <v>5430</v>
      </c>
      <c r="X1422" s="20" t="s">
        <v>5430</v>
      </c>
      <c r="Y1422" s="20" t="s">
        <v>5430</v>
      </c>
      <c r="Z1422" s="20" t="s">
        <v>584</v>
      </c>
      <c r="AA1422" s="20" t="s">
        <v>585</v>
      </c>
      <c r="AB1422" s="20" t="s">
        <v>82</v>
      </c>
      <c r="AC1422" s="28">
        <v>559.48</v>
      </c>
      <c r="AD1422" s="28">
        <f>SUM(BASE[[#This Row],[MONTO DE RENTA ]]*1.16)</f>
        <v>648.99680000000001</v>
      </c>
      <c r="AE1422" s="28" t="s">
        <v>83</v>
      </c>
      <c r="AF1422" s="28">
        <v>559.48275862068965</v>
      </c>
      <c r="AG1422" s="28">
        <v>649</v>
      </c>
      <c r="AH1422" s="22"/>
      <c r="AI1422" s="63">
        <v>44937</v>
      </c>
      <c r="AJ1422" s="73">
        <v>46043</v>
      </c>
      <c r="AK142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422" s="20"/>
      <c r="AM1422" s="30"/>
      <c r="AN1422" s="20" t="s">
        <v>99</v>
      </c>
      <c r="AO1422" s="20"/>
      <c r="AP1422" s="20" t="s">
        <v>84</v>
      </c>
      <c r="AQ1422" s="20" t="s">
        <v>100</v>
      </c>
    </row>
    <row r="1423" spans="1:43" ht="16">
      <c r="A1423" s="20">
        <v>8126810934</v>
      </c>
      <c r="B1423" s="49">
        <v>6969</v>
      </c>
      <c r="C1423" s="20" t="s">
        <v>6447</v>
      </c>
      <c r="D1423" s="20" t="s">
        <v>152</v>
      </c>
      <c r="E1423" s="20" t="s">
        <v>186</v>
      </c>
      <c r="F1423" s="20" t="s">
        <v>6448</v>
      </c>
      <c r="G1423" s="20" t="s">
        <v>6448</v>
      </c>
      <c r="H1423" s="20" t="s">
        <v>5381</v>
      </c>
      <c r="I1423" s="20" t="s">
        <v>6448</v>
      </c>
      <c r="J1423" s="22" t="s">
        <v>6449</v>
      </c>
      <c r="K1423" s="32" t="s">
        <v>6450</v>
      </c>
      <c r="L1423" s="23" t="s">
        <v>92</v>
      </c>
      <c r="M1423" s="24" t="s">
        <v>7738</v>
      </c>
      <c r="N1423" s="23">
        <v>18848018</v>
      </c>
      <c r="O1423" s="25" t="s">
        <v>74</v>
      </c>
      <c r="P1423" s="25" t="s">
        <v>53</v>
      </c>
      <c r="Q1423" s="20" t="s">
        <v>6451</v>
      </c>
      <c r="R1423" s="20">
        <v>44114445</v>
      </c>
      <c r="S1423" s="25" t="s">
        <v>55</v>
      </c>
      <c r="T1423" s="26" t="s">
        <v>56</v>
      </c>
      <c r="U1423" s="23">
        <v>357894928670921</v>
      </c>
      <c r="V1423" s="27" t="s">
        <v>78</v>
      </c>
      <c r="W1423" s="20" t="s">
        <v>95</v>
      </c>
      <c r="X1423" s="20" t="s">
        <v>95</v>
      </c>
      <c r="Y1423" s="20" t="s">
        <v>95</v>
      </c>
      <c r="Z1423" s="20" t="s">
        <v>60</v>
      </c>
      <c r="AA1423" s="20" t="s">
        <v>61</v>
      </c>
      <c r="AB1423" s="20" t="s">
        <v>82</v>
      </c>
      <c r="AC1423" s="28">
        <v>559.48</v>
      </c>
      <c r="AD1423" s="28">
        <f>SUM(BASE[[#This Row],[MONTO DE RENTA ]]*1.16)</f>
        <v>648.99680000000001</v>
      </c>
      <c r="AE1423" s="28" t="s">
        <v>83</v>
      </c>
      <c r="AF1423" s="28">
        <v>559.48275862068965</v>
      </c>
      <c r="AG1423" s="28">
        <v>649</v>
      </c>
      <c r="AI1423" s="63">
        <v>44937</v>
      </c>
      <c r="AJ1423" s="73">
        <v>46043</v>
      </c>
      <c r="AK142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3" s="30"/>
      <c r="AN1423" s="20" t="s">
        <v>99</v>
      </c>
      <c r="AP1423" s="20" t="s">
        <v>84</v>
      </c>
      <c r="AQ1423" s="20" t="s">
        <v>100</v>
      </c>
    </row>
    <row r="1424" spans="1:43" ht="16">
      <c r="A1424" s="20">
        <v>8110771113</v>
      </c>
      <c r="B1424" s="49">
        <v>6653</v>
      </c>
      <c r="C1424" s="20" t="s">
        <v>6452</v>
      </c>
      <c r="D1424" s="20" t="s">
        <v>6453</v>
      </c>
      <c r="E1424" s="20" t="s">
        <v>6454</v>
      </c>
      <c r="F1424" s="20" t="s">
        <v>6064</v>
      </c>
      <c r="G1424" s="20" t="s">
        <v>6064</v>
      </c>
      <c r="H1424" s="20" t="s">
        <v>199</v>
      </c>
      <c r="I1424" s="20" t="s">
        <v>6064</v>
      </c>
      <c r="J1424" s="22" t="s">
        <v>6455</v>
      </c>
      <c r="K1424" s="22" t="s">
        <v>6456</v>
      </c>
      <c r="L1424" s="23" t="s">
        <v>92</v>
      </c>
      <c r="M1424" s="24" t="s">
        <v>7738</v>
      </c>
      <c r="N1424" s="23">
        <v>18848076</v>
      </c>
      <c r="O1424" s="25" t="s">
        <v>74</v>
      </c>
      <c r="P1424" s="25" t="s">
        <v>53</v>
      </c>
      <c r="Q1424" s="20" t="s">
        <v>6457</v>
      </c>
      <c r="R1424" s="20">
        <v>42937242</v>
      </c>
      <c r="S1424" s="25" t="s">
        <v>55</v>
      </c>
      <c r="T1424" s="26" t="s">
        <v>56</v>
      </c>
      <c r="U1424" s="23">
        <v>865356065672719</v>
      </c>
      <c r="V1424" s="27" t="s">
        <v>183</v>
      </c>
      <c r="W1424" s="20" t="s">
        <v>129</v>
      </c>
      <c r="X1424" s="20" t="s">
        <v>130</v>
      </c>
      <c r="Y1424" s="20" t="s">
        <v>130</v>
      </c>
      <c r="Z1424" s="20" t="s">
        <v>60</v>
      </c>
      <c r="AA1424" s="20" t="s">
        <v>61</v>
      </c>
      <c r="AB1424" s="20" t="s">
        <v>96</v>
      </c>
      <c r="AC1424" s="28">
        <v>369.83</v>
      </c>
      <c r="AD1424" s="28">
        <f>SUM(BASE[[#This Row],[MONTO DE RENTA ]]*1.16)</f>
        <v>429.00279999999998</v>
      </c>
      <c r="AE1424" s="28" t="s">
        <v>63</v>
      </c>
      <c r="AF1424" s="28">
        <v>369.82758620689657</v>
      </c>
      <c r="AG1424" s="28">
        <v>429</v>
      </c>
      <c r="AI1424" s="29">
        <v>44937</v>
      </c>
      <c r="AJ1424" s="50">
        <v>46043</v>
      </c>
      <c r="AK14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4" s="30"/>
      <c r="AN1424" s="20" t="s">
        <v>99</v>
      </c>
      <c r="AP1424" s="20" t="s">
        <v>84</v>
      </c>
      <c r="AQ1424" s="20" t="s">
        <v>100</v>
      </c>
    </row>
    <row r="1425" spans="1:43" ht="16">
      <c r="A1425" s="20">
        <v>8112064943</v>
      </c>
      <c r="B1425" s="49">
        <v>6085</v>
      </c>
      <c r="C1425" s="20" t="s">
        <v>6458</v>
      </c>
      <c r="D1425" s="20" t="s">
        <v>2158</v>
      </c>
      <c r="E1425" s="20" t="s">
        <v>187</v>
      </c>
      <c r="F1425" s="20" t="s">
        <v>6459</v>
      </c>
      <c r="G1425" s="20" t="s">
        <v>6459</v>
      </c>
      <c r="H1425" s="20" t="s">
        <v>155</v>
      </c>
      <c r="I1425" s="20" t="s">
        <v>6459</v>
      </c>
      <c r="J1425" s="22" t="s">
        <v>6460</v>
      </c>
      <c r="K1425" s="22" t="s">
        <v>6461</v>
      </c>
      <c r="L1425" s="23" t="s">
        <v>92</v>
      </c>
      <c r="M1425" s="24" t="s">
        <v>7738</v>
      </c>
      <c r="N1425" s="23">
        <v>18848072</v>
      </c>
      <c r="O1425" s="25" t="s">
        <v>74</v>
      </c>
      <c r="P1425" s="25" t="s">
        <v>53</v>
      </c>
      <c r="Q1425" s="20" t="s">
        <v>6462</v>
      </c>
      <c r="R1425" s="20">
        <v>42960137</v>
      </c>
      <c r="S1425" s="25" t="s">
        <v>55</v>
      </c>
      <c r="T1425" s="26" t="s">
        <v>56</v>
      </c>
      <c r="U1425" s="23">
        <v>865356065672917</v>
      </c>
      <c r="V1425" s="27" t="s">
        <v>183</v>
      </c>
      <c r="W1425" s="20" t="s">
        <v>129</v>
      </c>
      <c r="X1425" s="20" t="s">
        <v>130</v>
      </c>
      <c r="Y1425" s="20" t="s">
        <v>130</v>
      </c>
      <c r="Z1425" s="20" t="s">
        <v>60</v>
      </c>
      <c r="AA1425" s="20" t="s">
        <v>61</v>
      </c>
      <c r="AB1425" s="20" t="s">
        <v>96</v>
      </c>
      <c r="AC1425" s="28">
        <v>369.83</v>
      </c>
      <c r="AD1425" s="28">
        <f>SUM(BASE[[#This Row],[MONTO DE RENTA ]]*1.16)</f>
        <v>429.00279999999998</v>
      </c>
      <c r="AE1425" s="28" t="s">
        <v>63</v>
      </c>
      <c r="AF1425" s="28">
        <v>369.82758620689657</v>
      </c>
      <c r="AG1425" s="28">
        <v>429</v>
      </c>
      <c r="AI1425" s="63">
        <v>44937</v>
      </c>
      <c r="AJ1425" s="73">
        <v>46043</v>
      </c>
      <c r="AK14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5" s="30"/>
      <c r="AN1425" s="20" t="s">
        <v>99</v>
      </c>
      <c r="AP1425" s="20" t="s">
        <v>84</v>
      </c>
      <c r="AQ1425" s="20" t="s">
        <v>100</v>
      </c>
    </row>
    <row r="1426" spans="1:43" ht="16">
      <c r="A1426" s="20">
        <v>8115599197</v>
      </c>
      <c r="B1426" s="49">
        <v>10617</v>
      </c>
      <c r="C1426" s="20" t="s">
        <v>159</v>
      </c>
      <c r="D1426" s="20" t="s">
        <v>323</v>
      </c>
      <c r="E1426" s="20" t="s">
        <v>206</v>
      </c>
      <c r="F1426" s="20" t="s">
        <v>5295</v>
      </c>
      <c r="G1426" s="20" t="s">
        <v>5295</v>
      </c>
      <c r="H1426" s="20" t="s">
        <v>155</v>
      </c>
      <c r="I1426" s="20" t="s">
        <v>5295</v>
      </c>
      <c r="J1426" s="22" t="s">
        <v>6463</v>
      </c>
      <c r="K1426" s="22" t="s">
        <v>6464</v>
      </c>
      <c r="L1426" s="23" t="s">
        <v>92</v>
      </c>
      <c r="M1426" s="24" t="s">
        <v>7738</v>
      </c>
      <c r="N1426" s="23">
        <v>18848003</v>
      </c>
      <c r="O1426" s="25" t="s">
        <v>74</v>
      </c>
      <c r="P1426" s="25" t="s">
        <v>53</v>
      </c>
      <c r="Q1426" s="20" t="s">
        <v>6465</v>
      </c>
      <c r="R1426" s="20">
        <v>42970726</v>
      </c>
      <c r="S1426" s="25" t="s">
        <v>55</v>
      </c>
      <c r="T1426" s="26" t="s">
        <v>56</v>
      </c>
      <c r="U1426" s="23">
        <v>357894929578651</v>
      </c>
      <c r="V1426" s="27" t="s">
        <v>78</v>
      </c>
      <c r="W1426" s="20" t="s">
        <v>95</v>
      </c>
      <c r="X1426" s="20" t="s">
        <v>95</v>
      </c>
      <c r="Y1426" s="20" t="s">
        <v>95</v>
      </c>
      <c r="Z1426" s="20" t="s">
        <v>60</v>
      </c>
      <c r="AA1426" s="20" t="s">
        <v>61</v>
      </c>
      <c r="AB1426" s="20" t="s">
        <v>82</v>
      </c>
      <c r="AC1426" s="28">
        <v>559.48</v>
      </c>
      <c r="AD1426" s="28">
        <f>SUM(BASE[[#This Row],[MONTO DE RENTA ]]*1.16)</f>
        <v>648.99680000000001</v>
      </c>
      <c r="AE1426" s="28" t="s">
        <v>83</v>
      </c>
      <c r="AF1426" s="28">
        <v>559.48275862068965</v>
      </c>
      <c r="AG1426" s="28">
        <v>649</v>
      </c>
      <c r="AI1426" s="63">
        <v>44937</v>
      </c>
      <c r="AJ1426" s="73">
        <v>46043</v>
      </c>
      <c r="AK142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6" s="30"/>
      <c r="AN1426" s="20" t="s">
        <v>99</v>
      </c>
      <c r="AP1426" s="20" t="s">
        <v>84</v>
      </c>
      <c r="AQ1426" s="20" t="s">
        <v>100</v>
      </c>
    </row>
    <row r="1427" spans="1:43" ht="16">
      <c r="A1427" s="20">
        <v>8115731414</v>
      </c>
      <c r="B1427" s="21">
        <v>6744</v>
      </c>
      <c r="C1427" s="20" t="s">
        <v>6466</v>
      </c>
      <c r="D1427" s="20" t="s">
        <v>45</v>
      </c>
      <c r="E1427" s="20" t="s">
        <v>2961</v>
      </c>
      <c r="F1427" s="20" t="s">
        <v>6467</v>
      </c>
      <c r="G1427" s="20" t="s">
        <v>6467</v>
      </c>
      <c r="H1427" s="20" t="s">
        <v>208</v>
      </c>
      <c r="I1427" s="20" t="s">
        <v>6467</v>
      </c>
      <c r="J1427" s="22" t="s">
        <v>6468</v>
      </c>
      <c r="K1427" s="22" t="s">
        <v>6469</v>
      </c>
      <c r="L1427" s="23" t="s">
        <v>92</v>
      </c>
      <c r="M1427" s="24" t="s">
        <v>7738</v>
      </c>
      <c r="N1427" s="23">
        <v>18848051</v>
      </c>
      <c r="O1427" s="25" t="s">
        <v>74</v>
      </c>
      <c r="P1427" s="25" t="s">
        <v>53</v>
      </c>
      <c r="Q1427" s="20" t="s">
        <v>6470</v>
      </c>
      <c r="R1427" s="20">
        <v>43163617</v>
      </c>
      <c r="S1427" s="25" t="s">
        <v>2418</v>
      </c>
      <c r="T1427" s="26" t="s">
        <v>57</v>
      </c>
      <c r="U1427" s="23">
        <v>358366320031712</v>
      </c>
      <c r="V1427" s="27" t="s">
        <v>78</v>
      </c>
      <c r="W1427" s="20" t="s">
        <v>79</v>
      </c>
      <c r="X1427" s="20" t="s">
        <v>79</v>
      </c>
      <c r="Y1427" s="20" t="s">
        <v>79</v>
      </c>
      <c r="Z1427" s="20" t="s">
        <v>167</v>
      </c>
      <c r="AA1427" s="20" t="s">
        <v>168</v>
      </c>
      <c r="AB1427" s="20" t="s">
        <v>96</v>
      </c>
      <c r="AC1427" s="28">
        <v>369.83</v>
      </c>
      <c r="AD1427" s="28">
        <f>SUM(BASE[[#This Row],[MONTO DE RENTA ]]*1.16)</f>
        <v>429.00279999999998</v>
      </c>
      <c r="AE1427" s="28" t="s">
        <v>83</v>
      </c>
      <c r="AF1427" s="28">
        <v>559.48275862068965</v>
      </c>
      <c r="AG1427" s="28">
        <v>649</v>
      </c>
      <c r="AH1427" s="22" t="s">
        <v>64</v>
      </c>
      <c r="AI1427" s="63">
        <v>45703</v>
      </c>
      <c r="AJ1427" s="63">
        <v>46433</v>
      </c>
      <c r="AK142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27" s="30"/>
      <c r="AN1427" s="20" t="s">
        <v>65</v>
      </c>
      <c r="AO1427" s="20" t="s">
        <v>169</v>
      </c>
      <c r="AP1427" s="20" t="s">
        <v>66</v>
      </c>
      <c r="AQ1427" s="20" t="s">
        <v>100</v>
      </c>
    </row>
    <row r="1428" spans="1:43" ht="16">
      <c r="A1428" s="20">
        <v>5542539414</v>
      </c>
      <c r="B1428" s="49">
        <v>6914</v>
      </c>
      <c r="C1428" s="20" t="s">
        <v>6471</v>
      </c>
      <c r="D1428" s="20" t="s">
        <v>1736</v>
      </c>
      <c r="E1428" s="20" t="s">
        <v>6472</v>
      </c>
      <c r="F1428" s="20" t="s">
        <v>5282</v>
      </c>
      <c r="G1428" s="20" t="s">
        <v>5282</v>
      </c>
      <c r="H1428" s="20" t="s">
        <v>155</v>
      </c>
      <c r="I1428" s="20" t="s">
        <v>5282</v>
      </c>
      <c r="J1428" s="22" t="s">
        <v>6473</v>
      </c>
      <c r="K1428" s="22" t="s">
        <v>6474</v>
      </c>
      <c r="L1428" s="23" t="s">
        <v>92</v>
      </c>
      <c r="M1428" s="24" t="s">
        <v>7738</v>
      </c>
      <c r="N1428" s="23">
        <v>18848080</v>
      </c>
      <c r="O1428" s="25" t="s">
        <v>52</v>
      </c>
      <c r="P1428" s="25" t="s">
        <v>53</v>
      </c>
      <c r="Q1428" s="20" t="s">
        <v>6475</v>
      </c>
      <c r="R1428" s="20">
        <v>9732833</v>
      </c>
      <c r="S1428" s="25" t="s">
        <v>55</v>
      </c>
      <c r="T1428" s="26" t="s">
        <v>56</v>
      </c>
      <c r="U1428" s="23">
        <v>860982060895982</v>
      </c>
      <c r="V1428" s="27" t="s">
        <v>183</v>
      </c>
      <c r="W1428" s="20" t="s">
        <v>129</v>
      </c>
      <c r="X1428" s="20" t="s">
        <v>130</v>
      </c>
      <c r="Y1428" s="20" t="s">
        <v>130</v>
      </c>
      <c r="Z1428" s="20" t="s">
        <v>60</v>
      </c>
      <c r="AA1428" s="20" t="s">
        <v>61</v>
      </c>
      <c r="AB1428" s="20" t="s">
        <v>96</v>
      </c>
      <c r="AC1428" s="28">
        <v>369.83</v>
      </c>
      <c r="AD1428" s="28">
        <f>SUM(BASE[[#This Row],[MONTO DE RENTA ]]*1.16)</f>
        <v>429.00279999999998</v>
      </c>
      <c r="AE1428" s="28" t="s">
        <v>63</v>
      </c>
      <c r="AF1428" s="28">
        <v>369.82758620689657</v>
      </c>
      <c r="AG1428" s="28">
        <v>429</v>
      </c>
      <c r="AI1428" s="63">
        <v>44937</v>
      </c>
      <c r="AJ1428" s="73">
        <v>46043</v>
      </c>
      <c r="AK14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28" s="30"/>
      <c r="AN1428" s="20" t="s">
        <v>99</v>
      </c>
      <c r="AP1428" s="20" t="s">
        <v>84</v>
      </c>
      <c r="AQ1428" s="20" t="s">
        <v>100</v>
      </c>
    </row>
    <row r="1429" spans="1:43" ht="16">
      <c r="A1429" s="242">
        <v>8182606065</v>
      </c>
      <c r="B1429" s="295">
        <v>1068630</v>
      </c>
      <c r="C1429" s="20" t="s">
        <v>2128</v>
      </c>
      <c r="D1429" s="20" t="s">
        <v>6476</v>
      </c>
      <c r="E1429" s="20" t="s">
        <v>45</v>
      </c>
      <c r="F1429" s="20" t="s">
        <v>6477</v>
      </c>
      <c r="G1429" s="20" t="s">
        <v>6477</v>
      </c>
      <c r="H1429" s="20" t="s">
        <v>5381</v>
      </c>
      <c r="I1429" s="20" t="s">
        <v>6477</v>
      </c>
      <c r="J1429" s="244" t="s">
        <v>6478</v>
      </c>
      <c r="K1429" s="244" t="s">
        <v>6479</v>
      </c>
      <c r="L1429" s="23" t="s">
        <v>92</v>
      </c>
      <c r="M1429" s="24" t="s">
        <v>7738</v>
      </c>
      <c r="N1429" s="23">
        <v>18848017</v>
      </c>
      <c r="O1429" s="25" t="s">
        <v>74</v>
      </c>
      <c r="P1429" s="25" t="s">
        <v>53</v>
      </c>
      <c r="Q1429" s="20" t="s">
        <v>6480</v>
      </c>
      <c r="R1429" s="20">
        <v>43120993</v>
      </c>
      <c r="S1429" s="25" t="s">
        <v>55</v>
      </c>
      <c r="T1429" s="191" t="s">
        <v>56</v>
      </c>
      <c r="U1429" s="23">
        <v>865356065728925</v>
      </c>
      <c r="V1429" s="296" t="s">
        <v>57</v>
      </c>
      <c r="W1429" s="20" t="s">
        <v>129</v>
      </c>
      <c r="X1429" s="20" t="s">
        <v>130</v>
      </c>
      <c r="Y1429" s="20" t="s">
        <v>130</v>
      </c>
      <c r="Z1429" s="20" t="s">
        <v>60</v>
      </c>
      <c r="AA1429" s="20" t="s">
        <v>61</v>
      </c>
      <c r="AB1429" s="20" t="s">
        <v>96</v>
      </c>
      <c r="AC1429" s="28">
        <v>369.83</v>
      </c>
      <c r="AD1429" s="28">
        <f>SUM(BASE[[#This Row],[MONTO DE RENTA ]]*1.16)</f>
        <v>429.00279999999998</v>
      </c>
      <c r="AE1429" s="28" t="s">
        <v>63</v>
      </c>
      <c r="AF1429" s="28">
        <v>369.82758620689657</v>
      </c>
      <c r="AG1429" s="28">
        <v>429</v>
      </c>
      <c r="AH1429" s="245" t="s">
        <v>116</v>
      </c>
      <c r="AI1429" s="246">
        <v>45462</v>
      </c>
      <c r="AJ1429" s="246">
        <v>46192</v>
      </c>
      <c r="AK1429" s="30">
        <f ca="1">IFERROR(IF(BASE[[#This Row],[FECHA DE RENOVACION ]]&gt;TODAY(), DATEDIF(TODAY(),BASE[[#This Row],[FECHA DE RENOVACION ]],"M"), -DATEDIF(BASE[[#This Row],[FECHA DE RENOVACION ]],TODAY(),"M")), "Sin fecha")</f>
        <v>3</v>
      </c>
      <c r="AL1429" s="242"/>
      <c r="AM1429" s="247"/>
      <c r="AN1429" s="20" t="s">
        <v>99</v>
      </c>
      <c r="AP1429" s="20" t="s">
        <v>84</v>
      </c>
      <c r="AQ1429" s="20" t="s">
        <v>100</v>
      </c>
    </row>
    <row r="1430" spans="1:43" ht="16">
      <c r="A1430" s="171">
        <v>8123191777</v>
      </c>
      <c r="B1430" s="213">
        <v>1055560</v>
      </c>
      <c r="C1430" s="20" t="s">
        <v>6481</v>
      </c>
      <c r="D1430" s="20" t="s">
        <v>187</v>
      </c>
      <c r="E1430" s="20" t="s">
        <v>6482</v>
      </c>
      <c r="F1430" s="20" t="s">
        <v>6483</v>
      </c>
      <c r="G1430" s="20" t="s">
        <v>6483</v>
      </c>
      <c r="H1430" s="20" t="s">
        <v>5375</v>
      </c>
      <c r="I1430" s="20" t="s">
        <v>6483</v>
      </c>
      <c r="J1430" s="289" t="s">
        <v>6484</v>
      </c>
      <c r="K1430" s="289" t="s">
        <v>6484</v>
      </c>
      <c r="L1430" s="23" t="s">
        <v>92</v>
      </c>
      <c r="M1430" s="24" t="s">
        <v>7738</v>
      </c>
      <c r="N1430" s="23">
        <v>18848057</v>
      </c>
      <c r="O1430" s="25" t="s">
        <v>74</v>
      </c>
      <c r="P1430" s="25" t="s">
        <v>53</v>
      </c>
      <c r="Q1430" s="20" t="s">
        <v>6485</v>
      </c>
      <c r="R1430" s="20">
        <v>41181838</v>
      </c>
      <c r="S1430" s="25" t="s">
        <v>6486</v>
      </c>
      <c r="T1430" s="290" t="s">
        <v>57</v>
      </c>
      <c r="U1430" s="23">
        <v>860900062735832</v>
      </c>
      <c r="V1430" s="174" t="s">
        <v>57</v>
      </c>
      <c r="W1430" s="20" t="s">
        <v>58</v>
      </c>
      <c r="X1430" s="20" t="s">
        <v>59</v>
      </c>
      <c r="Y1430" s="20" t="s">
        <v>59</v>
      </c>
      <c r="Z1430" s="20" t="s">
        <v>131</v>
      </c>
      <c r="AA1430" s="20" t="s">
        <v>132</v>
      </c>
      <c r="AB1430" s="20" t="s">
        <v>96</v>
      </c>
      <c r="AC1430" s="28">
        <v>369.83</v>
      </c>
      <c r="AD1430" s="28">
        <f>SUM(BASE[[#This Row],[MONTO DE RENTA ]]*1.16)</f>
        <v>429.00279999999998</v>
      </c>
      <c r="AE1430" s="28" t="s">
        <v>63</v>
      </c>
      <c r="AF1430" s="28">
        <v>369.82758620689657</v>
      </c>
      <c r="AG1430" s="28">
        <v>429</v>
      </c>
      <c r="AH1430" s="175" t="s">
        <v>64</v>
      </c>
      <c r="AI1430" s="63">
        <v>45665</v>
      </c>
      <c r="AJ1430" s="63">
        <v>46395</v>
      </c>
      <c r="AK1430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430" s="297">
        <v>18848054</v>
      </c>
      <c r="AM1430" s="177"/>
      <c r="AN1430" s="20" t="s">
        <v>65</v>
      </c>
      <c r="AP1430" s="20" t="s">
        <v>84</v>
      </c>
    </row>
    <row r="1431" spans="1:43" ht="16">
      <c r="A1431" s="20">
        <v>5518648279</v>
      </c>
      <c r="B1431" s="21">
        <v>490027</v>
      </c>
      <c r="C1431" s="20" t="s">
        <v>6487</v>
      </c>
      <c r="D1431" s="20" t="s">
        <v>6488</v>
      </c>
      <c r="E1431" s="20" t="s">
        <v>1330</v>
      </c>
      <c r="F1431" s="20" t="s">
        <v>3245</v>
      </c>
      <c r="G1431" s="20" t="s">
        <v>3245</v>
      </c>
      <c r="H1431" s="20" t="s">
        <v>48</v>
      </c>
      <c r="I1431" s="20" t="s">
        <v>3245</v>
      </c>
      <c r="J1431" s="22" t="s">
        <v>6489</v>
      </c>
      <c r="K1431" s="22" t="s">
        <v>6490</v>
      </c>
      <c r="L1431" s="23" t="s">
        <v>3930</v>
      </c>
      <c r="M1431" s="24" t="s">
        <v>7736</v>
      </c>
      <c r="N1431" s="23">
        <v>18746003</v>
      </c>
      <c r="O1431" s="25" t="s">
        <v>52</v>
      </c>
      <c r="P1431" s="25" t="s">
        <v>53</v>
      </c>
      <c r="Q1431" s="20" t="s">
        <v>6491</v>
      </c>
      <c r="R1431" s="20">
        <v>90159683</v>
      </c>
      <c r="S1431" s="25" t="s">
        <v>6492</v>
      </c>
      <c r="T1431" s="26" t="s">
        <v>57</v>
      </c>
      <c r="U1431" s="23">
        <v>860900062322011</v>
      </c>
      <c r="V1431" s="27" t="s">
        <v>57</v>
      </c>
      <c r="W1431" s="20" t="s">
        <v>58</v>
      </c>
      <c r="X1431" s="20" t="s">
        <v>59</v>
      </c>
      <c r="Y1431" s="20" t="s">
        <v>59</v>
      </c>
      <c r="Z1431" s="20" t="s">
        <v>60</v>
      </c>
      <c r="AA1431" s="20" t="s">
        <v>61</v>
      </c>
      <c r="AB1431" s="20" t="s">
        <v>96</v>
      </c>
      <c r="AC1431" s="28">
        <v>369.83</v>
      </c>
      <c r="AD1431" s="28">
        <f>SUM(BASE[[#This Row],[MONTO DE RENTA ]]*1.16)</f>
        <v>429.00279999999998</v>
      </c>
      <c r="AE1431" s="28" t="s">
        <v>63</v>
      </c>
      <c r="AF1431" s="28">
        <v>369.82758620689657</v>
      </c>
      <c r="AG1431" s="28">
        <v>429</v>
      </c>
      <c r="AH1431" s="22" t="s">
        <v>64</v>
      </c>
      <c r="AI1431" s="29">
        <v>45703</v>
      </c>
      <c r="AJ1431" s="29">
        <v>46433</v>
      </c>
      <c r="AK14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31" s="30"/>
      <c r="AN1431" s="20" t="s">
        <v>65</v>
      </c>
      <c r="AP1431" s="20" t="s">
        <v>84</v>
      </c>
    </row>
    <row r="1432" spans="1:43" ht="16">
      <c r="A1432" s="20">
        <v>8123517865</v>
      </c>
      <c r="B1432" s="21">
        <v>1008299</v>
      </c>
      <c r="C1432" s="20" t="s">
        <v>6493</v>
      </c>
      <c r="D1432" s="20" t="s">
        <v>187</v>
      </c>
      <c r="E1432" s="20" t="s">
        <v>1100</v>
      </c>
      <c r="F1432" s="20" t="s">
        <v>6494</v>
      </c>
      <c r="G1432" s="20" t="s">
        <v>6494</v>
      </c>
      <c r="H1432" s="20" t="s">
        <v>5320</v>
      </c>
      <c r="I1432" s="20" t="s">
        <v>6494</v>
      </c>
      <c r="J1432" s="22" t="s">
        <v>6495</v>
      </c>
      <c r="K1432" s="22" t="s">
        <v>6495</v>
      </c>
      <c r="L1432" s="23" t="s">
        <v>92</v>
      </c>
      <c r="M1432" s="24" t="s">
        <v>7738</v>
      </c>
      <c r="N1432" s="23">
        <v>18848047</v>
      </c>
      <c r="O1432" s="25" t="s">
        <v>74</v>
      </c>
      <c r="P1432" s="25" t="s">
        <v>53</v>
      </c>
      <c r="Q1432" s="20" t="s">
        <v>6496</v>
      </c>
      <c r="R1432" s="20">
        <v>45142659</v>
      </c>
      <c r="S1432" s="25" t="s">
        <v>55</v>
      </c>
      <c r="T1432" s="26" t="s">
        <v>56</v>
      </c>
      <c r="U1432" s="23">
        <v>860900062338801</v>
      </c>
      <c r="V1432" s="27" t="s">
        <v>57</v>
      </c>
      <c r="W1432" s="20" t="s">
        <v>58</v>
      </c>
      <c r="X1432" s="20" t="s">
        <v>59</v>
      </c>
      <c r="Y1432" s="20" t="s">
        <v>59</v>
      </c>
      <c r="Z1432" s="20" t="s">
        <v>60</v>
      </c>
      <c r="AA1432" s="20" t="s">
        <v>61</v>
      </c>
      <c r="AB1432" s="20" t="s">
        <v>62</v>
      </c>
      <c r="AC1432" s="28">
        <v>197.41</v>
      </c>
      <c r="AD1432" s="28">
        <f>SUM(BASE[[#This Row],[MONTO DE RENTA ]]*1.16)</f>
        <v>228.99559999999997</v>
      </c>
      <c r="AE1432" s="28" t="s">
        <v>63</v>
      </c>
      <c r="AF1432" s="28">
        <v>369.82758620689657</v>
      </c>
      <c r="AG1432" s="28">
        <v>429</v>
      </c>
      <c r="AH1432" s="22" t="s">
        <v>64</v>
      </c>
      <c r="AI1432" s="29">
        <v>45703</v>
      </c>
      <c r="AJ1432" s="29">
        <v>46433</v>
      </c>
      <c r="AK14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32" s="30"/>
      <c r="AN1432" s="20" t="s">
        <v>65</v>
      </c>
      <c r="AP1432" s="20" t="s">
        <v>66</v>
      </c>
    </row>
    <row r="1433" spans="1:43" s="87" customFormat="1" ht="16">
      <c r="A1433" s="87">
        <v>4611996992</v>
      </c>
      <c r="B1433" s="235">
        <v>825263</v>
      </c>
      <c r="C1433" s="87" t="s">
        <v>3579</v>
      </c>
      <c r="D1433" s="87" t="s">
        <v>6497</v>
      </c>
      <c r="E1433" s="87" t="s">
        <v>187</v>
      </c>
      <c r="F1433" s="87" t="s">
        <v>5443</v>
      </c>
      <c r="G1433" s="87" t="s">
        <v>5443</v>
      </c>
      <c r="H1433" s="87" t="s">
        <v>5320</v>
      </c>
      <c r="I1433" s="87" t="s">
        <v>5443</v>
      </c>
      <c r="J1433" s="217" t="s">
        <v>6498</v>
      </c>
      <c r="K1433" s="217" t="s">
        <v>6499</v>
      </c>
      <c r="L1433" s="218" t="s">
        <v>92</v>
      </c>
      <c r="M1433" s="219" t="s">
        <v>7738</v>
      </c>
      <c r="N1433" s="218">
        <v>18848067</v>
      </c>
      <c r="O1433" s="220" t="s">
        <v>93</v>
      </c>
      <c r="P1433" s="25" t="s">
        <v>3857</v>
      </c>
      <c r="Q1433" s="87" t="s">
        <v>6500</v>
      </c>
      <c r="R1433" s="87">
        <v>62025889</v>
      </c>
      <c r="S1433" s="220" t="s">
        <v>55</v>
      </c>
      <c r="T1433" s="221" t="s">
        <v>56</v>
      </c>
      <c r="U1433" s="218">
        <v>860982060896667</v>
      </c>
      <c r="V1433" s="222" t="s">
        <v>183</v>
      </c>
      <c r="W1433" s="87" t="s">
        <v>129</v>
      </c>
      <c r="X1433" s="20" t="s">
        <v>130</v>
      </c>
      <c r="Y1433" s="20" t="s">
        <v>130</v>
      </c>
      <c r="Z1433" s="87" t="s">
        <v>60</v>
      </c>
      <c r="AA1433" s="87" t="s">
        <v>61</v>
      </c>
      <c r="AB1433" s="87" t="s">
        <v>96</v>
      </c>
      <c r="AC1433" s="223">
        <v>369.83</v>
      </c>
      <c r="AD1433" s="223">
        <f>SUM(BASE[[#This Row],[MONTO DE RENTA ]]*1.16)</f>
        <v>429.00279999999998</v>
      </c>
      <c r="AE1433" s="223" t="s">
        <v>63</v>
      </c>
      <c r="AF1433" s="223">
        <v>369.82758620689657</v>
      </c>
      <c r="AG1433" s="223">
        <v>429</v>
      </c>
      <c r="AH1433" s="217"/>
      <c r="AI1433" s="224">
        <v>44937</v>
      </c>
      <c r="AJ1433" s="257">
        <v>46043</v>
      </c>
      <c r="AK1433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433" s="225">
        <v>147258</v>
      </c>
      <c r="AN1433" s="87" t="s">
        <v>99</v>
      </c>
      <c r="AP1433" s="87" t="s">
        <v>84</v>
      </c>
      <c r="AQ1433" s="87" t="s">
        <v>100</v>
      </c>
    </row>
    <row r="1434" spans="1:43" ht="16">
      <c r="A1434" s="20">
        <v>8114008198</v>
      </c>
      <c r="B1434" s="49">
        <v>6421</v>
      </c>
      <c r="C1434" s="20" t="s">
        <v>6501</v>
      </c>
      <c r="D1434" s="20" t="s">
        <v>2664</v>
      </c>
      <c r="E1434" s="20" t="s">
        <v>1104</v>
      </c>
      <c r="F1434" s="20" t="s">
        <v>6502</v>
      </c>
      <c r="G1434" s="20" t="s">
        <v>6502</v>
      </c>
      <c r="H1434" s="20" t="s">
        <v>5375</v>
      </c>
      <c r="I1434" s="20" t="s">
        <v>6502</v>
      </c>
      <c r="J1434" s="22" t="s">
        <v>6503</v>
      </c>
      <c r="K1434" s="22" t="s">
        <v>6504</v>
      </c>
      <c r="L1434" s="23" t="s">
        <v>92</v>
      </c>
      <c r="M1434" s="24" t="s">
        <v>7738</v>
      </c>
      <c r="N1434" s="23">
        <v>18848057</v>
      </c>
      <c r="O1434" s="25" t="s">
        <v>74</v>
      </c>
      <c r="P1434" s="25" t="s">
        <v>53</v>
      </c>
      <c r="Q1434" s="20" t="s">
        <v>6505</v>
      </c>
      <c r="R1434" s="20">
        <v>43151165</v>
      </c>
      <c r="S1434" s="25" t="s">
        <v>55</v>
      </c>
      <c r="T1434" s="26" t="s">
        <v>56</v>
      </c>
      <c r="U1434" s="23">
        <v>357654178656321</v>
      </c>
      <c r="V1434" s="27" t="s">
        <v>78</v>
      </c>
      <c r="W1434" s="20" t="s">
        <v>6506</v>
      </c>
      <c r="X1434" s="20" t="s">
        <v>6506</v>
      </c>
      <c r="Y1434" s="20" t="s">
        <v>6506</v>
      </c>
      <c r="Z1434" s="20" t="s">
        <v>60</v>
      </c>
      <c r="AA1434" s="20" t="s">
        <v>61</v>
      </c>
      <c r="AB1434" s="20" t="s">
        <v>82</v>
      </c>
      <c r="AC1434" s="28">
        <v>559.48</v>
      </c>
      <c r="AD1434" s="28">
        <f>SUM(BASE[[#This Row],[MONTO DE RENTA ]]*1.16)</f>
        <v>648.99680000000001</v>
      </c>
      <c r="AE1434" s="28" t="s">
        <v>83</v>
      </c>
      <c r="AF1434" s="28">
        <v>559.48275862068965</v>
      </c>
      <c r="AG1434" s="28">
        <v>649</v>
      </c>
      <c r="AI1434" s="29">
        <v>44937</v>
      </c>
      <c r="AJ1434" s="50">
        <v>46043</v>
      </c>
      <c r="AK143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34" s="30"/>
      <c r="AN1434" s="20" t="s">
        <v>99</v>
      </c>
      <c r="AP1434" s="20" t="s">
        <v>84</v>
      </c>
      <c r="AQ1434" s="20" t="s">
        <v>100</v>
      </c>
    </row>
    <row r="1435" spans="1:43" ht="16">
      <c r="A1435" s="20">
        <v>8119881562</v>
      </c>
      <c r="B1435" s="21">
        <v>1006841</v>
      </c>
      <c r="C1435" s="20" t="s">
        <v>6507</v>
      </c>
      <c r="D1435" s="20" t="s">
        <v>1433</v>
      </c>
      <c r="E1435" s="20" t="s">
        <v>1367</v>
      </c>
      <c r="F1435" s="20" t="s">
        <v>5693</v>
      </c>
      <c r="G1435" s="20" t="s">
        <v>5693</v>
      </c>
      <c r="H1435" s="20" t="s">
        <v>5289</v>
      </c>
      <c r="I1435" s="20" t="s">
        <v>5693</v>
      </c>
      <c r="J1435" s="54" t="s">
        <v>6508</v>
      </c>
      <c r="K1435" s="54" t="s">
        <v>6509</v>
      </c>
      <c r="L1435" s="23" t="s">
        <v>92</v>
      </c>
      <c r="M1435" s="24" t="s">
        <v>7738</v>
      </c>
      <c r="N1435" s="23">
        <v>18848027</v>
      </c>
      <c r="O1435" s="25" t="s">
        <v>74</v>
      </c>
      <c r="P1435" s="25" t="s">
        <v>53</v>
      </c>
      <c r="Q1435" s="20" t="s">
        <v>6510</v>
      </c>
      <c r="R1435" s="20">
        <v>45017361</v>
      </c>
      <c r="S1435" s="25" t="s">
        <v>6511</v>
      </c>
      <c r="T1435" s="39" t="s">
        <v>57</v>
      </c>
      <c r="U1435" s="23">
        <v>860900062336631</v>
      </c>
      <c r="V1435" s="27" t="s">
        <v>57</v>
      </c>
      <c r="W1435" s="20" t="s">
        <v>58</v>
      </c>
      <c r="X1435" s="20" t="s">
        <v>59</v>
      </c>
      <c r="Y1435" s="20" t="s">
        <v>59</v>
      </c>
      <c r="Z1435" s="20" t="s">
        <v>167</v>
      </c>
      <c r="AA1435" s="20" t="s">
        <v>168</v>
      </c>
      <c r="AB1435" s="20" t="s">
        <v>96</v>
      </c>
      <c r="AC1435" s="28">
        <v>369.83</v>
      </c>
      <c r="AD1435" s="28">
        <f>SUM(BASE[[#This Row],[MONTO DE RENTA ]]*1.16)</f>
        <v>429.00279999999998</v>
      </c>
      <c r="AE1435" s="28" t="s">
        <v>63</v>
      </c>
      <c r="AF1435" s="28">
        <v>369.82758620689657</v>
      </c>
      <c r="AG1435" s="28">
        <v>429</v>
      </c>
      <c r="AH1435" s="22" t="s">
        <v>116</v>
      </c>
      <c r="AI1435" s="63">
        <v>45757</v>
      </c>
      <c r="AJ1435" s="63">
        <v>46487</v>
      </c>
      <c r="AK1435" s="30">
        <f ca="1">IFERROR(IF(BASE[[#This Row],[FECHA DE RENOVACION ]]&gt;TODAY(), DATEDIF(TODAY(),BASE[[#This Row],[FECHA DE RENOVACION ]],"M"), -DATEDIF(BASE[[#This Row],[FECHA DE RENOVACION ]],TODAY(),"M")), "Sin fecha")</f>
        <v>13</v>
      </c>
      <c r="AL1435" s="24">
        <v>18848027</v>
      </c>
      <c r="AM1435" s="30"/>
      <c r="AN1435" s="20" t="s">
        <v>65</v>
      </c>
      <c r="AP1435" s="20" t="s">
        <v>84</v>
      </c>
    </row>
    <row r="1436" spans="1:43" ht="16">
      <c r="A1436" s="20">
        <v>4433957382</v>
      </c>
      <c r="B1436" s="49">
        <v>6946</v>
      </c>
      <c r="C1436" s="20" t="s">
        <v>1946</v>
      </c>
      <c r="D1436" s="20" t="s">
        <v>2203</v>
      </c>
      <c r="E1436" s="20" t="s">
        <v>143</v>
      </c>
      <c r="F1436" s="20" t="s">
        <v>6512</v>
      </c>
      <c r="G1436" s="20" t="s">
        <v>6512</v>
      </c>
      <c r="H1436" s="20" t="s">
        <v>5381</v>
      </c>
      <c r="I1436" s="20" t="s">
        <v>6512</v>
      </c>
      <c r="J1436" s="32" t="s">
        <v>6513</v>
      </c>
      <c r="K1436" s="32" t="s">
        <v>6513</v>
      </c>
      <c r="L1436" s="23" t="s">
        <v>92</v>
      </c>
      <c r="M1436" s="24" t="s">
        <v>7738</v>
      </c>
      <c r="N1436" s="23">
        <v>18848018</v>
      </c>
      <c r="O1436" s="25" t="s">
        <v>677</v>
      </c>
      <c r="P1436" s="25" t="s">
        <v>53</v>
      </c>
      <c r="Q1436" s="20" t="s">
        <v>6514</v>
      </c>
      <c r="R1436" s="20">
        <v>53723304</v>
      </c>
      <c r="S1436" s="25" t="s">
        <v>55</v>
      </c>
      <c r="T1436" s="26" t="s">
        <v>56</v>
      </c>
      <c r="U1436" s="23">
        <v>358366320265633</v>
      </c>
      <c r="V1436" s="27" t="s">
        <v>57</v>
      </c>
      <c r="W1436" s="20" t="s">
        <v>79</v>
      </c>
      <c r="X1436" s="20" t="s">
        <v>79</v>
      </c>
      <c r="Y1436" s="20" t="s">
        <v>79</v>
      </c>
      <c r="Z1436" s="20" t="s">
        <v>60</v>
      </c>
      <c r="AA1436" s="20" t="s">
        <v>61</v>
      </c>
      <c r="AB1436" s="20" t="s">
        <v>96</v>
      </c>
      <c r="AC1436" s="28">
        <v>369.83</v>
      </c>
      <c r="AD1436" s="28">
        <f>SUM(BASE[[#This Row],[MONTO DE RENTA ]]*1.16)</f>
        <v>429.00279999999998</v>
      </c>
      <c r="AE1436" s="28" t="s">
        <v>63</v>
      </c>
      <c r="AF1436" s="28">
        <v>369.82758620689657</v>
      </c>
      <c r="AG1436" s="28">
        <v>429</v>
      </c>
      <c r="AH1436" s="22" t="s">
        <v>4950</v>
      </c>
      <c r="AI1436" s="63">
        <v>45728</v>
      </c>
      <c r="AJ1436" s="63">
        <v>46458</v>
      </c>
      <c r="AK1436" s="30">
        <f ca="1">IFERROR(IF(BASE[[#This Row],[FECHA DE RENOVACION ]]&gt;TODAY(), DATEDIF(TODAY(),BASE[[#This Row],[FECHA DE RENOVACION ]],"M"), -DATEDIF(BASE[[#This Row],[FECHA DE RENOVACION ]],TODAY(),"M")), "Sin fecha")</f>
        <v>12</v>
      </c>
      <c r="AM1436" s="30" t="s">
        <v>6515</v>
      </c>
      <c r="AN1436" s="20" t="s">
        <v>65</v>
      </c>
      <c r="AP1436" s="20" t="s">
        <v>84</v>
      </c>
    </row>
    <row r="1437" spans="1:43" ht="16">
      <c r="A1437" s="20">
        <v>8110814444</v>
      </c>
      <c r="B1437" s="49">
        <v>1051576</v>
      </c>
      <c r="C1437" s="20" t="s">
        <v>6516</v>
      </c>
      <c r="D1437" s="20" t="s">
        <v>562</v>
      </c>
      <c r="E1437" s="20" t="s">
        <v>442</v>
      </c>
      <c r="F1437" s="20" t="s">
        <v>6517</v>
      </c>
      <c r="G1437" s="20" t="s">
        <v>6517</v>
      </c>
      <c r="H1437" s="20" t="s">
        <v>5289</v>
      </c>
      <c r="I1437" s="20" t="s">
        <v>6517</v>
      </c>
      <c r="J1437" s="22" t="s">
        <v>6518</v>
      </c>
      <c r="K1437" s="22" t="s">
        <v>6518</v>
      </c>
      <c r="L1437" s="23" t="s">
        <v>92</v>
      </c>
      <c r="M1437" s="24" t="s">
        <v>7738</v>
      </c>
      <c r="N1437" s="23">
        <v>18848028</v>
      </c>
      <c r="O1437" s="25" t="s">
        <v>74</v>
      </c>
      <c r="P1437" s="25" t="s">
        <v>53</v>
      </c>
      <c r="Q1437" s="20" t="s">
        <v>6519</v>
      </c>
      <c r="R1437" s="20">
        <v>42888661</v>
      </c>
      <c r="S1437" s="25" t="s">
        <v>55</v>
      </c>
      <c r="T1437" s="26" t="s">
        <v>56</v>
      </c>
      <c r="U1437" s="23">
        <v>865356065670994</v>
      </c>
      <c r="V1437" s="27" t="s">
        <v>183</v>
      </c>
      <c r="W1437" s="20" t="s">
        <v>129</v>
      </c>
      <c r="X1437" s="20" t="s">
        <v>130</v>
      </c>
      <c r="Y1437" s="20" t="s">
        <v>130</v>
      </c>
      <c r="Z1437" s="20" t="s">
        <v>60</v>
      </c>
      <c r="AA1437" s="20" t="s">
        <v>61</v>
      </c>
      <c r="AB1437" s="20" t="s">
        <v>96</v>
      </c>
      <c r="AC1437" s="28">
        <v>369.83</v>
      </c>
      <c r="AD1437" s="28">
        <f>SUM(BASE[[#This Row],[MONTO DE RENTA ]]*1.16)</f>
        <v>429.00279999999998</v>
      </c>
      <c r="AE1437" s="28" t="s">
        <v>63</v>
      </c>
      <c r="AF1437" s="28">
        <v>369.82758620689657</v>
      </c>
      <c r="AG1437" s="28">
        <v>429</v>
      </c>
      <c r="AI1437" s="63">
        <v>44937</v>
      </c>
      <c r="AJ1437" s="73">
        <v>46043</v>
      </c>
      <c r="AK143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37" s="30"/>
      <c r="AN1437" s="20" t="s">
        <v>99</v>
      </c>
      <c r="AP1437" s="20" t="s">
        <v>84</v>
      </c>
      <c r="AQ1437" s="20" t="s">
        <v>100</v>
      </c>
    </row>
    <row r="1438" spans="1:43" ht="16">
      <c r="A1438" s="20">
        <v>8113504775</v>
      </c>
      <c r="B1438" s="21">
        <v>6278</v>
      </c>
      <c r="C1438" s="20" t="s">
        <v>6520</v>
      </c>
      <c r="D1438" s="20" t="s">
        <v>607</v>
      </c>
      <c r="E1438" s="20" t="s">
        <v>45</v>
      </c>
      <c r="F1438" s="20" t="s">
        <v>6267</v>
      </c>
      <c r="G1438" s="20" t="s">
        <v>6267</v>
      </c>
      <c r="H1438" s="20" t="s">
        <v>5320</v>
      </c>
      <c r="I1438" s="20" t="s">
        <v>6267</v>
      </c>
      <c r="J1438" s="22" t="s">
        <v>6521</v>
      </c>
      <c r="K1438" s="32" t="s">
        <v>6522</v>
      </c>
      <c r="L1438" s="23" t="s">
        <v>92</v>
      </c>
      <c r="M1438" s="24" t="s">
        <v>7738</v>
      </c>
      <c r="N1438" s="23">
        <v>18848048</v>
      </c>
      <c r="O1438" s="25" t="s">
        <v>74</v>
      </c>
      <c r="P1438" s="25" t="s">
        <v>53</v>
      </c>
      <c r="Q1438" s="20" t="s">
        <v>6523</v>
      </c>
      <c r="R1438" s="20">
        <v>43163576</v>
      </c>
      <c r="S1438" s="25" t="s">
        <v>6524</v>
      </c>
      <c r="T1438" s="26" t="s">
        <v>57</v>
      </c>
      <c r="U1438" s="23">
        <v>860900062336128</v>
      </c>
      <c r="V1438" s="27" t="s">
        <v>57</v>
      </c>
      <c r="W1438" s="20" t="s">
        <v>58</v>
      </c>
      <c r="X1438" s="20" t="s">
        <v>59</v>
      </c>
      <c r="Y1438" s="20" t="s">
        <v>59</v>
      </c>
      <c r="Z1438" s="20" t="s">
        <v>167</v>
      </c>
      <c r="AA1438" s="20" t="s">
        <v>168</v>
      </c>
      <c r="AB1438" s="20" t="s">
        <v>96</v>
      </c>
      <c r="AC1438" s="28">
        <v>369.83</v>
      </c>
      <c r="AD1438" s="28">
        <f>SUM(BASE[[#This Row],[MONTO DE RENTA ]]*1.16)</f>
        <v>429.00279999999998</v>
      </c>
      <c r="AE1438" s="28" t="s">
        <v>63</v>
      </c>
      <c r="AF1438" s="28">
        <v>369.82758620689657</v>
      </c>
      <c r="AG1438" s="28">
        <v>429</v>
      </c>
      <c r="AH1438" s="22" t="s">
        <v>64</v>
      </c>
      <c r="AI1438" s="63">
        <v>45703</v>
      </c>
      <c r="AJ1438" s="63">
        <v>46433</v>
      </c>
      <c r="AK14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38" s="30"/>
      <c r="AN1438" s="20" t="s">
        <v>65</v>
      </c>
      <c r="AP1438" s="20" t="s">
        <v>84</v>
      </c>
    </row>
    <row r="1439" spans="1:43" ht="16">
      <c r="A1439" s="20">
        <v>8119136909</v>
      </c>
      <c r="B1439" s="21">
        <v>1040588</v>
      </c>
      <c r="C1439" s="20" t="s">
        <v>6525</v>
      </c>
      <c r="D1439" s="20" t="s">
        <v>6526</v>
      </c>
      <c r="E1439" s="20" t="s">
        <v>152</v>
      </c>
      <c r="F1439" s="20" t="s">
        <v>5329</v>
      </c>
      <c r="G1439" s="20" t="s">
        <v>5329</v>
      </c>
      <c r="H1439" s="20" t="s">
        <v>155</v>
      </c>
      <c r="I1439" s="20" t="s">
        <v>5329</v>
      </c>
      <c r="J1439" s="22" t="s">
        <v>6527</v>
      </c>
      <c r="K1439" s="32" t="s">
        <v>6528</v>
      </c>
      <c r="L1439" s="23" t="s">
        <v>92</v>
      </c>
      <c r="M1439" s="24" t="s">
        <v>7738</v>
      </c>
      <c r="N1439" s="23">
        <v>18848002</v>
      </c>
      <c r="O1439" s="25" t="s">
        <v>74</v>
      </c>
      <c r="P1439" s="25" t="s">
        <v>53</v>
      </c>
      <c r="Q1439" s="20" t="s">
        <v>6529</v>
      </c>
      <c r="R1439" s="20">
        <v>43163506</v>
      </c>
      <c r="S1439" s="25" t="s">
        <v>6530</v>
      </c>
      <c r="T1439" s="26" t="s">
        <v>57</v>
      </c>
      <c r="U1439" s="23">
        <v>860900062255286</v>
      </c>
      <c r="V1439" s="27" t="s">
        <v>57</v>
      </c>
      <c r="W1439" s="20" t="s">
        <v>58</v>
      </c>
      <c r="X1439" s="20" t="s">
        <v>59</v>
      </c>
      <c r="Y1439" s="20" t="s">
        <v>59</v>
      </c>
      <c r="Z1439" s="20" t="s">
        <v>131</v>
      </c>
      <c r="AA1439" s="20" t="s">
        <v>132</v>
      </c>
      <c r="AB1439" s="20" t="s">
        <v>96</v>
      </c>
      <c r="AC1439" s="28">
        <v>369.83</v>
      </c>
      <c r="AD1439" s="28">
        <f>SUM(BASE[[#This Row],[MONTO DE RENTA ]]*1.16)</f>
        <v>429.00279999999998</v>
      </c>
      <c r="AE1439" s="28" t="s">
        <v>63</v>
      </c>
      <c r="AF1439" s="28">
        <v>369.82758620689657</v>
      </c>
      <c r="AG1439" s="28">
        <v>429</v>
      </c>
      <c r="AH1439" s="22" t="s">
        <v>64</v>
      </c>
      <c r="AI1439" s="63">
        <v>45703</v>
      </c>
      <c r="AJ1439" s="63">
        <v>46433</v>
      </c>
      <c r="AK143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39" s="30"/>
      <c r="AN1439" s="20" t="s">
        <v>65</v>
      </c>
      <c r="AP1439" s="20" t="s">
        <v>84</v>
      </c>
    </row>
    <row r="1440" spans="1:43" ht="16">
      <c r="A1440" s="20">
        <v>8126810909</v>
      </c>
      <c r="B1440" s="49">
        <v>1039972</v>
      </c>
      <c r="C1440" s="20" t="s">
        <v>6531</v>
      </c>
      <c r="D1440" s="20" t="s">
        <v>627</v>
      </c>
      <c r="E1440" s="20" t="s">
        <v>376</v>
      </c>
      <c r="F1440" s="20" t="s">
        <v>5855</v>
      </c>
      <c r="G1440" s="20" t="s">
        <v>5855</v>
      </c>
      <c r="H1440" s="20" t="s">
        <v>208</v>
      </c>
      <c r="I1440" s="20" t="s">
        <v>5855</v>
      </c>
      <c r="J1440" s="32" t="s">
        <v>6532</v>
      </c>
      <c r="K1440" s="32" t="s">
        <v>6533</v>
      </c>
      <c r="L1440" s="23" t="s">
        <v>92</v>
      </c>
      <c r="M1440" s="24" t="s">
        <v>7738</v>
      </c>
      <c r="N1440" s="23">
        <v>18848087</v>
      </c>
      <c r="O1440" s="25" t="s">
        <v>74</v>
      </c>
      <c r="P1440" s="25" t="s">
        <v>53</v>
      </c>
      <c r="Q1440" s="20" t="s">
        <v>6534</v>
      </c>
      <c r="R1440" s="20">
        <v>44114475</v>
      </c>
      <c r="S1440" s="25" t="s">
        <v>55</v>
      </c>
      <c r="T1440" s="26" t="s">
        <v>56</v>
      </c>
      <c r="U1440" s="23">
        <v>865356065729618</v>
      </c>
      <c r="V1440" s="27" t="s">
        <v>183</v>
      </c>
      <c r="W1440" s="20" t="s">
        <v>129</v>
      </c>
      <c r="X1440" s="20" t="s">
        <v>130</v>
      </c>
      <c r="Y1440" s="20" t="s">
        <v>130</v>
      </c>
      <c r="Z1440" s="20" t="s">
        <v>60</v>
      </c>
      <c r="AA1440" s="20" t="s">
        <v>61</v>
      </c>
      <c r="AB1440" s="20" t="s">
        <v>96</v>
      </c>
      <c r="AC1440" s="28">
        <v>369.83</v>
      </c>
      <c r="AD1440" s="28">
        <f>SUM(BASE[[#This Row],[MONTO DE RENTA ]]*1.16)</f>
        <v>429.00279999999998</v>
      </c>
      <c r="AE1440" s="28" t="s">
        <v>63</v>
      </c>
      <c r="AF1440" s="28">
        <v>369.82758620689657</v>
      </c>
      <c r="AG1440" s="28">
        <v>429</v>
      </c>
      <c r="AI1440" s="63">
        <v>44937</v>
      </c>
      <c r="AJ1440" s="73">
        <v>46043</v>
      </c>
      <c r="AK144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40" s="30"/>
      <c r="AN1440" s="20" t="s">
        <v>99</v>
      </c>
      <c r="AP1440" s="20" t="s">
        <v>84</v>
      </c>
      <c r="AQ1440" s="20" t="s">
        <v>100</v>
      </c>
    </row>
    <row r="1441" spans="1:43" ht="16">
      <c r="A1441" s="20">
        <v>8113215449</v>
      </c>
      <c r="B1441" s="21">
        <v>6976</v>
      </c>
      <c r="C1441" s="20" t="s">
        <v>6535</v>
      </c>
      <c r="D1441" s="20" t="s">
        <v>6536</v>
      </c>
      <c r="E1441" s="20" t="s">
        <v>657</v>
      </c>
      <c r="F1441" s="20" t="s">
        <v>6537</v>
      </c>
      <c r="G1441" s="20" t="s">
        <v>6537</v>
      </c>
      <c r="H1441" s="20" t="s">
        <v>155</v>
      </c>
      <c r="I1441" s="20" t="s">
        <v>6537</v>
      </c>
      <c r="J1441" s="22" t="s">
        <v>6538</v>
      </c>
      <c r="K1441" s="32" t="s">
        <v>6539</v>
      </c>
      <c r="L1441" s="23" t="s">
        <v>92</v>
      </c>
      <c r="M1441" s="24" t="s">
        <v>7738</v>
      </c>
      <c r="N1441" s="23">
        <v>18848059</v>
      </c>
      <c r="O1441" s="25" t="s">
        <v>74</v>
      </c>
      <c r="P1441" s="25" t="s">
        <v>53</v>
      </c>
      <c r="Q1441" s="20" t="s">
        <v>6540</v>
      </c>
      <c r="R1441" s="20">
        <v>43163546</v>
      </c>
      <c r="S1441" s="25" t="s">
        <v>6541</v>
      </c>
      <c r="T1441" s="26" t="s">
        <v>57</v>
      </c>
      <c r="U1441" s="23">
        <v>860900062335617</v>
      </c>
      <c r="V1441" s="27" t="s">
        <v>57</v>
      </c>
      <c r="W1441" s="20" t="s">
        <v>58</v>
      </c>
      <c r="X1441" s="20" t="s">
        <v>59</v>
      </c>
      <c r="Y1441" s="20" t="s">
        <v>59</v>
      </c>
      <c r="Z1441" s="20" t="s">
        <v>167</v>
      </c>
      <c r="AA1441" s="20" t="s">
        <v>168</v>
      </c>
      <c r="AB1441" s="20" t="s">
        <v>96</v>
      </c>
      <c r="AC1441" s="28">
        <v>369.83</v>
      </c>
      <c r="AD1441" s="28">
        <f>SUM(BASE[[#This Row],[MONTO DE RENTA ]]*1.16)</f>
        <v>429.00279999999998</v>
      </c>
      <c r="AE1441" s="28" t="s">
        <v>63</v>
      </c>
      <c r="AF1441" s="28">
        <v>369.82758620689657</v>
      </c>
      <c r="AG1441" s="28">
        <v>429</v>
      </c>
      <c r="AH1441" s="22" t="s">
        <v>64</v>
      </c>
      <c r="AI1441" s="29">
        <v>45703</v>
      </c>
      <c r="AJ1441" s="29">
        <v>46433</v>
      </c>
      <c r="AK144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41" s="30"/>
      <c r="AN1441" s="20" t="s">
        <v>65</v>
      </c>
      <c r="AP1441" s="20" t="s">
        <v>84</v>
      </c>
    </row>
    <row r="1442" spans="1:43" ht="16">
      <c r="A1442" s="20">
        <v>8116119891</v>
      </c>
      <c r="B1442" s="49">
        <v>40059</v>
      </c>
      <c r="C1442" s="20" t="s">
        <v>2115</v>
      </c>
      <c r="D1442" s="20" t="s">
        <v>442</v>
      </c>
      <c r="E1442" s="20" t="s">
        <v>437</v>
      </c>
      <c r="F1442" s="20" t="s">
        <v>6542</v>
      </c>
      <c r="G1442" s="20" t="s">
        <v>6542</v>
      </c>
      <c r="H1442" s="20" t="s">
        <v>155</v>
      </c>
      <c r="I1442" s="20" t="s">
        <v>6542</v>
      </c>
      <c r="J1442" s="22" t="s">
        <v>6543</v>
      </c>
      <c r="K1442" s="22" t="s">
        <v>6544</v>
      </c>
      <c r="L1442" s="23" t="s">
        <v>92</v>
      </c>
      <c r="M1442" s="24" t="s">
        <v>7738</v>
      </c>
      <c r="N1442" s="23">
        <v>18848059</v>
      </c>
      <c r="O1442" s="25" t="s">
        <v>74</v>
      </c>
      <c r="P1442" s="25" t="s">
        <v>53</v>
      </c>
      <c r="Q1442" s="20" t="s">
        <v>6545</v>
      </c>
      <c r="R1442" s="20">
        <v>42917047</v>
      </c>
      <c r="S1442" s="25" t="s">
        <v>55</v>
      </c>
      <c r="T1442" s="26" t="s">
        <v>56</v>
      </c>
      <c r="U1442" s="23">
        <v>357654177511667</v>
      </c>
      <c r="V1442" s="27" t="s">
        <v>78</v>
      </c>
      <c r="W1442" s="20" t="s">
        <v>95</v>
      </c>
      <c r="X1442" s="20" t="s">
        <v>95</v>
      </c>
      <c r="Y1442" s="20" t="s">
        <v>95</v>
      </c>
      <c r="Z1442" s="20" t="s">
        <v>60</v>
      </c>
      <c r="AA1442" s="20" t="s">
        <v>61</v>
      </c>
      <c r="AB1442" s="20" t="s">
        <v>82</v>
      </c>
      <c r="AC1442" s="28">
        <v>559.48</v>
      </c>
      <c r="AD1442" s="28">
        <f>SUM(BASE[[#This Row],[MONTO DE RENTA ]]*1.16)</f>
        <v>648.99680000000001</v>
      </c>
      <c r="AE1442" s="28" t="s">
        <v>83</v>
      </c>
      <c r="AF1442" s="28">
        <v>559.48275862068965</v>
      </c>
      <c r="AG1442" s="28">
        <v>649</v>
      </c>
      <c r="AI1442" s="63">
        <v>44937</v>
      </c>
      <c r="AJ1442" s="73">
        <v>46043</v>
      </c>
      <c r="AK144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42" s="30"/>
      <c r="AN1442" s="20" t="s">
        <v>99</v>
      </c>
      <c r="AP1442" s="20" t="s">
        <v>84</v>
      </c>
      <c r="AQ1442" s="20" t="s">
        <v>100</v>
      </c>
    </row>
    <row r="1443" spans="1:43" ht="16">
      <c r="A1443" s="20">
        <v>8126218680</v>
      </c>
      <c r="B1443" s="49">
        <v>1011545</v>
      </c>
      <c r="C1443" s="20" t="s">
        <v>3197</v>
      </c>
      <c r="D1443" s="20" t="s">
        <v>6546</v>
      </c>
      <c r="E1443" s="20" t="s">
        <v>5178</v>
      </c>
      <c r="F1443" s="20" t="s">
        <v>6547</v>
      </c>
      <c r="G1443" s="20" t="s">
        <v>6547</v>
      </c>
      <c r="H1443" s="20" t="s">
        <v>199</v>
      </c>
      <c r="I1443" s="20" t="s">
        <v>6547</v>
      </c>
      <c r="J1443" s="32" t="s">
        <v>6548</v>
      </c>
      <c r="K1443" s="22" t="s">
        <v>6549</v>
      </c>
      <c r="L1443" s="23" t="s">
        <v>92</v>
      </c>
      <c r="M1443" s="24" t="s">
        <v>7738</v>
      </c>
      <c r="N1443" s="23">
        <v>18848009</v>
      </c>
      <c r="O1443" s="25" t="s">
        <v>74</v>
      </c>
      <c r="P1443" s="25" t="s">
        <v>53</v>
      </c>
      <c r="Q1443" s="20" t="s">
        <v>6550</v>
      </c>
      <c r="R1443" s="20">
        <v>42811695</v>
      </c>
      <c r="S1443" s="25" t="s">
        <v>55</v>
      </c>
      <c r="T1443" s="26" t="s">
        <v>56</v>
      </c>
      <c r="U1443" s="23">
        <v>357479187588764</v>
      </c>
      <c r="V1443" s="27" t="s">
        <v>78</v>
      </c>
      <c r="W1443" s="20" t="s">
        <v>5347</v>
      </c>
      <c r="X1443" s="20" t="s">
        <v>5347</v>
      </c>
      <c r="Y1443" s="20" t="s">
        <v>5347</v>
      </c>
      <c r="Z1443" s="20" t="s">
        <v>60</v>
      </c>
      <c r="AA1443" s="20" t="s">
        <v>61</v>
      </c>
      <c r="AB1443" s="20" t="s">
        <v>82</v>
      </c>
      <c r="AC1443" s="28">
        <v>559.48</v>
      </c>
      <c r="AD1443" s="28">
        <f>SUM(BASE[[#This Row],[MONTO DE RENTA ]]*1.16)</f>
        <v>648.99680000000001</v>
      </c>
      <c r="AE1443" s="28" t="s">
        <v>83</v>
      </c>
      <c r="AF1443" s="28">
        <v>559.48275862068965</v>
      </c>
      <c r="AG1443" s="28">
        <v>649</v>
      </c>
      <c r="AI1443" s="63">
        <v>44937</v>
      </c>
      <c r="AJ1443" s="73">
        <v>46043</v>
      </c>
      <c r="AK14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43" s="30"/>
      <c r="AN1443" s="20" t="s">
        <v>99</v>
      </c>
      <c r="AP1443" s="20" t="s">
        <v>84</v>
      </c>
      <c r="AQ1443" s="20" t="s">
        <v>100</v>
      </c>
    </row>
    <row r="1444" spans="1:43" ht="16">
      <c r="A1444" s="20">
        <v>9993983132</v>
      </c>
      <c r="B1444" s="21">
        <v>20416</v>
      </c>
      <c r="C1444" s="20" t="s">
        <v>2115</v>
      </c>
      <c r="D1444" s="20" t="s">
        <v>657</v>
      </c>
      <c r="E1444" s="20" t="s">
        <v>172</v>
      </c>
      <c r="F1444" s="20" t="s">
        <v>3245</v>
      </c>
      <c r="G1444" s="20" t="s">
        <v>3245</v>
      </c>
      <c r="H1444" s="20" t="s">
        <v>48</v>
      </c>
      <c r="I1444" s="20" t="s">
        <v>3245</v>
      </c>
      <c r="J1444" s="22" t="s">
        <v>6551</v>
      </c>
      <c r="K1444" s="22" t="s">
        <v>6551</v>
      </c>
      <c r="L1444" s="23" t="s">
        <v>3810</v>
      </c>
      <c r="M1444" s="24" t="s">
        <v>7751</v>
      </c>
      <c r="N1444" s="23">
        <v>18743003</v>
      </c>
      <c r="O1444" s="25" t="s">
        <v>1035</v>
      </c>
      <c r="P1444" s="25" t="s">
        <v>53</v>
      </c>
      <c r="Q1444" s="20" t="s">
        <v>6552</v>
      </c>
      <c r="R1444" s="20">
        <v>82305830</v>
      </c>
      <c r="S1444" s="25" t="s">
        <v>6553</v>
      </c>
      <c r="T1444" s="26" t="s">
        <v>57</v>
      </c>
      <c r="U1444" s="23" t="s">
        <v>193</v>
      </c>
      <c r="V1444" s="27" t="s">
        <v>57</v>
      </c>
      <c r="W1444" s="20" t="s">
        <v>194</v>
      </c>
      <c r="X1444" s="20" t="s">
        <v>194</v>
      </c>
      <c r="Y1444" s="20" t="s">
        <v>194</v>
      </c>
      <c r="Z1444" s="20" t="s">
        <v>80</v>
      </c>
      <c r="AA1444" s="20" t="s">
        <v>81</v>
      </c>
      <c r="AB1444" s="20" t="s">
        <v>96</v>
      </c>
      <c r="AC1444" s="28">
        <v>369.83</v>
      </c>
      <c r="AD1444" s="28">
        <f>SUM(BASE[[#This Row],[MONTO DE RENTA ]]*1.16)</f>
        <v>429.00279999999998</v>
      </c>
      <c r="AE1444" s="28" t="s">
        <v>63</v>
      </c>
      <c r="AF1444" s="28">
        <v>369.82758620689657</v>
      </c>
      <c r="AG1444" s="28">
        <v>429</v>
      </c>
      <c r="AI1444" s="63">
        <v>44937</v>
      </c>
      <c r="AJ1444" s="84">
        <v>46681</v>
      </c>
      <c r="AK144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444" s="30"/>
      <c r="AN1444" s="20" t="s">
        <v>65</v>
      </c>
      <c r="AP1444" s="20" t="s">
        <v>84</v>
      </c>
    </row>
    <row r="1445" spans="1:43" ht="16">
      <c r="A1445" s="20">
        <v>8110803771</v>
      </c>
      <c r="B1445" s="49">
        <v>1040302</v>
      </c>
      <c r="C1445" s="20" t="s">
        <v>6554</v>
      </c>
      <c r="D1445" s="20" t="s">
        <v>3074</v>
      </c>
      <c r="E1445" s="20" t="s">
        <v>5393</v>
      </c>
      <c r="F1445" s="20" t="s">
        <v>6555</v>
      </c>
      <c r="G1445" s="20" t="s">
        <v>6555</v>
      </c>
      <c r="H1445" s="20" t="s">
        <v>155</v>
      </c>
      <c r="I1445" s="20" t="s">
        <v>6555</v>
      </c>
      <c r="J1445" s="22" t="s">
        <v>6556</v>
      </c>
      <c r="K1445" s="22" t="s">
        <v>6556</v>
      </c>
      <c r="L1445" s="23" t="s">
        <v>92</v>
      </c>
      <c r="M1445" s="24" t="s">
        <v>7738</v>
      </c>
      <c r="N1445" s="23">
        <v>18848043</v>
      </c>
      <c r="O1445" s="25" t="s">
        <v>74</v>
      </c>
      <c r="P1445" s="25" t="s">
        <v>53</v>
      </c>
      <c r="Q1445" s="20" t="s">
        <v>6557</v>
      </c>
      <c r="R1445" s="20">
        <v>43519032</v>
      </c>
      <c r="S1445" s="25" t="s">
        <v>55</v>
      </c>
      <c r="T1445" s="26" t="s">
        <v>56</v>
      </c>
      <c r="U1445" s="23">
        <v>357654179955383</v>
      </c>
      <c r="V1445" s="27" t="s">
        <v>78</v>
      </c>
      <c r="W1445" s="20" t="s">
        <v>6506</v>
      </c>
      <c r="X1445" s="20" t="s">
        <v>6506</v>
      </c>
      <c r="Y1445" s="20" t="s">
        <v>6506</v>
      </c>
      <c r="Z1445" s="20" t="s">
        <v>60</v>
      </c>
      <c r="AA1445" s="20" t="s">
        <v>61</v>
      </c>
      <c r="AB1445" s="20" t="s">
        <v>96</v>
      </c>
      <c r="AC1445" s="28">
        <v>369.83</v>
      </c>
      <c r="AD1445" s="28">
        <f>SUM(BASE[[#This Row],[MONTO DE RENTA ]]*1.16)</f>
        <v>429.00279999999998</v>
      </c>
      <c r="AE1445" s="28" t="s">
        <v>83</v>
      </c>
      <c r="AF1445" s="28">
        <v>559.48275862068965</v>
      </c>
      <c r="AG1445" s="28">
        <v>649</v>
      </c>
      <c r="AI1445" s="63">
        <v>44937</v>
      </c>
      <c r="AJ1445" s="73">
        <v>46043</v>
      </c>
      <c r="AK144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45" s="30"/>
      <c r="AN1445" s="20" t="s">
        <v>99</v>
      </c>
      <c r="AP1445" s="20" t="s">
        <v>66</v>
      </c>
      <c r="AQ1445" s="20" t="s">
        <v>100</v>
      </c>
    </row>
    <row r="1446" spans="1:43" ht="16">
      <c r="A1446" s="20">
        <v>3311078477</v>
      </c>
      <c r="B1446" s="21">
        <v>740252</v>
      </c>
      <c r="C1446" s="20" t="s">
        <v>170</v>
      </c>
      <c r="D1446" s="20" t="s">
        <v>6558</v>
      </c>
      <c r="E1446" s="20" t="s">
        <v>6559</v>
      </c>
      <c r="F1446" s="20" t="s">
        <v>5288</v>
      </c>
      <c r="G1446" s="20" t="s">
        <v>5288</v>
      </c>
      <c r="H1446" s="20" t="s">
        <v>5289</v>
      </c>
      <c r="I1446" s="20" t="s">
        <v>5288</v>
      </c>
      <c r="J1446" s="22" t="s">
        <v>6560</v>
      </c>
      <c r="K1446" s="22" t="s">
        <v>6561</v>
      </c>
      <c r="L1446" s="23" t="s">
        <v>92</v>
      </c>
      <c r="M1446" s="24" t="s">
        <v>7738</v>
      </c>
      <c r="N1446" s="23">
        <v>18848028</v>
      </c>
      <c r="O1446" s="25" t="s">
        <v>677</v>
      </c>
      <c r="P1446" s="25" t="s">
        <v>53</v>
      </c>
      <c r="Q1446" s="20" t="s">
        <v>6562</v>
      </c>
      <c r="R1446" s="20">
        <v>53373850</v>
      </c>
      <c r="S1446" s="25" t="s">
        <v>6563</v>
      </c>
      <c r="T1446" s="26" t="s">
        <v>57</v>
      </c>
      <c r="U1446" s="23">
        <v>860900062337423</v>
      </c>
      <c r="V1446" s="27" t="s">
        <v>78</v>
      </c>
      <c r="W1446" s="20" t="s">
        <v>58</v>
      </c>
      <c r="X1446" s="20" t="s">
        <v>59</v>
      </c>
      <c r="Y1446" s="20" t="s">
        <v>59</v>
      </c>
      <c r="Z1446" s="20" t="s">
        <v>167</v>
      </c>
      <c r="AA1446" s="20" t="s">
        <v>168</v>
      </c>
      <c r="AB1446" s="20" t="s">
        <v>96</v>
      </c>
      <c r="AC1446" s="28">
        <v>369.83</v>
      </c>
      <c r="AD1446" s="28">
        <f>SUM(BASE[[#This Row],[MONTO DE RENTA ]]*1.16)</f>
        <v>429.00279999999998</v>
      </c>
      <c r="AE1446" s="28" t="s">
        <v>83</v>
      </c>
      <c r="AF1446" s="28">
        <v>559.48275862068965</v>
      </c>
      <c r="AG1446" s="28">
        <v>649</v>
      </c>
      <c r="AH1446" s="22" t="s">
        <v>64</v>
      </c>
      <c r="AI1446" s="63">
        <v>45703</v>
      </c>
      <c r="AJ1446" s="63">
        <v>46433</v>
      </c>
      <c r="AK144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46" s="30"/>
      <c r="AN1446" s="20" t="s">
        <v>99</v>
      </c>
      <c r="AP1446" s="20" t="s">
        <v>66</v>
      </c>
      <c r="AQ1446" s="20" t="s">
        <v>100</v>
      </c>
    </row>
    <row r="1447" spans="1:43" ht="16">
      <c r="A1447" s="20">
        <v>3339548369</v>
      </c>
      <c r="B1447" s="98">
        <v>690310</v>
      </c>
      <c r="C1447" s="20" t="s">
        <v>170</v>
      </c>
      <c r="D1447" s="20" t="s">
        <v>4440</v>
      </c>
      <c r="E1447" s="20" t="s">
        <v>1694</v>
      </c>
      <c r="F1447" s="20" t="s">
        <v>88</v>
      </c>
      <c r="G1447" s="20" t="s">
        <v>88</v>
      </c>
      <c r="H1447" s="20" t="s">
        <v>89</v>
      </c>
      <c r="I1447" s="20" t="s">
        <v>88</v>
      </c>
      <c r="J1447" s="54" t="s">
        <v>6564</v>
      </c>
      <c r="K1447" s="54" t="s">
        <v>6564</v>
      </c>
      <c r="L1447" s="23" t="s">
        <v>92</v>
      </c>
      <c r="M1447" s="24" t="s">
        <v>7738</v>
      </c>
      <c r="N1447" s="23">
        <v>18848041</v>
      </c>
      <c r="O1447" s="25" t="s">
        <v>677</v>
      </c>
      <c r="P1447" s="25" t="s">
        <v>53</v>
      </c>
      <c r="Q1447" s="20" t="s">
        <v>6565</v>
      </c>
      <c r="R1447" s="20">
        <v>55200542</v>
      </c>
      <c r="S1447" s="25" t="s">
        <v>6566</v>
      </c>
      <c r="T1447" s="44" t="s">
        <v>77</v>
      </c>
      <c r="U1447" s="23">
        <v>356638832248907</v>
      </c>
      <c r="V1447" s="27" t="s">
        <v>78</v>
      </c>
      <c r="W1447" s="20" t="s">
        <v>214</v>
      </c>
      <c r="X1447" s="20" t="s">
        <v>214</v>
      </c>
      <c r="Y1447" s="20" t="s">
        <v>214</v>
      </c>
      <c r="Z1447" s="20" t="s">
        <v>60</v>
      </c>
      <c r="AA1447" s="20" t="s">
        <v>61</v>
      </c>
      <c r="AB1447" s="20" t="s">
        <v>82</v>
      </c>
      <c r="AC1447" s="28">
        <v>559.48</v>
      </c>
      <c r="AD1447" s="28">
        <f>SUM(BASE[[#This Row],[MONTO DE RENTA ]]*1.16)</f>
        <v>648.99680000000001</v>
      </c>
      <c r="AE1447" s="28" t="s">
        <v>83</v>
      </c>
      <c r="AF1447" s="28">
        <v>559.48275862068965</v>
      </c>
      <c r="AG1447" s="28">
        <v>649</v>
      </c>
      <c r="AH1447" s="22" t="s">
        <v>98</v>
      </c>
      <c r="AI1447" s="63">
        <v>45833</v>
      </c>
      <c r="AJ1447" s="63">
        <v>46563</v>
      </c>
      <c r="AK1447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447" s="20">
        <v>18848080</v>
      </c>
      <c r="AM1447" s="30"/>
      <c r="AN1447" s="20" t="s">
        <v>65</v>
      </c>
      <c r="AP1447" s="20" t="s">
        <v>84</v>
      </c>
    </row>
    <row r="1448" spans="1:43" s="171" customFormat="1" ht="16">
      <c r="A1448" s="20">
        <v>8122018989</v>
      </c>
      <c r="B1448" s="21">
        <v>1040460</v>
      </c>
      <c r="C1448" s="20" t="s">
        <v>6567</v>
      </c>
      <c r="D1448" s="20" t="s">
        <v>376</v>
      </c>
      <c r="E1448" s="20" t="s">
        <v>6568</v>
      </c>
      <c r="F1448" s="20" t="s">
        <v>6064</v>
      </c>
      <c r="G1448" s="20" t="s">
        <v>6064</v>
      </c>
      <c r="H1448" s="20" t="s">
        <v>199</v>
      </c>
      <c r="I1448" s="20" t="s">
        <v>6064</v>
      </c>
      <c r="J1448" s="22" t="s">
        <v>6569</v>
      </c>
      <c r="K1448" s="22" t="s">
        <v>6569</v>
      </c>
      <c r="L1448" s="23" t="s">
        <v>92</v>
      </c>
      <c r="M1448" s="24" t="s">
        <v>7738</v>
      </c>
      <c r="N1448" s="23">
        <v>18848076</v>
      </c>
      <c r="O1448" s="25" t="s">
        <v>74</v>
      </c>
      <c r="P1448" s="25" t="s">
        <v>53</v>
      </c>
      <c r="Q1448" s="20" t="s">
        <v>6570</v>
      </c>
      <c r="R1448" s="20">
        <v>45142655</v>
      </c>
      <c r="S1448" s="25" t="s">
        <v>55</v>
      </c>
      <c r="T1448" s="26" t="s">
        <v>56</v>
      </c>
      <c r="U1448" s="23">
        <v>860900062254396</v>
      </c>
      <c r="V1448" s="27" t="s">
        <v>57</v>
      </c>
      <c r="W1448" s="20" t="s">
        <v>58</v>
      </c>
      <c r="X1448" s="20" t="s">
        <v>59</v>
      </c>
      <c r="Y1448" s="20" t="s">
        <v>59</v>
      </c>
      <c r="Z1448" s="20" t="s">
        <v>60</v>
      </c>
      <c r="AA1448" s="20" t="s">
        <v>61</v>
      </c>
      <c r="AB1448" s="20" t="s">
        <v>62</v>
      </c>
      <c r="AC1448" s="28">
        <v>197.41</v>
      </c>
      <c r="AD1448" s="28">
        <f>SUM(BASE[[#This Row],[MONTO DE RENTA ]]*1.16)</f>
        <v>228.99559999999997</v>
      </c>
      <c r="AE1448" s="28" t="s">
        <v>63</v>
      </c>
      <c r="AF1448" s="28">
        <v>369.82758620689657</v>
      </c>
      <c r="AG1448" s="28">
        <v>429</v>
      </c>
      <c r="AH1448" s="22" t="s">
        <v>64</v>
      </c>
      <c r="AI1448" s="63">
        <v>45703</v>
      </c>
      <c r="AJ1448" s="63">
        <v>46433</v>
      </c>
      <c r="AK144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448" s="20"/>
      <c r="AM1448" s="30"/>
      <c r="AN1448" s="20" t="s">
        <v>65</v>
      </c>
      <c r="AO1448" s="20"/>
      <c r="AP1448" s="20" t="s">
        <v>66</v>
      </c>
      <c r="AQ1448" s="20"/>
    </row>
    <row r="1449" spans="1:43" ht="16">
      <c r="A1449" s="20">
        <v>8116318939</v>
      </c>
      <c r="B1449" s="21">
        <v>1008212</v>
      </c>
      <c r="C1449" s="20" t="s">
        <v>5138</v>
      </c>
      <c r="D1449" s="20" t="s">
        <v>507</v>
      </c>
      <c r="E1449" s="20" t="s">
        <v>4034</v>
      </c>
      <c r="F1449" s="20" t="s">
        <v>5288</v>
      </c>
      <c r="G1449" s="20" t="s">
        <v>5288</v>
      </c>
      <c r="H1449" s="20" t="s">
        <v>5289</v>
      </c>
      <c r="I1449" s="20" t="s">
        <v>5288</v>
      </c>
      <c r="J1449" s="22" t="s">
        <v>6571</v>
      </c>
      <c r="K1449" s="32" t="s">
        <v>6572</v>
      </c>
      <c r="L1449" s="23" t="s">
        <v>92</v>
      </c>
      <c r="M1449" s="24" t="s">
        <v>7738</v>
      </c>
      <c r="N1449" s="23">
        <v>18848028</v>
      </c>
      <c r="O1449" s="25" t="s">
        <v>74</v>
      </c>
      <c r="P1449" s="25" t="s">
        <v>53</v>
      </c>
      <c r="Q1449" s="20" t="s">
        <v>6573</v>
      </c>
      <c r="R1449" s="20">
        <v>43163549</v>
      </c>
      <c r="S1449" s="25" t="s">
        <v>6574</v>
      </c>
      <c r="T1449" s="26" t="s">
        <v>57</v>
      </c>
      <c r="U1449" s="23">
        <v>860900062255310</v>
      </c>
      <c r="V1449" s="27" t="s">
        <v>78</v>
      </c>
      <c r="W1449" s="20" t="s">
        <v>58</v>
      </c>
      <c r="X1449" s="20" t="s">
        <v>59</v>
      </c>
      <c r="Y1449" s="20" t="s">
        <v>59</v>
      </c>
      <c r="Z1449" s="20" t="s">
        <v>131</v>
      </c>
      <c r="AA1449" s="20" t="s">
        <v>132</v>
      </c>
      <c r="AB1449" s="20" t="s">
        <v>96</v>
      </c>
      <c r="AC1449" s="28">
        <v>369.83</v>
      </c>
      <c r="AD1449" s="28">
        <f>SUM(BASE[[#This Row],[MONTO DE RENTA ]]*1.16)</f>
        <v>429.00279999999998</v>
      </c>
      <c r="AE1449" s="28" t="s">
        <v>83</v>
      </c>
      <c r="AF1449" s="28">
        <v>559.48275862068965</v>
      </c>
      <c r="AG1449" s="28">
        <v>649</v>
      </c>
      <c r="AH1449" s="22" t="s">
        <v>64</v>
      </c>
      <c r="AI1449" s="63">
        <v>45703</v>
      </c>
      <c r="AJ1449" s="63">
        <v>46433</v>
      </c>
      <c r="AK14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49" s="30"/>
      <c r="AN1449" s="20" t="s">
        <v>99</v>
      </c>
      <c r="AP1449" s="20" t="s">
        <v>66</v>
      </c>
      <c r="AQ1449" s="20" t="s">
        <v>100</v>
      </c>
    </row>
    <row r="1450" spans="1:43" ht="16">
      <c r="A1450" s="20">
        <v>8119127929</v>
      </c>
      <c r="B1450" s="49">
        <v>620151</v>
      </c>
      <c r="C1450" s="20" t="s">
        <v>1820</v>
      </c>
      <c r="D1450" s="20" t="s">
        <v>6575</v>
      </c>
      <c r="E1450" s="20" t="s">
        <v>1432</v>
      </c>
      <c r="F1450" s="20" t="s">
        <v>5334</v>
      </c>
      <c r="G1450" s="20" t="s">
        <v>5334</v>
      </c>
      <c r="H1450" s="20" t="s">
        <v>5320</v>
      </c>
      <c r="I1450" s="20" t="s">
        <v>5334</v>
      </c>
      <c r="J1450" s="32" t="s">
        <v>174</v>
      </c>
      <c r="K1450" s="32" t="s">
        <v>174</v>
      </c>
      <c r="L1450" s="23" t="s">
        <v>92</v>
      </c>
      <c r="M1450" s="24" t="s">
        <v>7738</v>
      </c>
      <c r="N1450" s="23">
        <v>18848082</v>
      </c>
      <c r="O1450" s="25" t="s">
        <v>74</v>
      </c>
      <c r="P1450" s="25" t="s">
        <v>53</v>
      </c>
      <c r="Q1450" s="20" t="s">
        <v>6576</v>
      </c>
      <c r="R1450" s="20">
        <v>45142610</v>
      </c>
      <c r="S1450" s="25" t="s">
        <v>6577</v>
      </c>
      <c r="T1450" s="26" t="s">
        <v>57</v>
      </c>
      <c r="U1450" s="23">
        <v>356638830814585</v>
      </c>
      <c r="V1450" s="27" t="s">
        <v>78</v>
      </c>
      <c r="W1450" s="20" t="s">
        <v>79</v>
      </c>
      <c r="X1450" s="20" t="s">
        <v>79</v>
      </c>
      <c r="Y1450" s="20" t="s">
        <v>79</v>
      </c>
      <c r="Z1450" s="20" t="s">
        <v>131</v>
      </c>
      <c r="AA1450" s="20" t="s">
        <v>132</v>
      </c>
      <c r="AB1450" s="20" t="s">
        <v>96</v>
      </c>
      <c r="AC1450" s="28">
        <v>369.83</v>
      </c>
      <c r="AD1450" s="28">
        <f>SUM(BASE[[#This Row],[MONTO DE RENTA ]]*1.16)</f>
        <v>429.00279999999998</v>
      </c>
      <c r="AE1450" s="28" t="s">
        <v>83</v>
      </c>
      <c r="AF1450" s="28">
        <v>559.48275862068965</v>
      </c>
      <c r="AG1450" s="28">
        <v>649</v>
      </c>
      <c r="AH1450" s="22" t="s">
        <v>116</v>
      </c>
      <c r="AI1450" s="29">
        <v>45758</v>
      </c>
      <c r="AJ1450" s="29">
        <v>46488</v>
      </c>
      <c r="AK1450" s="30">
        <f ca="1">IFERROR(IF(BASE[[#This Row],[FECHA DE RENOVACION ]]&gt;TODAY(), DATEDIF(TODAY(),BASE[[#This Row],[FECHA DE RENOVACION ]],"M"), -DATEDIF(BASE[[#This Row],[FECHA DE RENOVACION ]],TODAY(),"M")), "Sin fecha")</f>
        <v>13</v>
      </c>
      <c r="AL1450" s="47">
        <v>18848105</v>
      </c>
      <c r="AM1450" s="30"/>
      <c r="AN1450" s="20" t="s">
        <v>65</v>
      </c>
      <c r="AO1450" s="20" t="s">
        <v>169</v>
      </c>
      <c r="AP1450" s="20" t="s">
        <v>66</v>
      </c>
      <c r="AQ1450" s="20" t="s">
        <v>100</v>
      </c>
    </row>
    <row r="1451" spans="1:43" ht="16">
      <c r="A1451" s="99">
        <v>8113746412</v>
      </c>
      <c r="B1451" s="49">
        <v>6452</v>
      </c>
      <c r="C1451" s="20" t="s">
        <v>2088</v>
      </c>
      <c r="D1451" s="20" t="s">
        <v>6578</v>
      </c>
      <c r="E1451" s="20" t="s">
        <v>376</v>
      </c>
      <c r="F1451" s="20" t="s">
        <v>6579</v>
      </c>
      <c r="G1451" s="20" t="s">
        <v>6579</v>
      </c>
      <c r="H1451" s="20" t="s">
        <v>5381</v>
      </c>
      <c r="I1451" s="20" t="s">
        <v>6579</v>
      </c>
      <c r="J1451" s="22" t="s">
        <v>6580</v>
      </c>
      <c r="K1451" s="32" t="s">
        <v>6581</v>
      </c>
      <c r="L1451" s="23" t="s">
        <v>92</v>
      </c>
      <c r="M1451" s="24" t="s">
        <v>7738</v>
      </c>
      <c r="N1451" s="23">
        <v>18848084</v>
      </c>
      <c r="O1451" s="25" t="s">
        <v>74</v>
      </c>
      <c r="P1451" s="25" t="s">
        <v>53</v>
      </c>
      <c r="Q1451" s="20" t="s">
        <v>6582</v>
      </c>
      <c r="R1451" s="20">
        <v>42920442</v>
      </c>
      <c r="S1451" s="25" t="s">
        <v>55</v>
      </c>
      <c r="T1451" s="26" t="s">
        <v>56</v>
      </c>
      <c r="U1451" s="23">
        <v>357894929389893</v>
      </c>
      <c r="V1451" s="27" t="s">
        <v>78</v>
      </c>
      <c r="W1451" s="20" t="s">
        <v>95</v>
      </c>
      <c r="X1451" s="20" t="s">
        <v>95</v>
      </c>
      <c r="Y1451" s="20" t="s">
        <v>95</v>
      </c>
      <c r="Z1451" s="20" t="s">
        <v>584</v>
      </c>
      <c r="AA1451" s="20" t="s">
        <v>585</v>
      </c>
      <c r="AB1451" s="20" t="s">
        <v>82</v>
      </c>
      <c r="AC1451" s="28">
        <v>559.48</v>
      </c>
      <c r="AD1451" s="28">
        <f>SUM(BASE[[#This Row],[MONTO DE RENTA ]]*1.16)</f>
        <v>648.99680000000001</v>
      </c>
      <c r="AE1451" s="28" t="s">
        <v>83</v>
      </c>
      <c r="AF1451" s="28">
        <v>559.48275862068965</v>
      </c>
      <c r="AG1451" s="28">
        <v>649</v>
      </c>
      <c r="AI1451" s="63">
        <v>44937</v>
      </c>
      <c r="AJ1451" s="73">
        <v>46043</v>
      </c>
      <c r="AK145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51" s="30"/>
      <c r="AN1451" s="20" t="s">
        <v>99</v>
      </c>
      <c r="AP1451" s="20" t="s">
        <v>84</v>
      </c>
      <c r="AQ1451" s="20" t="s">
        <v>100</v>
      </c>
    </row>
    <row r="1452" spans="1:43" ht="16">
      <c r="A1452" s="20">
        <v>8116920971</v>
      </c>
      <c r="B1452" s="49">
        <v>1037839</v>
      </c>
      <c r="C1452" s="20" t="s">
        <v>6583</v>
      </c>
      <c r="D1452" s="20" t="s">
        <v>6584</v>
      </c>
      <c r="E1452" s="20" t="s">
        <v>6585</v>
      </c>
      <c r="F1452" s="20" t="s">
        <v>6064</v>
      </c>
      <c r="G1452" s="20" t="s">
        <v>6064</v>
      </c>
      <c r="H1452" s="20" t="s">
        <v>199</v>
      </c>
      <c r="I1452" s="20" t="s">
        <v>6064</v>
      </c>
      <c r="J1452" s="54" t="s">
        <v>6586</v>
      </c>
      <c r="K1452" s="54" t="s">
        <v>6586</v>
      </c>
      <c r="L1452" s="23" t="s">
        <v>92</v>
      </c>
      <c r="M1452" s="24" t="s">
        <v>7738</v>
      </c>
      <c r="N1452" s="23">
        <v>18848076</v>
      </c>
      <c r="O1452" s="25" t="s">
        <v>74</v>
      </c>
      <c r="P1452" s="25" t="s">
        <v>53</v>
      </c>
      <c r="Q1452" s="20" t="s">
        <v>6587</v>
      </c>
      <c r="R1452" s="20">
        <v>43648017</v>
      </c>
      <c r="S1452" s="25" t="s">
        <v>55</v>
      </c>
      <c r="T1452" s="44" t="s">
        <v>56</v>
      </c>
      <c r="U1452" s="23">
        <v>860900062322045</v>
      </c>
      <c r="V1452" s="27" t="s">
        <v>57</v>
      </c>
      <c r="W1452" s="20" t="s">
        <v>58</v>
      </c>
      <c r="X1452" s="20" t="s">
        <v>59</v>
      </c>
      <c r="Y1452" s="20" t="s">
        <v>59</v>
      </c>
      <c r="Z1452" s="20" t="s">
        <v>60</v>
      </c>
      <c r="AA1452" s="20" t="s">
        <v>61</v>
      </c>
      <c r="AB1452" s="20" t="s">
        <v>96</v>
      </c>
      <c r="AC1452" s="28">
        <v>369.83</v>
      </c>
      <c r="AD1452" s="28">
        <f>SUM(BASE[[#This Row],[MONTO DE RENTA ]]*1.16)</f>
        <v>429.00279999999998</v>
      </c>
      <c r="AE1452" s="28" t="s">
        <v>63</v>
      </c>
      <c r="AF1452" s="28">
        <v>369.82758620689657</v>
      </c>
      <c r="AG1452" s="28">
        <v>429</v>
      </c>
      <c r="AH1452" s="22" t="s">
        <v>64</v>
      </c>
      <c r="AI1452" s="63">
        <v>45323</v>
      </c>
      <c r="AJ1452" s="63">
        <v>46784</v>
      </c>
      <c r="AK1452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452" s="30"/>
      <c r="AN1452" s="20" t="s">
        <v>65</v>
      </c>
      <c r="AP1452" s="20" t="s">
        <v>84</v>
      </c>
    </row>
    <row r="1453" spans="1:43" ht="16">
      <c r="A1453" s="20">
        <v>8118212145</v>
      </c>
      <c r="B1453" s="21">
        <v>1020921</v>
      </c>
      <c r="C1453" s="20" t="s">
        <v>4425</v>
      </c>
      <c r="D1453" s="20" t="s">
        <v>4676</v>
      </c>
      <c r="E1453" s="20" t="s">
        <v>143</v>
      </c>
      <c r="F1453" s="20" t="s">
        <v>6588</v>
      </c>
      <c r="G1453" s="20" t="s">
        <v>6588</v>
      </c>
      <c r="H1453" s="20" t="s">
        <v>5437</v>
      </c>
      <c r="I1453" s="20" t="s">
        <v>6588</v>
      </c>
      <c r="J1453" s="22" t="s">
        <v>6589</v>
      </c>
      <c r="K1453" s="32" t="s">
        <v>6590</v>
      </c>
      <c r="L1453" s="23" t="s">
        <v>92</v>
      </c>
      <c r="M1453" s="24" t="s">
        <v>7738</v>
      </c>
      <c r="N1453" s="23">
        <v>18848063</v>
      </c>
      <c r="O1453" s="25" t="s">
        <v>74</v>
      </c>
      <c r="P1453" s="25" t="s">
        <v>53</v>
      </c>
      <c r="Q1453" s="20" t="s">
        <v>6591</v>
      </c>
      <c r="R1453" s="20">
        <v>43056246</v>
      </c>
      <c r="S1453" s="25" t="s">
        <v>6592</v>
      </c>
      <c r="T1453" s="26" t="s">
        <v>77</v>
      </c>
      <c r="U1453" s="23">
        <v>358366320225512</v>
      </c>
      <c r="V1453" s="27" t="s">
        <v>78</v>
      </c>
      <c r="W1453" s="20" t="s">
        <v>79</v>
      </c>
      <c r="X1453" s="20" t="s">
        <v>79</v>
      </c>
      <c r="Y1453" s="20" t="s">
        <v>79</v>
      </c>
      <c r="Z1453" s="20" t="s">
        <v>167</v>
      </c>
      <c r="AA1453" s="20" t="s">
        <v>168</v>
      </c>
      <c r="AB1453" s="20" t="s">
        <v>82</v>
      </c>
      <c r="AC1453" s="28">
        <v>559.48</v>
      </c>
      <c r="AD1453" s="28">
        <f>SUM(BASE[[#This Row],[MONTO DE RENTA ]]*1.16)</f>
        <v>648.99680000000001</v>
      </c>
      <c r="AE1453" s="28" t="s">
        <v>83</v>
      </c>
      <c r="AF1453" s="28">
        <v>559.48275862068965</v>
      </c>
      <c r="AG1453" s="28">
        <v>649</v>
      </c>
      <c r="AH1453" s="22" t="s">
        <v>64</v>
      </c>
      <c r="AI1453" s="63">
        <v>45703</v>
      </c>
      <c r="AJ1453" s="63">
        <v>46433</v>
      </c>
      <c r="AK14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53" s="30"/>
      <c r="AN1453" s="20" t="s">
        <v>65</v>
      </c>
      <c r="AP1453" s="20" t="s">
        <v>84</v>
      </c>
    </row>
    <row r="1454" spans="1:43" s="87" customFormat="1" ht="16">
      <c r="A1454" s="61">
        <v>5545236949</v>
      </c>
      <c r="B1454" s="21">
        <v>1004658</v>
      </c>
      <c r="C1454" s="20" t="s">
        <v>2056</v>
      </c>
      <c r="D1454" s="20" t="s">
        <v>3640</v>
      </c>
      <c r="E1454" s="20" t="s">
        <v>6593</v>
      </c>
      <c r="F1454" s="20" t="s">
        <v>88</v>
      </c>
      <c r="G1454" s="20" t="s">
        <v>88</v>
      </c>
      <c r="H1454" s="20" t="s">
        <v>89</v>
      </c>
      <c r="I1454" s="20" t="s">
        <v>88</v>
      </c>
      <c r="J1454" s="54" t="s">
        <v>6594</v>
      </c>
      <c r="K1454" s="54" t="s">
        <v>6595</v>
      </c>
      <c r="L1454" s="23" t="s">
        <v>92</v>
      </c>
      <c r="M1454" s="24" t="s">
        <v>7738</v>
      </c>
      <c r="N1454" s="23">
        <v>18848041</v>
      </c>
      <c r="O1454" s="25" t="s">
        <v>52</v>
      </c>
      <c r="P1454" s="25" t="s">
        <v>53</v>
      </c>
      <c r="Q1454" s="20" t="s">
        <v>6596</v>
      </c>
      <c r="R1454" s="20">
        <v>90069509</v>
      </c>
      <c r="S1454" s="25" t="s">
        <v>6597</v>
      </c>
      <c r="T1454" s="44" t="s">
        <v>77</v>
      </c>
      <c r="U1454" s="23">
        <v>356638831823593</v>
      </c>
      <c r="V1454" s="27" t="s">
        <v>78</v>
      </c>
      <c r="W1454" s="20" t="s">
        <v>214</v>
      </c>
      <c r="X1454" s="20" t="s">
        <v>214</v>
      </c>
      <c r="Y1454" s="20" t="s">
        <v>214</v>
      </c>
      <c r="Z1454" s="20" t="s">
        <v>60</v>
      </c>
      <c r="AA1454" s="20" t="s">
        <v>61</v>
      </c>
      <c r="AB1454" s="20" t="s">
        <v>82</v>
      </c>
      <c r="AC1454" s="28">
        <v>559.48</v>
      </c>
      <c r="AD1454" s="28">
        <f>SUM(BASE[[#This Row],[MONTO DE RENTA ]]*1.16)</f>
        <v>648.99680000000001</v>
      </c>
      <c r="AE1454" s="28" t="s">
        <v>83</v>
      </c>
      <c r="AF1454" s="28">
        <v>559.48275862068965</v>
      </c>
      <c r="AG1454" s="28">
        <v>649</v>
      </c>
      <c r="AH1454" s="22" t="s">
        <v>98</v>
      </c>
      <c r="AI1454" s="63">
        <v>45833</v>
      </c>
      <c r="AJ1454" s="63">
        <v>46563</v>
      </c>
      <c r="AK1454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454" s="20" t="s">
        <v>6598</v>
      </c>
      <c r="AM1454" s="30"/>
      <c r="AN1454" s="20" t="s">
        <v>65</v>
      </c>
      <c r="AO1454" s="20"/>
      <c r="AP1454" s="20" t="s">
        <v>84</v>
      </c>
      <c r="AQ1454" s="20"/>
    </row>
    <row r="1455" spans="1:43" ht="16">
      <c r="A1455" s="87">
        <v>8184663500</v>
      </c>
      <c r="B1455" s="235">
        <v>0</v>
      </c>
      <c r="C1455" s="87" t="s">
        <v>1653</v>
      </c>
      <c r="D1455" s="87" t="s">
        <v>1654</v>
      </c>
      <c r="E1455" s="87" t="s">
        <v>1655</v>
      </c>
      <c r="F1455" s="87" t="s">
        <v>1656</v>
      </c>
      <c r="G1455" s="87" t="s">
        <v>1656</v>
      </c>
      <c r="H1455" s="20" t="s">
        <v>1657</v>
      </c>
      <c r="I1455" s="87" t="s">
        <v>1658</v>
      </c>
      <c r="J1455" s="216" t="s">
        <v>6599</v>
      </c>
      <c r="K1455" s="216"/>
      <c r="L1455" s="218" t="s">
        <v>92</v>
      </c>
      <c r="M1455" s="219" t="s">
        <v>7738</v>
      </c>
      <c r="N1455" s="218" t="s">
        <v>1661</v>
      </c>
      <c r="O1455" s="220" t="s">
        <v>74</v>
      </c>
      <c r="P1455" s="25" t="s">
        <v>3857</v>
      </c>
      <c r="Q1455" s="87" t="s">
        <v>6600</v>
      </c>
      <c r="R1455" s="87">
        <v>42896249</v>
      </c>
      <c r="S1455" s="220" t="s">
        <v>6601</v>
      </c>
      <c r="T1455" s="221" t="s">
        <v>77</v>
      </c>
      <c r="U1455" s="218" t="s">
        <v>193</v>
      </c>
      <c r="V1455" s="222" t="s">
        <v>183</v>
      </c>
      <c r="W1455" s="87" t="s">
        <v>194</v>
      </c>
      <c r="X1455" s="20" t="s">
        <v>194</v>
      </c>
      <c r="Y1455" s="20" t="s">
        <v>194</v>
      </c>
      <c r="Z1455" s="87" t="s">
        <v>261</v>
      </c>
      <c r="AA1455" s="87" t="s">
        <v>473</v>
      </c>
      <c r="AB1455" s="87" t="s">
        <v>474</v>
      </c>
      <c r="AC1455" s="223">
        <v>559.48</v>
      </c>
      <c r="AD1455" s="223">
        <f>SUM(BASE[[#This Row],[MONTO DE RENTA ]]*1.16)</f>
        <v>648.99680000000001</v>
      </c>
      <c r="AE1455" s="28" t="s">
        <v>83</v>
      </c>
      <c r="AF1455" s="28">
        <v>559.48275862068965</v>
      </c>
      <c r="AG1455" s="28">
        <v>649</v>
      </c>
      <c r="AH1455" s="217" t="s">
        <v>116</v>
      </c>
      <c r="AI1455" s="232">
        <v>45350</v>
      </c>
      <c r="AJ1455" s="232">
        <v>46081</v>
      </c>
      <c r="AK1455" s="225">
        <f ca="1">IFERROR(IF(BASE[[#This Row],[FECHA DE RENOVACION ]]&gt;TODAY(), DATEDIF(TODAY(),BASE[[#This Row],[FECHA DE RENOVACION ]],"M"), -DATEDIF(BASE[[#This Row],[FECHA DE RENOVACION ]],TODAY(),"M")), "Sin fecha")</f>
        <v>0</v>
      </c>
      <c r="AL1455" s="87"/>
      <c r="AM1455" s="225" t="s">
        <v>6602</v>
      </c>
      <c r="AN1455" s="87" t="s">
        <v>99</v>
      </c>
      <c r="AO1455" s="87"/>
      <c r="AP1455" s="20" t="s">
        <v>84</v>
      </c>
      <c r="AQ1455" s="20" t="s">
        <v>100</v>
      </c>
    </row>
    <row r="1456" spans="1:43" ht="16">
      <c r="A1456" s="20">
        <v>8113230177</v>
      </c>
      <c r="B1456" s="49">
        <v>6582</v>
      </c>
      <c r="C1456" s="20" t="s">
        <v>2088</v>
      </c>
      <c r="D1456" s="20" t="s">
        <v>187</v>
      </c>
      <c r="E1456" s="20" t="s">
        <v>187</v>
      </c>
      <c r="F1456" s="20" t="s">
        <v>6603</v>
      </c>
      <c r="G1456" s="20" t="s">
        <v>6603</v>
      </c>
      <c r="H1456" s="20" t="s">
        <v>5289</v>
      </c>
      <c r="I1456" s="20" t="s">
        <v>6603</v>
      </c>
      <c r="J1456" s="22" t="s">
        <v>6604</v>
      </c>
      <c r="K1456" s="22" t="s">
        <v>6605</v>
      </c>
      <c r="L1456" s="23" t="s">
        <v>92</v>
      </c>
      <c r="M1456" s="24" t="s">
        <v>7738</v>
      </c>
      <c r="N1456" s="23">
        <v>18848027</v>
      </c>
      <c r="O1456" s="25" t="s">
        <v>74</v>
      </c>
      <c r="P1456" s="25" t="s">
        <v>53</v>
      </c>
      <c r="Q1456" s="20" t="s">
        <v>6606</v>
      </c>
      <c r="R1456" s="20">
        <v>42896277</v>
      </c>
      <c r="S1456" s="25" t="s">
        <v>55</v>
      </c>
      <c r="T1456" s="26" t="s">
        <v>56</v>
      </c>
      <c r="U1456" s="23">
        <v>357654178699628</v>
      </c>
      <c r="V1456" s="27" t="s">
        <v>78</v>
      </c>
      <c r="W1456" s="20" t="s">
        <v>95</v>
      </c>
      <c r="X1456" s="20" t="s">
        <v>95</v>
      </c>
      <c r="Y1456" s="20" t="s">
        <v>95</v>
      </c>
      <c r="Z1456" s="20" t="s">
        <v>584</v>
      </c>
      <c r="AA1456" s="20" t="s">
        <v>585</v>
      </c>
      <c r="AB1456" s="20" t="s">
        <v>82</v>
      </c>
      <c r="AC1456" s="28">
        <v>559.48</v>
      </c>
      <c r="AD1456" s="28">
        <f>SUM(BASE[[#This Row],[MONTO DE RENTA ]]*1.16)</f>
        <v>648.99680000000001</v>
      </c>
      <c r="AE1456" s="28" t="s">
        <v>83</v>
      </c>
      <c r="AF1456" s="28">
        <v>559.48275862068965</v>
      </c>
      <c r="AG1456" s="28">
        <v>649</v>
      </c>
      <c r="AI1456" s="63">
        <v>44937</v>
      </c>
      <c r="AJ1456" s="73">
        <v>46043</v>
      </c>
      <c r="AK14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56" s="30"/>
      <c r="AN1456" s="20" t="s">
        <v>99</v>
      </c>
      <c r="AP1456" s="20" t="s">
        <v>84</v>
      </c>
      <c r="AQ1456" s="20" t="s">
        <v>100</v>
      </c>
    </row>
    <row r="1457" spans="1:43" s="171" customFormat="1" ht="16">
      <c r="A1457" s="20">
        <v>8123545332</v>
      </c>
      <c r="B1457" s="21">
        <v>996711</v>
      </c>
      <c r="C1457" s="20" t="s">
        <v>1820</v>
      </c>
      <c r="D1457" s="20" t="s">
        <v>45</v>
      </c>
      <c r="E1457" s="20" t="s">
        <v>6607</v>
      </c>
      <c r="F1457" s="20" t="s">
        <v>5329</v>
      </c>
      <c r="G1457" s="20" t="s">
        <v>5329</v>
      </c>
      <c r="H1457" s="20" t="s">
        <v>155</v>
      </c>
      <c r="I1457" s="20" t="s">
        <v>5329</v>
      </c>
      <c r="J1457" s="22" t="s">
        <v>6608</v>
      </c>
      <c r="K1457" s="54" t="s">
        <v>6609</v>
      </c>
      <c r="L1457" s="23" t="s">
        <v>92</v>
      </c>
      <c r="M1457" s="24" t="s">
        <v>7738</v>
      </c>
      <c r="N1457" s="23">
        <v>18848003</v>
      </c>
      <c r="O1457" s="25" t="s">
        <v>74</v>
      </c>
      <c r="P1457" s="25" t="s">
        <v>53</v>
      </c>
      <c r="Q1457" s="20" t="s">
        <v>6610</v>
      </c>
      <c r="R1457" s="20">
        <v>43017238</v>
      </c>
      <c r="S1457" s="25" t="s">
        <v>6611</v>
      </c>
      <c r="T1457" s="228" t="s">
        <v>57</v>
      </c>
      <c r="U1457" s="23">
        <v>354076112341567</v>
      </c>
      <c r="V1457" s="27" t="s">
        <v>183</v>
      </c>
      <c r="W1457" s="20" t="s">
        <v>3900</v>
      </c>
      <c r="X1457" s="20" t="s">
        <v>3901</v>
      </c>
      <c r="Y1457" s="20" t="s">
        <v>3901</v>
      </c>
      <c r="Z1457" s="20" t="s">
        <v>167</v>
      </c>
      <c r="AA1457" s="20" t="s">
        <v>168</v>
      </c>
      <c r="AB1457" s="20" t="s">
        <v>96</v>
      </c>
      <c r="AC1457" s="28">
        <v>369.83</v>
      </c>
      <c r="AD1457" s="28">
        <f>SUM(BASE[[#This Row],[MONTO DE RENTA ]]*1.16)</f>
        <v>429.00279999999998</v>
      </c>
      <c r="AE1457" s="28" t="s">
        <v>63</v>
      </c>
      <c r="AF1457" s="28">
        <v>369.82758620689657</v>
      </c>
      <c r="AG1457" s="28">
        <v>429</v>
      </c>
      <c r="AH1457" s="22"/>
      <c r="AI1457" s="63">
        <v>44937</v>
      </c>
      <c r="AJ1457" s="63">
        <v>45944</v>
      </c>
      <c r="AK1457" s="30">
        <f ca="1">IFERROR(IF(BASE[[#This Row],[FECHA DE RENOVACION ]]&gt;TODAY(), DATEDIF(TODAY(),BASE[[#This Row],[FECHA DE RENOVACION ]],"M"), -DATEDIF(BASE[[#This Row],[FECHA DE RENOVACION ]],TODAY(),"M")), "Sin fecha")</f>
        <v>-4</v>
      </c>
      <c r="AL1457" s="20"/>
      <c r="AM1457" s="30"/>
      <c r="AN1457" s="20" t="s">
        <v>99</v>
      </c>
      <c r="AO1457" s="20"/>
      <c r="AP1457" s="20" t="s">
        <v>84</v>
      </c>
      <c r="AQ1457" s="20" t="s">
        <v>100</v>
      </c>
    </row>
    <row r="1458" spans="1:43" ht="16">
      <c r="A1458" s="20">
        <v>8117788840</v>
      </c>
      <c r="B1458" s="21">
        <v>6646</v>
      </c>
      <c r="C1458" s="20" t="s">
        <v>6612</v>
      </c>
      <c r="D1458" s="20" t="s">
        <v>462</v>
      </c>
      <c r="E1458" s="20" t="s">
        <v>5530</v>
      </c>
      <c r="F1458" s="20" t="s">
        <v>5724</v>
      </c>
      <c r="G1458" s="20" t="s">
        <v>5724</v>
      </c>
      <c r="H1458" s="20" t="s">
        <v>208</v>
      </c>
      <c r="I1458" s="20" t="s">
        <v>5724</v>
      </c>
      <c r="J1458" s="22" t="s">
        <v>6613</v>
      </c>
      <c r="K1458" s="32" t="s">
        <v>6614</v>
      </c>
      <c r="L1458" s="23" t="s">
        <v>92</v>
      </c>
      <c r="M1458" s="24" t="s">
        <v>7738</v>
      </c>
      <c r="N1458" s="23">
        <v>18848090</v>
      </c>
      <c r="O1458" s="25" t="s">
        <v>74</v>
      </c>
      <c r="P1458" s="25" t="s">
        <v>53</v>
      </c>
      <c r="Q1458" s="20" t="s">
        <v>6615</v>
      </c>
      <c r="R1458" s="20">
        <v>43200974</v>
      </c>
      <c r="S1458" s="25" t="s">
        <v>6616</v>
      </c>
      <c r="T1458" s="26" t="s">
        <v>77</v>
      </c>
      <c r="U1458" s="23">
        <v>358366320380705</v>
      </c>
      <c r="V1458" s="27" t="s">
        <v>78</v>
      </c>
      <c r="W1458" s="20" t="s">
        <v>79</v>
      </c>
      <c r="X1458" s="20" t="s">
        <v>79</v>
      </c>
      <c r="Y1458" s="20" t="s">
        <v>79</v>
      </c>
      <c r="Z1458" s="20" t="s">
        <v>167</v>
      </c>
      <c r="AA1458" s="20" t="s">
        <v>168</v>
      </c>
      <c r="AB1458" s="20" t="s">
        <v>82</v>
      </c>
      <c r="AC1458" s="28">
        <v>559.48</v>
      </c>
      <c r="AD1458" s="28">
        <f>SUM(BASE[[#This Row],[MONTO DE RENTA ]]*1.16)</f>
        <v>648.99680000000001</v>
      </c>
      <c r="AE1458" s="28" t="s">
        <v>83</v>
      </c>
      <c r="AF1458" s="28">
        <v>559.48275862068965</v>
      </c>
      <c r="AG1458" s="28">
        <v>649</v>
      </c>
      <c r="AH1458" s="22" t="s">
        <v>64</v>
      </c>
      <c r="AI1458" s="63">
        <v>45703</v>
      </c>
      <c r="AJ1458" s="63">
        <v>46433</v>
      </c>
      <c r="AK14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58" s="30"/>
      <c r="AN1458" s="20" t="s">
        <v>65</v>
      </c>
      <c r="AP1458" s="20" t="s">
        <v>84</v>
      </c>
    </row>
    <row r="1459" spans="1:43" ht="16">
      <c r="A1459" s="20">
        <v>8128640857</v>
      </c>
      <c r="B1459" s="21">
        <v>1080581</v>
      </c>
      <c r="C1459" s="20" t="s">
        <v>6617</v>
      </c>
      <c r="D1459" s="20" t="s">
        <v>4828</v>
      </c>
      <c r="E1459" s="20" t="s">
        <v>6618</v>
      </c>
      <c r="F1459" s="20" t="s">
        <v>5326</v>
      </c>
      <c r="G1459" s="20" t="s">
        <v>5326</v>
      </c>
      <c r="H1459" s="20" t="s">
        <v>155</v>
      </c>
      <c r="I1459" s="20" t="s">
        <v>5326</v>
      </c>
      <c r="J1459" s="54" t="s">
        <v>6619</v>
      </c>
      <c r="K1459" s="54" t="s">
        <v>6619</v>
      </c>
      <c r="L1459" s="23" t="s">
        <v>92</v>
      </c>
      <c r="M1459" s="24" t="s">
        <v>7738</v>
      </c>
      <c r="N1459" s="23">
        <v>18848002</v>
      </c>
      <c r="O1459" s="25" t="s">
        <v>74</v>
      </c>
      <c r="P1459" s="25" t="s">
        <v>53</v>
      </c>
      <c r="Q1459" s="20" t="s">
        <v>6620</v>
      </c>
      <c r="R1459" s="20">
        <v>43163615</v>
      </c>
      <c r="S1459" s="25" t="s">
        <v>4303</v>
      </c>
      <c r="T1459" s="44" t="s">
        <v>57</v>
      </c>
      <c r="U1459" s="23">
        <v>860900062319918</v>
      </c>
      <c r="V1459" s="27" t="s">
        <v>57</v>
      </c>
      <c r="W1459" s="20" t="s">
        <v>58</v>
      </c>
      <c r="X1459" s="20" t="s">
        <v>59</v>
      </c>
      <c r="Y1459" s="20" t="s">
        <v>59</v>
      </c>
      <c r="Z1459" s="20" t="s">
        <v>167</v>
      </c>
      <c r="AA1459" s="20" t="s">
        <v>168</v>
      </c>
      <c r="AB1459" s="20" t="s">
        <v>96</v>
      </c>
      <c r="AC1459" s="28">
        <v>369.83</v>
      </c>
      <c r="AD1459" s="28">
        <f>SUM(BASE[[#This Row],[MONTO DE RENTA ]]*1.16)</f>
        <v>429.00279999999998</v>
      </c>
      <c r="AE1459" s="28" t="s">
        <v>63</v>
      </c>
      <c r="AF1459" s="28">
        <v>369.82758620689657</v>
      </c>
      <c r="AG1459" s="28">
        <v>429</v>
      </c>
      <c r="AH1459" s="22" t="s">
        <v>116</v>
      </c>
      <c r="AI1459" s="63">
        <v>45875</v>
      </c>
      <c r="AJ1459" s="63">
        <v>46605</v>
      </c>
      <c r="AK1459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459" s="20">
        <v>18848002</v>
      </c>
      <c r="AM1459" s="30"/>
      <c r="AN1459" s="20" t="s">
        <v>65</v>
      </c>
      <c r="AP1459" s="20" t="s">
        <v>84</v>
      </c>
    </row>
    <row r="1460" spans="1:43" ht="16">
      <c r="A1460" s="20">
        <v>3331948563</v>
      </c>
      <c r="B1460" s="86">
        <v>420352</v>
      </c>
      <c r="C1460" s="20" t="s">
        <v>6621</v>
      </c>
      <c r="D1460" s="20" t="s">
        <v>6622</v>
      </c>
      <c r="E1460" s="20" t="s">
        <v>952</v>
      </c>
      <c r="F1460" s="20" t="s">
        <v>5282</v>
      </c>
      <c r="G1460" s="20" t="s">
        <v>5282</v>
      </c>
      <c r="H1460" s="20" t="s">
        <v>155</v>
      </c>
      <c r="I1460" s="20" t="s">
        <v>5282</v>
      </c>
      <c r="J1460" s="22" t="s">
        <v>6623</v>
      </c>
      <c r="K1460" s="22" t="s">
        <v>6624</v>
      </c>
      <c r="L1460" s="23" t="s">
        <v>92</v>
      </c>
      <c r="M1460" s="24" t="s">
        <v>7738</v>
      </c>
      <c r="N1460" s="23">
        <v>18848080</v>
      </c>
      <c r="O1460" s="25" t="s">
        <v>677</v>
      </c>
      <c r="P1460" s="25" t="s">
        <v>53</v>
      </c>
      <c r="Q1460" s="20" t="s">
        <v>6625</v>
      </c>
      <c r="R1460" s="20">
        <v>53112534</v>
      </c>
      <c r="S1460" s="25" t="s">
        <v>55</v>
      </c>
      <c r="T1460" s="26" t="s">
        <v>56</v>
      </c>
      <c r="U1460" s="23">
        <v>860982060886197</v>
      </c>
      <c r="V1460" s="27" t="s">
        <v>183</v>
      </c>
      <c r="W1460" s="20" t="s">
        <v>129</v>
      </c>
      <c r="X1460" s="20" t="s">
        <v>130</v>
      </c>
      <c r="Y1460" s="20" t="s">
        <v>130</v>
      </c>
      <c r="Z1460" s="20" t="s">
        <v>60</v>
      </c>
      <c r="AA1460" s="20" t="s">
        <v>61</v>
      </c>
      <c r="AB1460" s="20" t="s">
        <v>96</v>
      </c>
      <c r="AC1460" s="28">
        <v>369.83</v>
      </c>
      <c r="AD1460" s="28">
        <f>SUM(BASE[[#This Row],[MONTO DE RENTA ]]*1.16)</f>
        <v>429.00279999999998</v>
      </c>
      <c r="AE1460" s="28" t="s">
        <v>63</v>
      </c>
      <c r="AF1460" s="28">
        <v>369.82758620689657</v>
      </c>
      <c r="AG1460" s="28">
        <v>429</v>
      </c>
      <c r="AI1460" s="63">
        <v>44937</v>
      </c>
      <c r="AJ1460" s="73">
        <v>46043</v>
      </c>
      <c r="AK146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0" s="30"/>
      <c r="AN1460" s="20" t="s">
        <v>99</v>
      </c>
      <c r="AP1460" s="20" t="s">
        <v>84</v>
      </c>
      <c r="AQ1460" s="20" t="s">
        <v>100</v>
      </c>
    </row>
    <row r="1461" spans="1:43" ht="16">
      <c r="A1461" s="20">
        <v>5537909898</v>
      </c>
      <c r="B1461" s="49">
        <v>480435</v>
      </c>
      <c r="C1461" s="20" t="s">
        <v>6626</v>
      </c>
      <c r="D1461" s="20" t="s">
        <v>937</v>
      </c>
      <c r="E1461" s="20" t="s">
        <v>247</v>
      </c>
      <c r="F1461" s="20" t="s">
        <v>88</v>
      </c>
      <c r="G1461" s="20" t="s">
        <v>88</v>
      </c>
      <c r="H1461" s="20" t="s">
        <v>89</v>
      </c>
      <c r="I1461" s="20" t="s">
        <v>88</v>
      </c>
      <c r="J1461" s="22" t="s">
        <v>6627</v>
      </c>
      <c r="K1461" s="22" t="s">
        <v>6628</v>
      </c>
      <c r="L1461" s="23" t="s">
        <v>92</v>
      </c>
      <c r="M1461" s="24" t="s">
        <v>7738</v>
      </c>
      <c r="N1461" s="23">
        <v>18848041</v>
      </c>
      <c r="O1461" s="25" t="s">
        <v>52</v>
      </c>
      <c r="P1461" s="25" t="s">
        <v>53</v>
      </c>
      <c r="Q1461" s="20" t="s">
        <v>6629</v>
      </c>
      <c r="R1461" s="20">
        <v>9606126</v>
      </c>
      <c r="S1461" s="25" t="s">
        <v>55</v>
      </c>
      <c r="T1461" s="26" t="s">
        <v>56</v>
      </c>
      <c r="U1461" s="23">
        <v>357654179014298</v>
      </c>
      <c r="V1461" s="27" t="s">
        <v>78</v>
      </c>
      <c r="W1461" s="20" t="s">
        <v>5299</v>
      </c>
      <c r="X1461" s="20" t="s">
        <v>5299</v>
      </c>
      <c r="Y1461" s="20" t="s">
        <v>5299</v>
      </c>
      <c r="Z1461" s="20" t="s">
        <v>60</v>
      </c>
      <c r="AA1461" s="20" t="s">
        <v>61</v>
      </c>
      <c r="AB1461" s="20" t="s">
        <v>82</v>
      </c>
      <c r="AC1461" s="28">
        <v>559.48</v>
      </c>
      <c r="AD1461" s="28">
        <f>SUM(BASE[[#This Row],[MONTO DE RENTA ]]*1.16)</f>
        <v>648.99680000000001</v>
      </c>
      <c r="AE1461" s="28" t="s">
        <v>83</v>
      </c>
      <c r="AF1461" s="28">
        <v>559.48275862068965</v>
      </c>
      <c r="AG1461" s="28">
        <v>649</v>
      </c>
      <c r="AI1461" s="63">
        <v>44937</v>
      </c>
      <c r="AJ1461" s="73">
        <v>46043</v>
      </c>
      <c r="AK14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1" s="30"/>
      <c r="AN1461" s="20" t="s">
        <v>99</v>
      </c>
      <c r="AP1461" s="20" t="s">
        <v>84</v>
      </c>
      <c r="AQ1461" s="20" t="s">
        <v>100</v>
      </c>
    </row>
    <row r="1462" spans="1:43" ht="16">
      <c r="A1462" s="20">
        <v>8111879099</v>
      </c>
      <c r="B1462" s="49">
        <v>960093</v>
      </c>
      <c r="C1462" s="20" t="s">
        <v>1820</v>
      </c>
      <c r="D1462" s="20" t="s">
        <v>797</v>
      </c>
      <c r="E1462" s="20" t="s">
        <v>187</v>
      </c>
      <c r="F1462" s="20" t="s">
        <v>5282</v>
      </c>
      <c r="G1462" s="20" t="s">
        <v>5282</v>
      </c>
      <c r="H1462" s="20" t="s">
        <v>155</v>
      </c>
      <c r="I1462" s="20" t="s">
        <v>5282</v>
      </c>
      <c r="J1462" s="22" t="s">
        <v>6630</v>
      </c>
      <c r="K1462" s="22" t="s">
        <v>6631</v>
      </c>
      <c r="L1462" s="23" t="s">
        <v>92</v>
      </c>
      <c r="M1462" s="24" t="s">
        <v>7738</v>
      </c>
      <c r="N1462" s="23">
        <v>18848080</v>
      </c>
      <c r="O1462" s="25" t="s">
        <v>74</v>
      </c>
      <c r="P1462" s="25" t="s">
        <v>53</v>
      </c>
      <c r="Q1462" s="20" t="s">
        <v>6632</v>
      </c>
      <c r="R1462" s="20">
        <v>42943854</v>
      </c>
      <c r="S1462" s="25" t="s">
        <v>55</v>
      </c>
      <c r="T1462" s="26" t="s">
        <v>56</v>
      </c>
      <c r="U1462" s="23">
        <v>865356065720559</v>
      </c>
      <c r="V1462" s="27" t="s">
        <v>183</v>
      </c>
      <c r="W1462" s="20" t="s">
        <v>129</v>
      </c>
      <c r="X1462" s="20" t="s">
        <v>130</v>
      </c>
      <c r="Y1462" s="20" t="s">
        <v>130</v>
      </c>
      <c r="Z1462" s="20" t="s">
        <v>60</v>
      </c>
      <c r="AA1462" s="20" t="s">
        <v>61</v>
      </c>
      <c r="AB1462" s="20" t="s">
        <v>96</v>
      </c>
      <c r="AC1462" s="28">
        <v>369.83</v>
      </c>
      <c r="AD1462" s="28">
        <f>SUM(BASE[[#This Row],[MONTO DE RENTA ]]*1.16)</f>
        <v>429.00279999999998</v>
      </c>
      <c r="AE1462" s="28" t="s">
        <v>63</v>
      </c>
      <c r="AF1462" s="28">
        <v>369.82758620689657</v>
      </c>
      <c r="AG1462" s="28">
        <v>429</v>
      </c>
      <c r="AI1462" s="63">
        <v>44937</v>
      </c>
      <c r="AJ1462" s="73">
        <v>46043</v>
      </c>
      <c r="AK146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2" s="30"/>
      <c r="AN1462" s="20" t="s">
        <v>99</v>
      </c>
      <c r="AP1462" s="20" t="s">
        <v>84</v>
      </c>
      <c r="AQ1462" s="20" t="s">
        <v>100</v>
      </c>
    </row>
    <row r="1463" spans="1:43" ht="16">
      <c r="A1463" s="20">
        <v>8112228368</v>
      </c>
      <c r="B1463" s="49">
        <v>6470</v>
      </c>
      <c r="C1463" s="20" t="s">
        <v>6633</v>
      </c>
      <c r="D1463" s="20" t="s">
        <v>1104</v>
      </c>
      <c r="E1463" s="20" t="s">
        <v>376</v>
      </c>
      <c r="F1463" s="20" t="s">
        <v>6634</v>
      </c>
      <c r="G1463" s="20" t="s">
        <v>6634</v>
      </c>
      <c r="H1463" s="20" t="s">
        <v>199</v>
      </c>
      <c r="I1463" s="20" t="s">
        <v>6634</v>
      </c>
      <c r="J1463" s="22" t="s">
        <v>6635</v>
      </c>
      <c r="K1463" s="22" t="s">
        <v>6636</v>
      </c>
      <c r="L1463" s="23" t="s">
        <v>6637</v>
      </c>
      <c r="M1463" s="24" t="s">
        <v>7738</v>
      </c>
      <c r="N1463" s="23">
        <v>11313000</v>
      </c>
      <c r="O1463" s="25" t="s">
        <v>74</v>
      </c>
      <c r="P1463" s="25" t="s">
        <v>53</v>
      </c>
      <c r="Q1463" s="20" t="s">
        <v>6638</v>
      </c>
      <c r="R1463" s="20">
        <v>42896309</v>
      </c>
      <c r="S1463" s="25" t="s">
        <v>6639</v>
      </c>
      <c r="T1463" s="26" t="s">
        <v>77</v>
      </c>
      <c r="U1463" s="23">
        <v>357654177218396</v>
      </c>
      <c r="V1463" s="27" t="s">
        <v>78</v>
      </c>
      <c r="W1463" s="20" t="s">
        <v>5299</v>
      </c>
      <c r="X1463" s="20" t="s">
        <v>5299</v>
      </c>
      <c r="Y1463" s="20" t="s">
        <v>5299</v>
      </c>
      <c r="Z1463" s="20" t="s">
        <v>6640</v>
      </c>
      <c r="AA1463" s="20" t="s">
        <v>6641</v>
      </c>
      <c r="AB1463" s="20" t="s">
        <v>474</v>
      </c>
      <c r="AC1463" s="28">
        <v>559.48</v>
      </c>
      <c r="AD1463" s="28">
        <f>SUM(BASE[[#This Row],[MONTO DE RENTA ]]*1.16)</f>
        <v>648.99680000000001</v>
      </c>
      <c r="AE1463" s="28" t="s">
        <v>83</v>
      </c>
      <c r="AF1463" s="28">
        <v>559.48275862068965</v>
      </c>
      <c r="AG1463" s="28">
        <v>649</v>
      </c>
      <c r="AI1463" s="63">
        <v>44937</v>
      </c>
      <c r="AJ1463" s="73">
        <v>46043</v>
      </c>
      <c r="AK146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3" s="30"/>
      <c r="AN1463" s="20" t="s">
        <v>99</v>
      </c>
      <c r="AP1463" s="20" t="s">
        <v>84</v>
      </c>
      <c r="AQ1463" s="20" t="s">
        <v>100</v>
      </c>
    </row>
    <row r="1464" spans="1:43" ht="16">
      <c r="A1464" s="20">
        <v>8135512881</v>
      </c>
      <c r="B1464" s="21">
        <v>1032881</v>
      </c>
      <c r="C1464" s="20" t="s">
        <v>6642</v>
      </c>
      <c r="D1464" s="20" t="s">
        <v>340</v>
      </c>
      <c r="E1464" s="20" t="s">
        <v>1000</v>
      </c>
      <c r="F1464" s="20" t="s">
        <v>6643</v>
      </c>
      <c r="G1464" s="20" t="s">
        <v>6643</v>
      </c>
      <c r="H1464" s="20" t="s">
        <v>199</v>
      </c>
      <c r="I1464" s="20" t="s">
        <v>6643</v>
      </c>
      <c r="J1464" s="22" t="s">
        <v>6644</v>
      </c>
      <c r="K1464" s="32" t="s">
        <v>6645</v>
      </c>
      <c r="L1464" s="23" t="s">
        <v>92</v>
      </c>
      <c r="M1464" s="24" t="s">
        <v>7738</v>
      </c>
      <c r="N1464" s="23">
        <v>18848009</v>
      </c>
      <c r="O1464" s="25" t="s">
        <v>74</v>
      </c>
      <c r="P1464" s="25" t="s">
        <v>53</v>
      </c>
      <c r="Q1464" s="20" t="s">
        <v>6646</v>
      </c>
      <c r="R1464" s="20">
        <v>43319490</v>
      </c>
      <c r="S1464" s="25" t="s">
        <v>6647</v>
      </c>
      <c r="T1464" s="26" t="s">
        <v>77</v>
      </c>
      <c r="U1464" s="23">
        <v>351307356834345</v>
      </c>
      <c r="V1464" s="27" t="s">
        <v>78</v>
      </c>
      <c r="W1464" s="20" t="s">
        <v>79</v>
      </c>
      <c r="X1464" s="20" t="s">
        <v>79</v>
      </c>
      <c r="Y1464" s="20" t="s">
        <v>79</v>
      </c>
      <c r="Z1464" s="20" t="s">
        <v>167</v>
      </c>
      <c r="AA1464" s="20" t="s">
        <v>168</v>
      </c>
      <c r="AB1464" s="20" t="s">
        <v>82</v>
      </c>
      <c r="AC1464" s="28">
        <v>559.48</v>
      </c>
      <c r="AD1464" s="28">
        <f>SUM(BASE[[#This Row],[MONTO DE RENTA ]]*1.16)</f>
        <v>648.99680000000001</v>
      </c>
      <c r="AE1464" s="28" t="s">
        <v>83</v>
      </c>
      <c r="AF1464" s="28">
        <v>559.48275862068965</v>
      </c>
      <c r="AG1464" s="28">
        <v>649</v>
      </c>
      <c r="AH1464" s="22" t="s">
        <v>64</v>
      </c>
      <c r="AI1464" s="63">
        <v>45713</v>
      </c>
      <c r="AJ1464" s="63">
        <v>46433</v>
      </c>
      <c r="AK146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64" s="30"/>
      <c r="AN1464" s="20" t="s">
        <v>65</v>
      </c>
      <c r="AP1464" s="20" t="s">
        <v>84</v>
      </c>
    </row>
    <row r="1465" spans="1:43" ht="16">
      <c r="A1465" s="20">
        <v>8115617100</v>
      </c>
      <c r="B1465" s="49">
        <v>6820</v>
      </c>
      <c r="C1465" s="20" t="s">
        <v>2309</v>
      </c>
      <c r="D1465" s="20" t="s">
        <v>6648</v>
      </c>
      <c r="E1465" s="20" t="s">
        <v>468</v>
      </c>
      <c r="F1465" s="20" t="s">
        <v>6649</v>
      </c>
      <c r="G1465" s="20" t="s">
        <v>6649</v>
      </c>
      <c r="H1465" s="20" t="s">
        <v>5662</v>
      </c>
      <c r="I1465" s="20" t="s">
        <v>6649</v>
      </c>
      <c r="J1465" s="22" t="s">
        <v>6650</v>
      </c>
      <c r="K1465" s="32" t="s">
        <v>6651</v>
      </c>
      <c r="L1465" s="23" t="s">
        <v>92</v>
      </c>
      <c r="M1465" s="24" t="s">
        <v>7738</v>
      </c>
      <c r="N1465" s="23">
        <v>18848111</v>
      </c>
      <c r="O1465" s="25" t="s">
        <v>74</v>
      </c>
      <c r="P1465" s="25" t="s">
        <v>53</v>
      </c>
      <c r="Q1465" s="20" t="s">
        <v>6652</v>
      </c>
      <c r="R1465" s="20">
        <v>42888657</v>
      </c>
      <c r="S1465" s="25" t="s">
        <v>55</v>
      </c>
      <c r="T1465" s="26" t="s">
        <v>56</v>
      </c>
      <c r="U1465" s="23">
        <v>865356065671646</v>
      </c>
      <c r="V1465" s="27" t="s">
        <v>183</v>
      </c>
      <c r="W1465" s="20" t="s">
        <v>129</v>
      </c>
      <c r="X1465" s="20" t="s">
        <v>130</v>
      </c>
      <c r="Y1465" s="20" t="s">
        <v>130</v>
      </c>
      <c r="Z1465" s="20" t="s">
        <v>60</v>
      </c>
      <c r="AA1465" s="20" t="s">
        <v>61</v>
      </c>
      <c r="AB1465" s="20" t="s">
        <v>96</v>
      </c>
      <c r="AC1465" s="28">
        <v>369.83</v>
      </c>
      <c r="AD1465" s="28">
        <f>SUM(BASE[[#This Row],[MONTO DE RENTA ]]*1.16)</f>
        <v>429.00279999999998</v>
      </c>
      <c r="AE1465" s="28" t="s">
        <v>63</v>
      </c>
      <c r="AF1465" s="28">
        <v>369.82758620689657</v>
      </c>
      <c r="AG1465" s="28">
        <v>429</v>
      </c>
      <c r="AI1465" s="63">
        <v>44937</v>
      </c>
      <c r="AJ1465" s="73">
        <v>46043</v>
      </c>
      <c r="AK14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5" s="30"/>
      <c r="AN1465" s="20" t="s">
        <v>99</v>
      </c>
      <c r="AP1465" s="20" t="s">
        <v>84</v>
      </c>
      <c r="AQ1465" s="20" t="s">
        <v>100</v>
      </c>
    </row>
    <row r="1466" spans="1:43" ht="16">
      <c r="A1466" s="242">
        <v>8126806621</v>
      </c>
      <c r="B1466" s="298">
        <v>1059449</v>
      </c>
      <c r="C1466" s="20" t="s">
        <v>6653</v>
      </c>
      <c r="D1466" s="20" t="s">
        <v>1330</v>
      </c>
      <c r="E1466" s="20" t="s">
        <v>1593</v>
      </c>
      <c r="F1466" s="20" t="s">
        <v>5612</v>
      </c>
      <c r="G1466" s="20" t="s">
        <v>5612</v>
      </c>
      <c r="H1466" s="20" t="s">
        <v>199</v>
      </c>
      <c r="I1466" s="20" t="s">
        <v>5612</v>
      </c>
      <c r="J1466" s="244" t="s">
        <v>6654</v>
      </c>
      <c r="K1466" s="244" t="s">
        <v>6654</v>
      </c>
      <c r="L1466" s="23" t="s">
        <v>92</v>
      </c>
      <c r="M1466" s="24" t="s">
        <v>7738</v>
      </c>
      <c r="N1466" s="23">
        <v>18848076</v>
      </c>
      <c r="O1466" s="25" t="s">
        <v>74</v>
      </c>
      <c r="P1466" s="25" t="s">
        <v>53</v>
      </c>
      <c r="Q1466" s="20" t="s">
        <v>6655</v>
      </c>
      <c r="R1466" s="20">
        <v>44114409</v>
      </c>
      <c r="S1466" s="25" t="s">
        <v>55</v>
      </c>
      <c r="T1466" s="191" t="s">
        <v>56</v>
      </c>
      <c r="U1466" s="23">
        <v>865356065671398</v>
      </c>
      <c r="V1466" s="299" t="s">
        <v>57</v>
      </c>
      <c r="W1466" s="20" t="s">
        <v>129</v>
      </c>
      <c r="X1466" s="20" t="s">
        <v>130</v>
      </c>
      <c r="Y1466" s="20" t="s">
        <v>130</v>
      </c>
      <c r="Z1466" s="20" t="s">
        <v>60</v>
      </c>
      <c r="AA1466" s="20" t="s">
        <v>61</v>
      </c>
      <c r="AB1466" s="20" t="s">
        <v>96</v>
      </c>
      <c r="AC1466" s="28">
        <v>369.83</v>
      </c>
      <c r="AD1466" s="28">
        <f>SUM(BASE[[#This Row],[MONTO DE RENTA ]]*1.16)</f>
        <v>429.00279999999998</v>
      </c>
      <c r="AE1466" s="28" t="s">
        <v>63</v>
      </c>
      <c r="AF1466" s="28">
        <v>369.82758620689657</v>
      </c>
      <c r="AG1466" s="28">
        <v>429</v>
      </c>
      <c r="AH1466" s="245" t="s">
        <v>5666</v>
      </c>
      <c r="AI1466" s="246">
        <v>45573</v>
      </c>
      <c r="AJ1466" s="246">
        <v>46303</v>
      </c>
      <c r="AK1466" s="30">
        <f ca="1">IFERROR(IF(BASE[[#This Row],[FECHA DE RENOVACION ]]&gt;TODAY(), DATEDIF(TODAY(),BASE[[#This Row],[FECHA DE RENOVACION ]],"M"), -DATEDIF(BASE[[#This Row],[FECHA DE RENOVACION ]],TODAY(),"M")), "Sin fecha")</f>
        <v>7</v>
      </c>
      <c r="AL1466" s="242"/>
      <c r="AM1466" s="247" t="s">
        <v>6656</v>
      </c>
      <c r="AN1466" s="20" t="s">
        <v>65</v>
      </c>
      <c r="AP1466" s="20" t="s">
        <v>84</v>
      </c>
    </row>
    <row r="1467" spans="1:43" ht="16">
      <c r="A1467" s="34">
        <v>8120291923</v>
      </c>
      <c r="B1467" s="275">
        <v>1081781</v>
      </c>
      <c r="C1467" s="34" t="s">
        <v>410</v>
      </c>
      <c r="D1467" s="34" t="s">
        <v>438</v>
      </c>
      <c r="E1467" s="34" t="s">
        <v>1422</v>
      </c>
      <c r="F1467" s="34" t="s">
        <v>5612</v>
      </c>
      <c r="G1467" s="34" t="s">
        <v>5612</v>
      </c>
      <c r="H1467" s="34" t="s">
        <v>199</v>
      </c>
      <c r="I1467" s="34" t="s">
        <v>5612</v>
      </c>
      <c r="J1467" s="37" t="s">
        <v>6657</v>
      </c>
      <c r="K1467" s="37" t="s">
        <v>6657</v>
      </c>
      <c r="L1467" s="38" t="s">
        <v>92</v>
      </c>
      <c r="M1467" s="77" t="s">
        <v>7738</v>
      </c>
      <c r="N1467" s="38">
        <v>18848076</v>
      </c>
      <c r="O1467" s="110" t="s">
        <v>74</v>
      </c>
      <c r="P1467" s="25" t="s">
        <v>53</v>
      </c>
      <c r="Q1467" s="34" t="s">
        <v>6658</v>
      </c>
      <c r="R1467" s="34">
        <v>45530801</v>
      </c>
      <c r="S1467" s="110" t="s">
        <v>55</v>
      </c>
      <c r="T1467" s="39" t="s">
        <v>56</v>
      </c>
      <c r="U1467" s="38">
        <v>860900062323456</v>
      </c>
      <c r="V1467" s="60" t="s">
        <v>183</v>
      </c>
      <c r="W1467" s="34" t="s">
        <v>58</v>
      </c>
      <c r="X1467" s="20" t="s">
        <v>59</v>
      </c>
      <c r="Y1467" s="20" t="s">
        <v>59</v>
      </c>
      <c r="Z1467" s="34" t="s">
        <v>242</v>
      </c>
      <c r="AA1467" s="34" t="s">
        <v>243</v>
      </c>
      <c r="AB1467" s="34" t="s">
        <v>244</v>
      </c>
      <c r="AC1467" s="111">
        <v>473.28</v>
      </c>
      <c r="AD1467" s="111">
        <f>SUM(BASE[[#This Row],[MONTO DE RENTA ]]*1.16)</f>
        <v>549.00479999999993</v>
      </c>
      <c r="AE1467" s="28" t="s">
        <v>63</v>
      </c>
      <c r="AF1467" s="28">
        <v>369.82758620689657</v>
      </c>
      <c r="AG1467" s="28">
        <v>429</v>
      </c>
      <c r="AH1467" s="36" t="s">
        <v>116</v>
      </c>
      <c r="AI1467" s="46">
        <v>45896</v>
      </c>
      <c r="AJ1467" s="46">
        <v>46626</v>
      </c>
      <c r="AK1467" s="42">
        <f ca="1">IFERROR(IF(BASE[[#This Row],[FECHA DE RENOVACION ]]&gt;TODAY(), DATEDIF(TODAY(),BASE[[#This Row],[FECHA DE RENOVACION ]],"M"), -DATEDIF(BASE[[#This Row],[FECHA DE RENOVACION ]],TODAY(),"M")), "Sin fecha")</f>
        <v>17</v>
      </c>
      <c r="AL1467" s="300"/>
      <c r="AM1467" s="42"/>
      <c r="AN1467" s="20" t="s">
        <v>65</v>
      </c>
      <c r="AP1467" s="20" t="s">
        <v>118</v>
      </c>
    </row>
    <row r="1468" spans="1:43" ht="16">
      <c r="A1468" s="20">
        <v>8113229731</v>
      </c>
      <c r="B1468" s="49">
        <v>4107</v>
      </c>
      <c r="C1468" s="20" t="s">
        <v>6659</v>
      </c>
      <c r="D1468" s="20" t="s">
        <v>722</v>
      </c>
      <c r="E1468" s="20" t="s">
        <v>45</v>
      </c>
      <c r="F1468" s="20" t="s">
        <v>6660</v>
      </c>
      <c r="G1468" s="20" t="s">
        <v>6660</v>
      </c>
      <c r="H1468" s="20" t="s">
        <v>208</v>
      </c>
      <c r="I1468" s="20" t="s">
        <v>6660</v>
      </c>
      <c r="J1468" s="22" t="s">
        <v>6661</v>
      </c>
      <c r="K1468" s="22" t="s">
        <v>6661</v>
      </c>
      <c r="L1468" s="23" t="s">
        <v>92</v>
      </c>
      <c r="M1468" s="24" t="s">
        <v>7738</v>
      </c>
      <c r="N1468" s="23">
        <v>18848052</v>
      </c>
      <c r="O1468" s="25" t="s">
        <v>74</v>
      </c>
      <c r="P1468" s="25" t="s">
        <v>53</v>
      </c>
      <c r="Q1468" s="20" t="s">
        <v>6662</v>
      </c>
      <c r="R1468" s="20">
        <v>42862024</v>
      </c>
      <c r="S1468" s="25" t="s">
        <v>55</v>
      </c>
      <c r="T1468" s="26" t="s">
        <v>56</v>
      </c>
      <c r="U1468" s="23">
        <v>357894929317456</v>
      </c>
      <c r="V1468" s="27" t="s">
        <v>78</v>
      </c>
      <c r="W1468" s="20" t="s">
        <v>95</v>
      </c>
      <c r="X1468" s="20" t="s">
        <v>95</v>
      </c>
      <c r="Y1468" s="20" t="s">
        <v>95</v>
      </c>
      <c r="Z1468" s="20" t="s">
        <v>60</v>
      </c>
      <c r="AA1468" s="20" t="s">
        <v>61</v>
      </c>
      <c r="AB1468" s="20" t="s">
        <v>82</v>
      </c>
      <c r="AC1468" s="28">
        <v>559.48</v>
      </c>
      <c r="AD1468" s="28">
        <f>SUM(BASE[[#This Row],[MONTO DE RENTA ]]*1.16)</f>
        <v>648.99680000000001</v>
      </c>
      <c r="AE1468" s="28" t="s">
        <v>83</v>
      </c>
      <c r="AF1468" s="28">
        <v>559.48275862068965</v>
      </c>
      <c r="AG1468" s="28">
        <v>649</v>
      </c>
      <c r="AI1468" s="63">
        <v>44937</v>
      </c>
      <c r="AJ1468" s="73">
        <v>46043</v>
      </c>
      <c r="AK146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68" s="30"/>
      <c r="AN1468" s="20" t="s">
        <v>99</v>
      </c>
      <c r="AP1468" s="20" t="s">
        <v>84</v>
      </c>
      <c r="AQ1468" s="20" t="s">
        <v>100</v>
      </c>
    </row>
    <row r="1469" spans="1:43" ht="16">
      <c r="A1469" s="171">
        <v>8115713456</v>
      </c>
      <c r="B1469" s="213">
        <v>1007231</v>
      </c>
      <c r="C1469" s="20" t="s">
        <v>742</v>
      </c>
      <c r="D1469" s="20" t="s">
        <v>1057</v>
      </c>
      <c r="E1469" s="20" t="s">
        <v>973</v>
      </c>
      <c r="F1469" s="20" t="s">
        <v>6483</v>
      </c>
      <c r="G1469" s="20" t="s">
        <v>6483</v>
      </c>
      <c r="H1469" s="20" t="s">
        <v>5375</v>
      </c>
      <c r="I1469" s="20" t="s">
        <v>6483</v>
      </c>
      <c r="J1469" s="175" t="s">
        <v>6663</v>
      </c>
      <c r="K1469" s="175" t="s">
        <v>6664</v>
      </c>
      <c r="L1469" s="23" t="s">
        <v>92</v>
      </c>
      <c r="M1469" s="24" t="s">
        <v>7738</v>
      </c>
      <c r="N1469" s="23">
        <v>18848057</v>
      </c>
      <c r="O1469" s="25" t="s">
        <v>74</v>
      </c>
      <c r="P1469" s="25" t="s">
        <v>53</v>
      </c>
      <c r="Q1469" s="20" t="s">
        <v>6665</v>
      </c>
      <c r="R1469" s="20">
        <v>43151168</v>
      </c>
      <c r="S1469" s="25" t="s">
        <v>3385</v>
      </c>
      <c r="T1469" s="173" t="s">
        <v>57</v>
      </c>
      <c r="U1469" s="23">
        <v>865356065673113</v>
      </c>
      <c r="V1469" s="27" t="s">
        <v>183</v>
      </c>
      <c r="W1469" s="20" t="s">
        <v>129</v>
      </c>
      <c r="X1469" s="20" t="s">
        <v>130</v>
      </c>
      <c r="Y1469" s="20" t="s">
        <v>130</v>
      </c>
      <c r="Z1469" s="20" t="s">
        <v>167</v>
      </c>
      <c r="AA1469" s="20" t="s">
        <v>168</v>
      </c>
      <c r="AB1469" s="20" t="s">
        <v>96</v>
      </c>
      <c r="AC1469" s="28">
        <v>369.83</v>
      </c>
      <c r="AD1469" s="28">
        <f>SUM(BASE[[#This Row],[MONTO DE RENTA ]]*1.16)</f>
        <v>429.00279999999998</v>
      </c>
      <c r="AE1469" s="28" t="s">
        <v>63</v>
      </c>
      <c r="AF1469" s="28">
        <v>369.82758620689657</v>
      </c>
      <c r="AG1469" s="28">
        <v>429</v>
      </c>
      <c r="AH1469" s="175" t="s">
        <v>98</v>
      </c>
      <c r="AI1469" s="301">
        <v>45694</v>
      </c>
      <c r="AJ1469" s="301">
        <v>46059</v>
      </c>
      <c r="AK1469" s="30">
        <f ca="1">IFERROR(IF(BASE[[#This Row],[FECHA DE RENOVACION ]]&gt;TODAY(), DATEDIF(TODAY(),BASE[[#This Row],[FECHA DE RENOVACION ]],"M"), -DATEDIF(BASE[[#This Row],[FECHA DE RENOVACION ]],TODAY(),"M")), "Sin fecha")</f>
        <v>0</v>
      </c>
      <c r="AL1469" s="171"/>
      <c r="AM1469" s="177"/>
      <c r="AN1469" s="20" t="s">
        <v>99</v>
      </c>
      <c r="AP1469" s="20" t="s">
        <v>84</v>
      </c>
      <c r="AQ1469" s="20" t="s">
        <v>100</v>
      </c>
    </row>
    <row r="1470" spans="1:43" ht="16">
      <c r="A1470" s="20">
        <v>2292317989</v>
      </c>
      <c r="B1470" s="49">
        <v>1018558</v>
      </c>
      <c r="C1470" s="20" t="s">
        <v>6666</v>
      </c>
      <c r="D1470" s="20" t="s">
        <v>6667</v>
      </c>
      <c r="E1470" s="20" t="s">
        <v>4052</v>
      </c>
      <c r="F1470" s="20" t="s">
        <v>5587</v>
      </c>
      <c r="G1470" s="20" t="s">
        <v>5587</v>
      </c>
      <c r="H1470" s="20" t="s">
        <v>5320</v>
      </c>
      <c r="I1470" s="20" t="s">
        <v>5587</v>
      </c>
      <c r="J1470" s="54" t="s">
        <v>6663</v>
      </c>
      <c r="K1470" s="47" t="s">
        <v>6663</v>
      </c>
      <c r="L1470" s="23" t="s">
        <v>92</v>
      </c>
      <c r="M1470" s="24" t="s">
        <v>7738</v>
      </c>
      <c r="N1470" s="23">
        <v>18848044</v>
      </c>
      <c r="O1470" s="25" t="s">
        <v>828</v>
      </c>
      <c r="P1470" s="25" t="s">
        <v>53</v>
      </c>
      <c r="Q1470" s="20" t="s">
        <v>6668</v>
      </c>
      <c r="R1470" s="20">
        <v>72828737</v>
      </c>
      <c r="S1470" s="25" t="s">
        <v>55</v>
      </c>
      <c r="T1470" s="44" t="s">
        <v>56</v>
      </c>
      <c r="U1470" s="23">
        <v>357654178821560</v>
      </c>
      <c r="V1470" s="27" t="s">
        <v>78</v>
      </c>
      <c r="W1470" s="20" t="s">
        <v>5299</v>
      </c>
      <c r="X1470" s="20" t="s">
        <v>5299</v>
      </c>
      <c r="Y1470" s="20" t="s">
        <v>5299</v>
      </c>
      <c r="Z1470" s="20" t="s">
        <v>60</v>
      </c>
      <c r="AA1470" s="20" t="s">
        <v>61</v>
      </c>
      <c r="AB1470" s="20" t="s">
        <v>82</v>
      </c>
      <c r="AC1470" s="28">
        <v>559.48</v>
      </c>
      <c r="AD1470" s="28">
        <f>SUM(BASE[[#This Row],[MONTO DE RENTA ]]*1.16)</f>
        <v>648.99680000000001</v>
      </c>
      <c r="AE1470" s="28" t="s">
        <v>83</v>
      </c>
      <c r="AF1470" s="28">
        <v>559.48275862068965</v>
      </c>
      <c r="AG1470" s="28">
        <v>649</v>
      </c>
      <c r="AH1470" s="22" t="s">
        <v>98</v>
      </c>
      <c r="AI1470" s="63">
        <v>45911</v>
      </c>
      <c r="AJ1470" s="63">
        <v>46055</v>
      </c>
      <c r="AK147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70" s="30"/>
      <c r="AN1470" s="20" t="s">
        <v>99</v>
      </c>
      <c r="AP1470" s="20" t="s">
        <v>84</v>
      </c>
      <c r="AQ1470" s="20" t="s">
        <v>100</v>
      </c>
    </row>
    <row r="1471" spans="1:43" ht="16">
      <c r="A1471" s="20">
        <v>8119772326</v>
      </c>
      <c r="B1471" s="21">
        <v>500028</v>
      </c>
      <c r="C1471" s="20" t="s">
        <v>6131</v>
      </c>
      <c r="D1471" s="20" t="s">
        <v>442</v>
      </c>
      <c r="E1471" s="20" t="s">
        <v>293</v>
      </c>
      <c r="F1471" s="20" t="s">
        <v>6669</v>
      </c>
      <c r="G1471" s="20" t="s">
        <v>6669</v>
      </c>
      <c r="H1471" s="20" t="s">
        <v>199</v>
      </c>
      <c r="I1471" s="20" t="s">
        <v>6669</v>
      </c>
      <c r="J1471" s="54" t="s">
        <v>6670</v>
      </c>
      <c r="K1471" s="54" t="s">
        <v>6671</v>
      </c>
      <c r="L1471" s="23" t="s">
        <v>92</v>
      </c>
      <c r="M1471" s="24" t="s">
        <v>7738</v>
      </c>
      <c r="N1471" s="23">
        <v>18848078</v>
      </c>
      <c r="O1471" s="25" t="s">
        <v>74</v>
      </c>
      <c r="P1471" s="25" t="s">
        <v>53</v>
      </c>
      <c r="Q1471" s="20" t="s">
        <v>6672</v>
      </c>
      <c r="R1471" s="20">
        <v>43163448</v>
      </c>
      <c r="S1471" s="25" t="s">
        <v>6673</v>
      </c>
      <c r="T1471" s="191" t="s">
        <v>57</v>
      </c>
      <c r="U1471" s="23">
        <v>357654179969673</v>
      </c>
      <c r="V1471" s="27" t="s">
        <v>78</v>
      </c>
      <c r="W1471" s="20" t="s">
        <v>95</v>
      </c>
      <c r="X1471" s="20" t="s">
        <v>95</v>
      </c>
      <c r="Y1471" s="20" t="s">
        <v>95</v>
      </c>
      <c r="Z1471" s="20" t="s">
        <v>167</v>
      </c>
      <c r="AA1471" s="20" t="s">
        <v>168</v>
      </c>
      <c r="AB1471" s="20" t="s">
        <v>96</v>
      </c>
      <c r="AC1471" s="28">
        <v>369.83</v>
      </c>
      <c r="AD1471" s="28">
        <f>SUM(BASE[[#This Row],[MONTO DE RENTA ]]*1.16)</f>
        <v>429.00279999999998</v>
      </c>
      <c r="AE1471" s="28" t="s">
        <v>83</v>
      </c>
      <c r="AF1471" s="28">
        <v>559.48275862068965</v>
      </c>
      <c r="AG1471" s="28">
        <v>649</v>
      </c>
      <c r="AH1471" s="22" t="s">
        <v>116</v>
      </c>
      <c r="AI1471" s="63">
        <v>45370</v>
      </c>
      <c r="AJ1471" s="63">
        <v>46100</v>
      </c>
      <c r="AK1471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471" s="30"/>
      <c r="AN1471" s="20" t="s">
        <v>99</v>
      </c>
      <c r="AP1471" s="20" t="s">
        <v>66</v>
      </c>
      <c r="AQ1471" s="20" t="s">
        <v>100</v>
      </c>
    </row>
    <row r="1472" spans="1:43" ht="16">
      <c r="A1472" s="20">
        <v>9991072369</v>
      </c>
      <c r="B1472" s="49">
        <v>360242</v>
      </c>
      <c r="C1472" s="20" t="s">
        <v>2517</v>
      </c>
      <c r="D1472" s="20" t="s">
        <v>1167</v>
      </c>
      <c r="E1472" s="20" t="s">
        <v>86</v>
      </c>
      <c r="F1472" s="20" t="s">
        <v>6674</v>
      </c>
      <c r="G1472" s="20" t="s">
        <v>6674</v>
      </c>
      <c r="H1472" s="20" t="s">
        <v>89</v>
      </c>
      <c r="I1472" s="20" t="s">
        <v>6674</v>
      </c>
      <c r="J1472" s="22" t="s">
        <v>6675</v>
      </c>
      <c r="K1472" s="32" t="s">
        <v>6676</v>
      </c>
      <c r="L1472" s="23" t="s">
        <v>92</v>
      </c>
      <c r="M1472" s="24" t="s">
        <v>7738</v>
      </c>
      <c r="N1472" s="23">
        <v>18848041</v>
      </c>
      <c r="O1472" s="25" t="s">
        <v>1035</v>
      </c>
      <c r="P1472" s="25" t="s">
        <v>53</v>
      </c>
      <c r="Q1472" s="20" t="s">
        <v>6677</v>
      </c>
      <c r="R1472" s="20">
        <v>82091243</v>
      </c>
      <c r="S1472" s="25" t="s">
        <v>55</v>
      </c>
      <c r="T1472" s="26" t="s">
        <v>56</v>
      </c>
      <c r="U1472" s="23">
        <v>350739823377345</v>
      </c>
      <c r="V1472" s="27" t="s">
        <v>78</v>
      </c>
      <c r="W1472" s="20" t="s">
        <v>5347</v>
      </c>
      <c r="X1472" s="20" t="s">
        <v>5347</v>
      </c>
      <c r="Y1472" s="20" t="s">
        <v>5347</v>
      </c>
      <c r="Z1472" s="20" t="s">
        <v>60</v>
      </c>
      <c r="AA1472" s="20" t="s">
        <v>61</v>
      </c>
      <c r="AB1472" s="20" t="s">
        <v>82</v>
      </c>
      <c r="AC1472" s="28">
        <v>559.48</v>
      </c>
      <c r="AD1472" s="28">
        <f>SUM(BASE[[#This Row],[MONTO DE RENTA ]]*1.16)</f>
        <v>648.99680000000001</v>
      </c>
      <c r="AE1472" s="28" t="s">
        <v>83</v>
      </c>
      <c r="AF1472" s="28">
        <v>559.48275862068965</v>
      </c>
      <c r="AG1472" s="28">
        <v>649</v>
      </c>
      <c r="AI1472" s="63">
        <v>44937</v>
      </c>
      <c r="AJ1472" s="73">
        <v>46043</v>
      </c>
      <c r="AK147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72" s="30"/>
      <c r="AN1472" s="20" t="s">
        <v>99</v>
      </c>
      <c r="AP1472" s="20" t="s">
        <v>84</v>
      </c>
      <c r="AQ1472" s="20" t="s">
        <v>100</v>
      </c>
    </row>
    <row r="1473" spans="1:43" ht="16">
      <c r="A1473" s="230">
        <v>8110131192</v>
      </c>
      <c r="B1473" s="292">
        <v>1015942</v>
      </c>
      <c r="C1473" s="20" t="s">
        <v>1653</v>
      </c>
      <c r="D1473" s="20" t="s">
        <v>1654</v>
      </c>
      <c r="E1473" s="20" t="s">
        <v>1655</v>
      </c>
      <c r="F1473" s="20" t="s">
        <v>1656</v>
      </c>
      <c r="G1473" s="20" t="s">
        <v>1656</v>
      </c>
      <c r="H1473" s="20" t="s">
        <v>1657</v>
      </c>
      <c r="I1473" s="20" t="s">
        <v>1658</v>
      </c>
      <c r="J1473" s="271" t="s">
        <v>6678</v>
      </c>
      <c r="K1473" s="271" t="s">
        <v>6679</v>
      </c>
      <c r="L1473" s="266" t="s">
        <v>92</v>
      </c>
      <c r="M1473" s="265" t="s">
        <v>7738</v>
      </c>
      <c r="N1473" s="23" t="s">
        <v>1661</v>
      </c>
      <c r="O1473" s="25" t="s">
        <v>74</v>
      </c>
      <c r="P1473" s="25" t="s">
        <v>1662</v>
      </c>
      <c r="Q1473" s="20" t="s">
        <v>6680</v>
      </c>
      <c r="R1473" s="20">
        <v>43920556</v>
      </c>
      <c r="S1473" s="25" t="s">
        <v>55</v>
      </c>
      <c r="T1473" s="279" t="s">
        <v>56</v>
      </c>
      <c r="U1473" s="23" t="s">
        <v>193</v>
      </c>
      <c r="V1473" s="27" t="s">
        <v>183</v>
      </c>
      <c r="W1473" s="20" t="s">
        <v>194</v>
      </c>
      <c r="X1473" s="20" t="s">
        <v>194</v>
      </c>
      <c r="Y1473" s="20" t="s">
        <v>194</v>
      </c>
      <c r="Z1473" s="20" t="s">
        <v>60</v>
      </c>
      <c r="AA1473" s="20" t="s">
        <v>61</v>
      </c>
      <c r="AB1473" s="20" t="s">
        <v>96</v>
      </c>
      <c r="AC1473" s="28">
        <v>369.83</v>
      </c>
      <c r="AD1473" s="270">
        <f>SUM(BASE[[#This Row],[MONTO DE RENTA ]]*1.16)</f>
        <v>429.00279999999998</v>
      </c>
      <c r="AE1473" s="28" t="s">
        <v>63</v>
      </c>
      <c r="AF1473" s="270">
        <v>369.82758620689657</v>
      </c>
      <c r="AG1473" s="270">
        <v>429</v>
      </c>
      <c r="AH1473" s="271"/>
      <c r="AI1473" s="63">
        <v>44937</v>
      </c>
      <c r="AJ1473" s="302">
        <v>46043</v>
      </c>
      <c r="AK1473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L1473" s="230"/>
      <c r="AM1473" s="273"/>
      <c r="AN1473" s="20" t="s">
        <v>99</v>
      </c>
      <c r="AP1473" s="20" t="s">
        <v>84</v>
      </c>
      <c r="AQ1473" s="20" t="s">
        <v>100</v>
      </c>
    </row>
    <row r="1474" spans="1:43" s="83" customFormat="1" ht="16">
      <c r="A1474" s="20">
        <v>8129029671</v>
      </c>
      <c r="B1474" s="21">
        <v>1039418</v>
      </c>
      <c r="C1474" s="20" t="s">
        <v>4184</v>
      </c>
      <c r="D1474" s="20" t="s">
        <v>3074</v>
      </c>
      <c r="E1474" s="20" t="s">
        <v>1422</v>
      </c>
      <c r="F1474" s="20" t="s">
        <v>5549</v>
      </c>
      <c r="G1474" s="20" t="s">
        <v>5549</v>
      </c>
      <c r="H1474" s="20" t="s">
        <v>208</v>
      </c>
      <c r="I1474" s="20" t="s">
        <v>5549</v>
      </c>
      <c r="J1474" s="22" t="s">
        <v>6681</v>
      </c>
      <c r="K1474" s="22" t="s">
        <v>6681</v>
      </c>
      <c r="L1474" s="23" t="s">
        <v>92</v>
      </c>
      <c r="M1474" s="24" t="s">
        <v>7738</v>
      </c>
      <c r="N1474" s="23">
        <v>18848052</v>
      </c>
      <c r="O1474" s="25" t="s">
        <v>74</v>
      </c>
      <c r="P1474" s="25" t="s">
        <v>53</v>
      </c>
      <c r="Q1474" s="20" t="s">
        <v>6682</v>
      </c>
      <c r="R1474" s="20">
        <v>45017355</v>
      </c>
      <c r="S1474" s="25" t="s">
        <v>6683</v>
      </c>
      <c r="T1474" s="26" t="s">
        <v>57</v>
      </c>
      <c r="U1474" s="23">
        <v>860982060888060</v>
      </c>
      <c r="V1474" s="27" t="s">
        <v>57</v>
      </c>
      <c r="W1474" s="20" t="s">
        <v>129</v>
      </c>
      <c r="X1474" s="20" t="s">
        <v>130</v>
      </c>
      <c r="Y1474" s="20" t="s">
        <v>130</v>
      </c>
      <c r="Z1474" s="20" t="s">
        <v>167</v>
      </c>
      <c r="AA1474" s="20" t="s">
        <v>168</v>
      </c>
      <c r="AB1474" s="20" t="s">
        <v>96</v>
      </c>
      <c r="AC1474" s="28">
        <v>369.83</v>
      </c>
      <c r="AD1474" s="28">
        <f>SUM(BASE[[#This Row],[MONTO DE RENTA ]]*1.16)</f>
        <v>429.00279999999998</v>
      </c>
      <c r="AE1474" s="28" t="s">
        <v>63</v>
      </c>
      <c r="AF1474" s="28">
        <v>369.82758620689657</v>
      </c>
      <c r="AG1474" s="28">
        <v>429</v>
      </c>
      <c r="AH1474" s="22"/>
      <c r="AI1474" s="63">
        <v>44937</v>
      </c>
      <c r="AJ1474" s="63">
        <v>46025</v>
      </c>
      <c r="AK1474" s="30">
        <f ca="1">IFERROR(IF(BASE[[#This Row],[FECHA DE RENOVACION ]]&gt;TODAY(), DATEDIF(TODAY(),BASE[[#This Row],[FECHA DE RENOVACION ]],"M"), -DATEDIF(BASE[[#This Row],[FECHA DE RENOVACION ]],TODAY(),"M")), "Sin fecha")</f>
        <v>-2</v>
      </c>
      <c r="AL1474" s="20"/>
      <c r="AM1474" s="30"/>
      <c r="AN1474" s="20" t="s">
        <v>99</v>
      </c>
      <c r="AO1474" s="20"/>
      <c r="AP1474" s="20" t="s">
        <v>84</v>
      </c>
      <c r="AQ1474" s="20"/>
    </row>
    <row r="1475" spans="1:43" ht="16">
      <c r="A1475" s="51">
        <v>8135523674</v>
      </c>
      <c r="B1475" s="49">
        <v>1059414</v>
      </c>
      <c r="C1475" s="20" t="s">
        <v>2517</v>
      </c>
      <c r="D1475" s="20" t="s">
        <v>1167</v>
      </c>
      <c r="E1475" s="20" t="s">
        <v>1352</v>
      </c>
      <c r="F1475" s="20" t="s">
        <v>6684</v>
      </c>
      <c r="G1475" s="20" t="s">
        <v>6684</v>
      </c>
      <c r="H1475" s="20" t="s">
        <v>199</v>
      </c>
      <c r="I1475" s="20" t="s">
        <v>6684</v>
      </c>
      <c r="J1475" s="54" t="s">
        <v>6685</v>
      </c>
      <c r="K1475" s="54" t="s">
        <v>6685</v>
      </c>
      <c r="L1475" s="23" t="s">
        <v>92</v>
      </c>
      <c r="M1475" s="24" t="s">
        <v>7738</v>
      </c>
      <c r="N1475" s="23">
        <v>18848075</v>
      </c>
      <c r="O1475" s="25" t="s">
        <v>74</v>
      </c>
      <c r="P1475" s="25" t="s">
        <v>53</v>
      </c>
      <c r="Q1475" s="20" t="s">
        <v>6686</v>
      </c>
      <c r="R1475" s="20">
        <v>44114358</v>
      </c>
      <c r="S1475" s="25" t="s">
        <v>6687</v>
      </c>
      <c r="T1475" s="283" t="s">
        <v>57</v>
      </c>
      <c r="U1475" s="23">
        <v>865356065729592</v>
      </c>
      <c r="V1475" s="27" t="s">
        <v>183</v>
      </c>
      <c r="W1475" s="20" t="s">
        <v>129</v>
      </c>
      <c r="X1475" s="20" t="s">
        <v>130</v>
      </c>
      <c r="Y1475" s="20" t="s">
        <v>130</v>
      </c>
      <c r="Z1475" s="20" t="s">
        <v>167</v>
      </c>
      <c r="AA1475" s="20" t="s">
        <v>168</v>
      </c>
      <c r="AB1475" s="20" t="s">
        <v>96</v>
      </c>
      <c r="AC1475" s="28">
        <v>369.83</v>
      </c>
      <c r="AD1475" s="28">
        <f>SUM(BASE[[#This Row],[MONTO DE RENTA ]]*1.16)</f>
        <v>429.00279999999998</v>
      </c>
      <c r="AE1475" s="28" t="s">
        <v>63</v>
      </c>
      <c r="AF1475" s="28">
        <v>369.82758620689657</v>
      </c>
      <c r="AG1475" s="28">
        <v>429</v>
      </c>
      <c r="AH1475" s="56" t="s">
        <v>116</v>
      </c>
      <c r="AI1475" s="165">
        <v>45532</v>
      </c>
      <c r="AJ1475" s="63">
        <v>46040</v>
      </c>
      <c r="AK147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475" s="51"/>
      <c r="AM1475" s="58"/>
      <c r="AN1475" s="20" t="s">
        <v>99</v>
      </c>
      <c r="AP1475" s="20" t="s">
        <v>84</v>
      </c>
      <c r="AQ1475" s="20" t="s">
        <v>100</v>
      </c>
    </row>
    <row r="1476" spans="1:43" ht="16">
      <c r="A1476" s="20">
        <v>8118201569</v>
      </c>
      <c r="B1476" s="48">
        <v>6495</v>
      </c>
      <c r="C1476" s="20" t="s">
        <v>1862</v>
      </c>
      <c r="D1476" s="20" t="s">
        <v>172</v>
      </c>
      <c r="E1476" s="20" t="s">
        <v>6688</v>
      </c>
      <c r="F1476" s="20" t="s">
        <v>6689</v>
      </c>
      <c r="G1476" s="20" t="s">
        <v>6689</v>
      </c>
      <c r="H1476" s="20" t="s">
        <v>5289</v>
      </c>
      <c r="I1476" s="20" t="s">
        <v>6689</v>
      </c>
      <c r="J1476" s="54" t="s">
        <v>6690</v>
      </c>
      <c r="K1476" s="54" t="s">
        <v>6690</v>
      </c>
      <c r="L1476" s="23" t="s">
        <v>92</v>
      </c>
      <c r="M1476" s="24" t="s">
        <v>7738</v>
      </c>
      <c r="N1476" s="23">
        <v>18848026</v>
      </c>
      <c r="O1476" s="25" t="s">
        <v>74</v>
      </c>
      <c r="P1476" s="25" t="s">
        <v>53</v>
      </c>
      <c r="Q1476" s="20" t="s">
        <v>6691</v>
      </c>
      <c r="R1476" s="20">
        <v>45522055</v>
      </c>
      <c r="S1476" s="25" t="s">
        <v>55</v>
      </c>
      <c r="T1476" s="44" t="s">
        <v>56</v>
      </c>
      <c r="U1476" s="23">
        <v>860900062271036</v>
      </c>
      <c r="V1476" s="27" t="s">
        <v>183</v>
      </c>
      <c r="W1476" s="20" t="s">
        <v>58</v>
      </c>
      <c r="X1476" s="20" t="s">
        <v>59</v>
      </c>
      <c r="Y1476" s="20" t="s">
        <v>59</v>
      </c>
      <c r="Z1476" s="20" t="s">
        <v>113</v>
      </c>
      <c r="AA1476" s="20" t="s">
        <v>114</v>
      </c>
      <c r="AB1476" s="20" t="s">
        <v>244</v>
      </c>
      <c r="AC1476" s="28">
        <v>473.28</v>
      </c>
      <c r="AD1476" s="28">
        <f>SUM(BASE[[#This Row],[MONTO DE RENTA ]]*1.16)</f>
        <v>549.00479999999993</v>
      </c>
      <c r="AE1476" s="28" t="s">
        <v>63</v>
      </c>
      <c r="AF1476" s="28">
        <v>369.82758620689657</v>
      </c>
      <c r="AG1476" s="28">
        <v>429</v>
      </c>
      <c r="AH1476" s="22" t="s">
        <v>6692</v>
      </c>
      <c r="AI1476" s="63">
        <v>45868</v>
      </c>
      <c r="AJ1476" s="63">
        <v>46598</v>
      </c>
      <c r="AK1476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476" s="20">
        <v>38908</v>
      </c>
      <c r="AM1476" s="30"/>
      <c r="AN1476" s="20" t="s">
        <v>65</v>
      </c>
      <c r="AP1476" s="20" t="s">
        <v>118</v>
      </c>
    </row>
    <row r="1477" spans="1:43" ht="16">
      <c r="A1477" s="20">
        <v>8116195363</v>
      </c>
      <c r="B1477" s="21">
        <v>6562</v>
      </c>
      <c r="C1477" s="20" t="s">
        <v>2517</v>
      </c>
      <c r="D1477" s="20" t="s">
        <v>205</v>
      </c>
      <c r="E1477" s="20" t="s">
        <v>947</v>
      </c>
      <c r="F1477" s="20" t="s">
        <v>6693</v>
      </c>
      <c r="G1477" s="20" t="s">
        <v>6693</v>
      </c>
      <c r="H1477" s="20" t="s">
        <v>155</v>
      </c>
      <c r="I1477" s="20" t="s">
        <v>6693</v>
      </c>
      <c r="J1477" s="22" t="s">
        <v>6694</v>
      </c>
      <c r="K1477" s="32" t="s">
        <v>6695</v>
      </c>
      <c r="L1477" s="23" t="s">
        <v>92</v>
      </c>
      <c r="M1477" s="24" t="s">
        <v>7738</v>
      </c>
      <c r="N1477" s="23">
        <v>18848059</v>
      </c>
      <c r="O1477" s="25" t="s">
        <v>74</v>
      </c>
      <c r="P1477" s="25" t="s">
        <v>53</v>
      </c>
      <c r="Q1477" s="20" t="s">
        <v>6696</v>
      </c>
      <c r="R1477" s="20">
        <v>43090357</v>
      </c>
      <c r="S1477" s="25" t="s">
        <v>6697</v>
      </c>
      <c r="T1477" s="26" t="s">
        <v>57</v>
      </c>
      <c r="U1477" s="23">
        <v>351307358912537</v>
      </c>
      <c r="V1477" s="27" t="s">
        <v>57</v>
      </c>
      <c r="W1477" s="20" t="s">
        <v>79</v>
      </c>
      <c r="X1477" s="20" t="s">
        <v>79</v>
      </c>
      <c r="Y1477" s="20" t="s">
        <v>79</v>
      </c>
      <c r="Z1477" s="20" t="s">
        <v>167</v>
      </c>
      <c r="AA1477" s="20" t="s">
        <v>168</v>
      </c>
      <c r="AB1477" s="20" t="s">
        <v>96</v>
      </c>
      <c r="AC1477" s="28">
        <v>369.83</v>
      </c>
      <c r="AD1477" s="28">
        <f>SUM(BASE[[#This Row],[MONTO DE RENTA ]]*1.16)</f>
        <v>429.00279999999998</v>
      </c>
      <c r="AE1477" s="28" t="s">
        <v>63</v>
      </c>
      <c r="AF1477" s="28">
        <v>369.82758620689657</v>
      </c>
      <c r="AG1477" s="28">
        <v>429</v>
      </c>
      <c r="AH1477" s="22" t="s">
        <v>64</v>
      </c>
      <c r="AI1477" s="63">
        <v>45703</v>
      </c>
      <c r="AJ1477" s="63">
        <v>46433</v>
      </c>
      <c r="AK14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77" s="30"/>
      <c r="AN1477" s="20" t="s">
        <v>65</v>
      </c>
      <c r="AP1477" s="20" t="s">
        <v>84</v>
      </c>
    </row>
    <row r="1478" spans="1:43" ht="16">
      <c r="A1478" s="146">
        <v>8126200434</v>
      </c>
      <c r="B1478" s="249">
        <v>1040881</v>
      </c>
      <c r="C1478" s="20" t="s">
        <v>410</v>
      </c>
      <c r="D1478" s="20" t="s">
        <v>614</v>
      </c>
      <c r="E1478" s="20" t="s">
        <v>6698</v>
      </c>
      <c r="F1478" s="20" t="s">
        <v>5329</v>
      </c>
      <c r="G1478" s="20" t="s">
        <v>5329</v>
      </c>
      <c r="H1478" s="20" t="s">
        <v>155</v>
      </c>
      <c r="I1478" s="20" t="s">
        <v>5329</v>
      </c>
      <c r="J1478" s="277" t="s">
        <v>6699</v>
      </c>
      <c r="K1478" s="250" t="s">
        <v>6699</v>
      </c>
      <c r="L1478" s="23" t="s">
        <v>92</v>
      </c>
      <c r="M1478" s="24" t="s">
        <v>7738</v>
      </c>
      <c r="N1478" s="23">
        <v>18848002</v>
      </c>
      <c r="O1478" s="25" t="s">
        <v>74</v>
      </c>
      <c r="P1478" s="25" t="s">
        <v>53</v>
      </c>
      <c r="Q1478" s="20" t="s">
        <v>6700</v>
      </c>
      <c r="R1478" s="20">
        <v>42805697</v>
      </c>
      <c r="S1478" s="25" t="s">
        <v>55</v>
      </c>
      <c r="T1478" s="251" t="s">
        <v>56</v>
      </c>
      <c r="U1478" s="23" t="s">
        <v>193</v>
      </c>
      <c r="V1478" s="27" t="s">
        <v>183</v>
      </c>
      <c r="W1478" s="20" t="s">
        <v>194</v>
      </c>
      <c r="X1478" s="20" t="s">
        <v>194</v>
      </c>
      <c r="Y1478" s="20" t="s">
        <v>194</v>
      </c>
      <c r="Z1478" s="20" t="s">
        <v>60</v>
      </c>
      <c r="AA1478" s="20" t="s">
        <v>61</v>
      </c>
      <c r="AB1478" s="20" t="s">
        <v>96</v>
      </c>
      <c r="AC1478" s="28">
        <v>369.83</v>
      </c>
      <c r="AD1478" s="28">
        <f>SUM(BASE[[#This Row],[MONTO DE RENTA ]]*1.16)</f>
        <v>429.00279999999998</v>
      </c>
      <c r="AE1478" s="28" t="s">
        <v>63</v>
      </c>
      <c r="AF1478" s="28">
        <v>369.82758620689657</v>
      </c>
      <c r="AG1478" s="28">
        <v>429</v>
      </c>
      <c r="AH1478" s="36" t="s">
        <v>64</v>
      </c>
      <c r="AI1478" s="84">
        <v>45323</v>
      </c>
      <c r="AJ1478" s="84">
        <v>46054</v>
      </c>
      <c r="AK14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478" s="146"/>
      <c r="AM1478" s="253"/>
      <c r="AN1478" s="20" t="s">
        <v>99</v>
      </c>
      <c r="AP1478" s="20" t="s">
        <v>84</v>
      </c>
      <c r="AQ1478" s="20" t="s">
        <v>100</v>
      </c>
    </row>
    <row r="1479" spans="1:43" ht="16">
      <c r="A1479" s="20">
        <v>8120056808</v>
      </c>
      <c r="B1479" s="21">
        <v>1017840</v>
      </c>
      <c r="C1479" s="20" t="s">
        <v>748</v>
      </c>
      <c r="D1479" s="20" t="s">
        <v>6701</v>
      </c>
      <c r="E1479" s="20" t="s">
        <v>2627</v>
      </c>
      <c r="F1479" s="20" t="s">
        <v>6214</v>
      </c>
      <c r="G1479" s="20" t="s">
        <v>6214</v>
      </c>
      <c r="H1479" s="20" t="s">
        <v>208</v>
      </c>
      <c r="I1479" s="20" t="s">
        <v>6214</v>
      </c>
      <c r="J1479" s="22" t="s">
        <v>6702</v>
      </c>
      <c r="K1479" s="32" t="s">
        <v>6703</v>
      </c>
      <c r="L1479" s="23" t="s">
        <v>92</v>
      </c>
      <c r="M1479" s="24" t="s">
        <v>7738</v>
      </c>
      <c r="N1479" s="23">
        <v>18848052</v>
      </c>
      <c r="O1479" s="25" t="s">
        <v>74</v>
      </c>
      <c r="P1479" s="25" t="s">
        <v>53</v>
      </c>
      <c r="Q1479" s="20" t="s">
        <v>6704</v>
      </c>
      <c r="R1479" s="20">
        <v>45017353</v>
      </c>
      <c r="S1479" s="25" t="s">
        <v>6705</v>
      </c>
      <c r="T1479" s="26" t="s">
        <v>57</v>
      </c>
      <c r="U1479" s="23">
        <v>860900062264254</v>
      </c>
      <c r="V1479" s="27" t="s">
        <v>57</v>
      </c>
      <c r="W1479" s="20" t="s">
        <v>58</v>
      </c>
      <c r="X1479" s="20" t="s">
        <v>59</v>
      </c>
      <c r="Y1479" s="20" t="s">
        <v>59</v>
      </c>
      <c r="Z1479" s="20" t="s">
        <v>131</v>
      </c>
      <c r="AA1479" s="20" t="s">
        <v>132</v>
      </c>
      <c r="AB1479" s="20" t="s">
        <v>96</v>
      </c>
      <c r="AC1479" s="28">
        <v>369.83</v>
      </c>
      <c r="AD1479" s="28">
        <f>SUM(BASE[[#This Row],[MONTO DE RENTA ]]*1.16)</f>
        <v>429.00279999999998</v>
      </c>
      <c r="AE1479" s="28" t="s">
        <v>63</v>
      </c>
      <c r="AF1479" s="28">
        <v>369.82758620689657</v>
      </c>
      <c r="AG1479" s="28">
        <v>429</v>
      </c>
      <c r="AH1479" s="22" t="s">
        <v>64</v>
      </c>
      <c r="AI1479" s="29">
        <v>45703</v>
      </c>
      <c r="AJ1479" s="29">
        <v>46433</v>
      </c>
      <c r="AK14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79" s="30"/>
      <c r="AN1479" s="20" t="s">
        <v>65</v>
      </c>
      <c r="AP1479" s="20" t="s">
        <v>84</v>
      </c>
    </row>
    <row r="1480" spans="1:43" ht="16">
      <c r="A1480" s="20">
        <v>8110222485</v>
      </c>
      <c r="B1480" s="49">
        <v>6439</v>
      </c>
      <c r="C1480" s="20" t="s">
        <v>6706</v>
      </c>
      <c r="D1480" s="20" t="s">
        <v>845</v>
      </c>
      <c r="E1480" s="20" t="s">
        <v>6707</v>
      </c>
      <c r="F1480" s="20" t="s">
        <v>5724</v>
      </c>
      <c r="G1480" s="20" t="s">
        <v>5724</v>
      </c>
      <c r="H1480" s="20" t="s">
        <v>208</v>
      </c>
      <c r="I1480" s="20" t="s">
        <v>5724</v>
      </c>
      <c r="J1480" s="54" t="s">
        <v>6708</v>
      </c>
      <c r="K1480" s="54" t="s">
        <v>6708</v>
      </c>
      <c r="L1480" s="23" t="s">
        <v>92</v>
      </c>
      <c r="M1480" s="24" t="s">
        <v>7738</v>
      </c>
      <c r="N1480" s="23">
        <v>18848090</v>
      </c>
      <c r="O1480" s="25" t="s">
        <v>74</v>
      </c>
      <c r="P1480" s="25" t="s">
        <v>53</v>
      </c>
      <c r="Q1480" s="20" t="s">
        <v>6709</v>
      </c>
      <c r="R1480" s="20">
        <v>44114540</v>
      </c>
      <c r="S1480" s="25" t="s">
        <v>6710</v>
      </c>
      <c r="T1480" s="44" t="s">
        <v>77</v>
      </c>
      <c r="U1480" s="23">
        <v>356638831816092</v>
      </c>
      <c r="V1480" s="27" t="s">
        <v>78</v>
      </c>
      <c r="W1480" s="20" t="s">
        <v>214</v>
      </c>
      <c r="X1480" s="20" t="s">
        <v>214</v>
      </c>
      <c r="Y1480" s="20" t="s">
        <v>214</v>
      </c>
      <c r="Z1480" s="20" t="s">
        <v>60</v>
      </c>
      <c r="AA1480" s="20" t="s">
        <v>61</v>
      </c>
      <c r="AB1480" s="20" t="s">
        <v>82</v>
      </c>
      <c r="AC1480" s="28">
        <v>559.48</v>
      </c>
      <c r="AD1480" s="28">
        <f>SUM(BASE[[#This Row],[MONTO DE RENTA ]]*1.16)</f>
        <v>648.99680000000001</v>
      </c>
      <c r="AE1480" s="28" t="s">
        <v>83</v>
      </c>
      <c r="AF1480" s="28">
        <v>559.48275862068965</v>
      </c>
      <c r="AG1480" s="28">
        <v>649</v>
      </c>
      <c r="AH1480" s="22" t="s">
        <v>116</v>
      </c>
      <c r="AI1480" s="63">
        <v>45833</v>
      </c>
      <c r="AJ1480" s="63">
        <v>46563</v>
      </c>
      <c r="AK1480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480" s="20">
        <v>18848090</v>
      </c>
      <c r="AM1480" s="30"/>
      <c r="AN1480" s="20" t="s">
        <v>65</v>
      </c>
      <c r="AP1480" s="20" t="s">
        <v>84</v>
      </c>
    </row>
    <row r="1481" spans="1:43" ht="16">
      <c r="A1481" s="20">
        <v>8112218793</v>
      </c>
      <c r="B1481" s="21">
        <v>7063</v>
      </c>
      <c r="C1481" s="20" t="s">
        <v>6711</v>
      </c>
      <c r="D1481" s="20" t="s">
        <v>6712</v>
      </c>
      <c r="E1481" s="20" t="s">
        <v>6713</v>
      </c>
      <c r="F1481" s="20" t="s">
        <v>6714</v>
      </c>
      <c r="G1481" s="20" t="s">
        <v>6714</v>
      </c>
      <c r="H1481" s="20" t="s">
        <v>208</v>
      </c>
      <c r="I1481" s="20" t="s">
        <v>6714</v>
      </c>
      <c r="J1481" s="22" t="s">
        <v>6715</v>
      </c>
      <c r="K1481" s="22" t="s">
        <v>6715</v>
      </c>
      <c r="L1481" s="23" t="s">
        <v>92</v>
      </c>
      <c r="M1481" s="24" t="s">
        <v>7738</v>
      </c>
      <c r="N1481" s="23">
        <v>18848051</v>
      </c>
      <c r="O1481" s="25" t="s">
        <v>74</v>
      </c>
      <c r="P1481" s="25" t="s">
        <v>53</v>
      </c>
      <c r="Q1481" s="20" t="s">
        <v>6716</v>
      </c>
      <c r="R1481" s="20">
        <v>43163558</v>
      </c>
      <c r="S1481" s="25" t="s">
        <v>6717</v>
      </c>
      <c r="T1481" s="26" t="s">
        <v>77</v>
      </c>
      <c r="U1481" s="23">
        <v>351307356046569</v>
      </c>
      <c r="V1481" s="27" t="s">
        <v>78</v>
      </c>
      <c r="W1481" s="20" t="s">
        <v>79</v>
      </c>
      <c r="X1481" s="20" t="s">
        <v>79</v>
      </c>
      <c r="Y1481" s="20" t="s">
        <v>79</v>
      </c>
      <c r="Z1481" s="20" t="s">
        <v>167</v>
      </c>
      <c r="AA1481" s="20" t="s">
        <v>168</v>
      </c>
      <c r="AB1481" s="20" t="s">
        <v>82</v>
      </c>
      <c r="AC1481" s="28">
        <v>559.48</v>
      </c>
      <c r="AD1481" s="28">
        <f>SUM(BASE[[#This Row],[MONTO DE RENTA ]]*1.16)</f>
        <v>648.99680000000001</v>
      </c>
      <c r="AE1481" s="28" t="s">
        <v>83</v>
      </c>
      <c r="AF1481" s="28">
        <v>559.48275862068965</v>
      </c>
      <c r="AG1481" s="28">
        <v>649</v>
      </c>
      <c r="AH1481" s="22" t="s">
        <v>64</v>
      </c>
      <c r="AI1481" s="63">
        <v>45703</v>
      </c>
      <c r="AJ1481" s="63">
        <v>46433</v>
      </c>
      <c r="AK148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81" s="30"/>
      <c r="AN1481" s="20" t="s">
        <v>65</v>
      </c>
      <c r="AP1481" s="20" t="s">
        <v>84</v>
      </c>
    </row>
    <row r="1482" spans="1:43" ht="16">
      <c r="A1482" s="303">
        <v>8120106565</v>
      </c>
      <c r="B1482" s="48">
        <v>1037233</v>
      </c>
      <c r="C1482" s="20" t="s">
        <v>43</v>
      </c>
      <c r="D1482" s="20" t="s">
        <v>172</v>
      </c>
      <c r="E1482" s="20" t="s">
        <v>598</v>
      </c>
      <c r="F1482" s="20" t="s">
        <v>6718</v>
      </c>
      <c r="G1482" s="20" t="s">
        <v>6718</v>
      </c>
      <c r="H1482" s="20" t="s">
        <v>5730</v>
      </c>
      <c r="I1482" s="20" t="s">
        <v>6718</v>
      </c>
      <c r="J1482" s="141" t="s">
        <v>6719</v>
      </c>
      <c r="K1482" s="54" t="s">
        <v>6719</v>
      </c>
      <c r="L1482" s="23" t="s">
        <v>92</v>
      </c>
      <c r="M1482" s="24" t="s">
        <v>7738</v>
      </c>
      <c r="N1482" s="23">
        <v>18848088</v>
      </c>
      <c r="O1482" s="25" t="s">
        <v>74</v>
      </c>
      <c r="P1482" s="25" t="s">
        <v>53</v>
      </c>
      <c r="Q1482" s="20" t="s">
        <v>6720</v>
      </c>
      <c r="R1482" s="20">
        <v>43090268</v>
      </c>
      <c r="S1482" s="25" t="s">
        <v>6721</v>
      </c>
      <c r="T1482" s="72" t="s">
        <v>57</v>
      </c>
      <c r="U1482" s="23">
        <v>860900062337795</v>
      </c>
      <c r="V1482" s="45" t="s">
        <v>183</v>
      </c>
      <c r="W1482" s="20" t="s">
        <v>58</v>
      </c>
      <c r="X1482" s="20" t="s">
        <v>59</v>
      </c>
      <c r="Y1482" s="20" t="s">
        <v>59</v>
      </c>
      <c r="Z1482" s="20" t="s">
        <v>80</v>
      </c>
      <c r="AA1482" s="20" t="s">
        <v>81</v>
      </c>
      <c r="AB1482" s="20" t="s">
        <v>82</v>
      </c>
      <c r="AC1482" s="28">
        <v>559.48</v>
      </c>
      <c r="AD1482" s="28">
        <f>SUM(BASE[[#This Row],[MONTO DE RENTA ]]*1.16)</f>
        <v>648.99680000000001</v>
      </c>
      <c r="AE1482" s="28" t="s">
        <v>83</v>
      </c>
      <c r="AF1482" s="28">
        <v>559.48275862068965</v>
      </c>
      <c r="AG1482" s="28">
        <v>649</v>
      </c>
      <c r="AH1482" s="53" t="s">
        <v>116</v>
      </c>
      <c r="AI1482" s="73">
        <v>45730</v>
      </c>
      <c r="AJ1482" s="73">
        <v>46460</v>
      </c>
      <c r="AK1482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482" s="69"/>
      <c r="AM1482" s="144"/>
      <c r="AN1482" s="20" t="s">
        <v>65</v>
      </c>
      <c r="AP1482" s="20" t="s">
        <v>84</v>
      </c>
    </row>
    <row r="1483" spans="1:43" ht="16">
      <c r="A1483" s="20">
        <v>8128610450</v>
      </c>
      <c r="B1483" s="21">
        <v>6830</v>
      </c>
      <c r="C1483" s="20" t="s">
        <v>43</v>
      </c>
      <c r="D1483" s="20" t="s">
        <v>247</v>
      </c>
      <c r="E1483" s="20" t="s">
        <v>4323</v>
      </c>
      <c r="F1483" s="20" t="s">
        <v>6722</v>
      </c>
      <c r="G1483" s="20" t="s">
        <v>6722</v>
      </c>
      <c r="H1483" s="20" t="s">
        <v>199</v>
      </c>
      <c r="I1483" s="20" t="s">
        <v>6722</v>
      </c>
      <c r="J1483" s="22" t="s">
        <v>6723</v>
      </c>
      <c r="K1483" s="22" t="s">
        <v>6723</v>
      </c>
      <c r="L1483" s="23" t="s">
        <v>92</v>
      </c>
      <c r="M1483" s="24" t="s">
        <v>7738</v>
      </c>
      <c r="N1483" s="23">
        <v>18848009</v>
      </c>
      <c r="O1483" s="25" t="s">
        <v>74</v>
      </c>
      <c r="P1483" s="25" t="s">
        <v>53</v>
      </c>
      <c r="Q1483" s="20" t="s">
        <v>6724</v>
      </c>
      <c r="R1483" s="20">
        <v>43764348</v>
      </c>
      <c r="S1483" s="25" t="s">
        <v>6725</v>
      </c>
      <c r="T1483" s="26" t="s">
        <v>77</v>
      </c>
      <c r="U1483" s="23">
        <v>351307359361288</v>
      </c>
      <c r="V1483" s="27" t="s">
        <v>78</v>
      </c>
      <c r="W1483" s="20" t="s">
        <v>79</v>
      </c>
      <c r="X1483" s="20" t="s">
        <v>79</v>
      </c>
      <c r="Y1483" s="20" t="s">
        <v>79</v>
      </c>
      <c r="Z1483" s="20" t="s">
        <v>167</v>
      </c>
      <c r="AA1483" s="20" t="s">
        <v>168</v>
      </c>
      <c r="AB1483" s="20" t="s">
        <v>82</v>
      </c>
      <c r="AC1483" s="28">
        <v>559.48</v>
      </c>
      <c r="AD1483" s="28">
        <f>SUM(BASE[[#This Row],[MONTO DE RENTA ]]*1.16)</f>
        <v>648.99680000000001</v>
      </c>
      <c r="AE1483" s="28" t="s">
        <v>83</v>
      </c>
      <c r="AF1483" s="28">
        <v>559.48275862068965</v>
      </c>
      <c r="AG1483" s="28">
        <v>649</v>
      </c>
      <c r="AH1483" s="22" t="s">
        <v>64</v>
      </c>
      <c r="AI1483" s="63">
        <v>45713</v>
      </c>
      <c r="AJ1483" s="63">
        <v>46433</v>
      </c>
      <c r="AK148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83" s="30" t="s">
        <v>6726</v>
      </c>
      <c r="AN1483" s="20" t="s">
        <v>65</v>
      </c>
      <c r="AP1483" s="20" t="s">
        <v>84</v>
      </c>
    </row>
    <row r="1484" spans="1:43" ht="16">
      <c r="A1484" s="20">
        <v>8119170938</v>
      </c>
      <c r="B1484" s="48">
        <v>1062427</v>
      </c>
      <c r="C1484" s="20" t="s">
        <v>6727</v>
      </c>
      <c r="D1484" s="20" t="s">
        <v>186</v>
      </c>
      <c r="E1484" s="20" t="s">
        <v>3074</v>
      </c>
      <c r="F1484" s="20" t="s">
        <v>154</v>
      </c>
      <c r="G1484" s="20" t="s">
        <v>154</v>
      </c>
      <c r="H1484" s="20" t="s">
        <v>155</v>
      </c>
      <c r="I1484" s="20" t="s">
        <v>154</v>
      </c>
      <c r="J1484" s="54" t="s">
        <v>6728</v>
      </c>
      <c r="K1484" s="54" t="s">
        <v>6728</v>
      </c>
      <c r="L1484" s="23" t="s">
        <v>92</v>
      </c>
      <c r="M1484" s="24" t="s">
        <v>7738</v>
      </c>
      <c r="N1484" s="23">
        <v>18848003</v>
      </c>
      <c r="O1484" s="25" t="s">
        <v>74</v>
      </c>
      <c r="P1484" s="25" t="s">
        <v>53</v>
      </c>
      <c r="Q1484" s="20" t="s">
        <v>6729</v>
      </c>
      <c r="R1484" s="20">
        <v>43132016</v>
      </c>
      <c r="S1484" s="25" t="s">
        <v>5676</v>
      </c>
      <c r="T1484" s="81" t="s">
        <v>77</v>
      </c>
      <c r="U1484" s="23">
        <v>357894929261589</v>
      </c>
      <c r="V1484" s="27" t="s">
        <v>78</v>
      </c>
      <c r="W1484" s="20" t="s">
        <v>95</v>
      </c>
      <c r="X1484" s="20" t="s">
        <v>95</v>
      </c>
      <c r="Y1484" s="20" t="s">
        <v>95</v>
      </c>
      <c r="Z1484" s="20" t="s">
        <v>167</v>
      </c>
      <c r="AA1484" s="20" t="s">
        <v>168</v>
      </c>
      <c r="AB1484" s="20" t="s">
        <v>82</v>
      </c>
      <c r="AC1484" s="28">
        <v>559.48</v>
      </c>
      <c r="AD1484" s="28">
        <f>SUM(BASE[[#This Row],[MONTO DE RENTA ]]*1.16)</f>
        <v>648.99680000000001</v>
      </c>
      <c r="AE1484" s="28" t="s">
        <v>83</v>
      </c>
      <c r="AF1484" s="28">
        <v>559.48275862068965</v>
      </c>
      <c r="AG1484" s="28">
        <v>649</v>
      </c>
      <c r="AH1484" s="22" t="s">
        <v>116</v>
      </c>
      <c r="AI1484" s="29">
        <v>45350</v>
      </c>
      <c r="AJ1484" s="29">
        <v>46081</v>
      </c>
      <c r="AK1484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484" s="30"/>
      <c r="AN1484" s="20" t="s">
        <v>99</v>
      </c>
      <c r="AP1484" s="20" t="s">
        <v>84</v>
      </c>
      <c r="AQ1484" s="20" t="s">
        <v>100</v>
      </c>
    </row>
    <row r="1485" spans="1:43" s="87" customFormat="1" ht="16">
      <c r="A1485" s="304">
        <v>8126810923</v>
      </c>
      <c r="B1485" s="305">
        <v>1039977</v>
      </c>
      <c r="C1485" s="20" t="s">
        <v>1653</v>
      </c>
      <c r="D1485" s="20" t="s">
        <v>1654</v>
      </c>
      <c r="E1485" s="20" t="s">
        <v>1655</v>
      </c>
      <c r="F1485" s="20" t="s">
        <v>1656</v>
      </c>
      <c r="G1485" s="20" t="s">
        <v>1656</v>
      </c>
      <c r="H1485" s="20" t="s">
        <v>1657</v>
      </c>
      <c r="I1485" s="20" t="s">
        <v>1658</v>
      </c>
      <c r="J1485" s="306" t="s">
        <v>6730</v>
      </c>
      <c r="K1485" s="306" t="s">
        <v>6730</v>
      </c>
      <c r="L1485" s="23" t="s">
        <v>92</v>
      </c>
      <c r="M1485" s="24" t="s">
        <v>7738</v>
      </c>
      <c r="N1485" s="23" t="s">
        <v>1661</v>
      </c>
      <c r="O1485" s="25" t="s">
        <v>74</v>
      </c>
      <c r="P1485" s="25" t="s">
        <v>53</v>
      </c>
      <c r="Q1485" s="20" t="s">
        <v>6731</v>
      </c>
      <c r="R1485" s="20">
        <v>44114457</v>
      </c>
      <c r="S1485" s="25" t="s">
        <v>55</v>
      </c>
      <c r="T1485" s="307" t="s">
        <v>56</v>
      </c>
      <c r="U1485" s="23" t="s">
        <v>193</v>
      </c>
      <c r="V1485" s="27" t="s">
        <v>78</v>
      </c>
      <c r="W1485" s="20" t="s">
        <v>194</v>
      </c>
      <c r="X1485" s="20" t="s">
        <v>194</v>
      </c>
      <c r="Y1485" s="20" t="s">
        <v>194</v>
      </c>
      <c r="Z1485" s="20" t="s">
        <v>60</v>
      </c>
      <c r="AA1485" s="20" t="s">
        <v>61</v>
      </c>
      <c r="AB1485" s="20" t="s">
        <v>82</v>
      </c>
      <c r="AC1485" s="28">
        <v>559.48</v>
      </c>
      <c r="AD1485" s="28">
        <f>SUM(BASE[[#This Row],[MONTO DE RENTA ]]*1.16)</f>
        <v>648.99680000000001</v>
      </c>
      <c r="AE1485" s="28" t="s">
        <v>83</v>
      </c>
      <c r="AF1485" s="28">
        <v>559.48275862068965</v>
      </c>
      <c r="AG1485" s="28">
        <v>649</v>
      </c>
      <c r="AH1485" s="36" t="s">
        <v>64</v>
      </c>
      <c r="AI1485" s="84">
        <v>45323</v>
      </c>
      <c r="AJ1485" s="84">
        <v>46054</v>
      </c>
      <c r="AK148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485" s="304"/>
      <c r="AM1485" s="308"/>
      <c r="AN1485" s="20" t="s">
        <v>99</v>
      </c>
      <c r="AO1485" s="20"/>
      <c r="AP1485" s="20" t="s">
        <v>84</v>
      </c>
      <c r="AQ1485" s="20" t="s">
        <v>100</v>
      </c>
    </row>
    <row r="1486" spans="1:43" ht="16">
      <c r="A1486" s="20">
        <v>8180105866</v>
      </c>
      <c r="B1486" s="49">
        <v>1005177</v>
      </c>
      <c r="C1486" s="20" t="s">
        <v>6732</v>
      </c>
      <c r="D1486" s="20" t="s">
        <v>1067</v>
      </c>
      <c r="E1486" s="20" t="s">
        <v>6733</v>
      </c>
      <c r="F1486" s="20" t="s">
        <v>6734</v>
      </c>
      <c r="G1486" s="20" t="s">
        <v>6734</v>
      </c>
      <c r="H1486" s="20" t="s">
        <v>5289</v>
      </c>
      <c r="I1486" s="20" t="s">
        <v>6734</v>
      </c>
      <c r="J1486" s="22" t="s">
        <v>6735</v>
      </c>
      <c r="K1486" s="32" t="s">
        <v>6736</v>
      </c>
      <c r="L1486" s="23" t="s">
        <v>92</v>
      </c>
      <c r="M1486" s="24" t="s">
        <v>7738</v>
      </c>
      <c r="N1486" s="23">
        <v>18848027</v>
      </c>
      <c r="O1486" s="25" t="s">
        <v>74</v>
      </c>
      <c r="P1486" s="25" t="s">
        <v>53</v>
      </c>
      <c r="Q1486" s="20" t="s">
        <v>6737</v>
      </c>
      <c r="R1486" s="20">
        <v>42917041</v>
      </c>
      <c r="S1486" s="25" t="s">
        <v>55</v>
      </c>
      <c r="T1486" s="26" t="s">
        <v>56</v>
      </c>
      <c r="U1486" s="23">
        <v>860900062264478</v>
      </c>
      <c r="V1486" s="27" t="s">
        <v>57</v>
      </c>
      <c r="W1486" s="20" t="s">
        <v>58</v>
      </c>
      <c r="X1486" s="20" t="s">
        <v>59</v>
      </c>
      <c r="Y1486" s="20" t="s">
        <v>59</v>
      </c>
      <c r="Z1486" s="20" t="s">
        <v>60</v>
      </c>
      <c r="AA1486" s="20" t="s">
        <v>61</v>
      </c>
      <c r="AB1486" s="20" t="s">
        <v>96</v>
      </c>
      <c r="AC1486" s="28">
        <v>369.83</v>
      </c>
      <c r="AD1486" s="28">
        <f>SUM(BASE[[#This Row],[MONTO DE RENTA ]]*1.16)</f>
        <v>429.00279999999998</v>
      </c>
      <c r="AE1486" s="28" t="s">
        <v>63</v>
      </c>
      <c r="AF1486" s="28">
        <v>369.82758620689657</v>
      </c>
      <c r="AG1486" s="28">
        <v>429</v>
      </c>
      <c r="AI1486" s="29">
        <v>45952</v>
      </c>
      <c r="AJ1486" s="50">
        <v>46408</v>
      </c>
      <c r="AK148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486" s="30"/>
      <c r="AN1486" s="20" t="s">
        <v>65</v>
      </c>
      <c r="AP1486" s="20" t="s">
        <v>84</v>
      </c>
    </row>
    <row r="1487" spans="1:43" ht="16">
      <c r="A1487" s="242">
        <v>8119166589</v>
      </c>
      <c r="B1487" s="298">
        <v>6975</v>
      </c>
      <c r="C1487" s="20" t="s">
        <v>176</v>
      </c>
      <c r="D1487" s="20" t="s">
        <v>6738</v>
      </c>
      <c r="E1487" s="20" t="s">
        <v>1281</v>
      </c>
      <c r="F1487" s="20" t="s">
        <v>162</v>
      </c>
      <c r="G1487" s="20" t="s">
        <v>162</v>
      </c>
      <c r="H1487" s="20" t="s">
        <v>155</v>
      </c>
      <c r="I1487" s="20" t="s">
        <v>162</v>
      </c>
      <c r="J1487" s="244" t="s">
        <v>6739</v>
      </c>
      <c r="K1487" s="244" t="s">
        <v>6739</v>
      </c>
      <c r="L1487" s="23" t="s">
        <v>92</v>
      </c>
      <c r="M1487" s="24" t="s">
        <v>7738</v>
      </c>
      <c r="N1487" s="23">
        <v>18848095</v>
      </c>
      <c r="O1487" s="25" t="s">
        <v>74</v>
      </c>
      <c r="P1487" s="25" t="s">
        <v>53</v>
      </c>
      <c r="Q1487" s="20" t="s">
        <v>6740</v>
      </c>
      <c r="R1487" s="20">
        <v>44114633</v>
      </c>
      <c r="S1487" s="25" t="s">
        <v>55</v>
      </c>
      <c r="T1487" s="191" t="s">
        <v>56</v>
      </c>
      <c r="U1487" s="23">
        <v>357654178369461</v>
      </c>
      <c r="V1487" s="27" t="s">
        <v>78</v>
      </c>
      <c r="W1487" s="20" t="s">
        <v>95</v>
      </c>
      <c r="X1487" s="20" t="s">
        <v>95</v>
      </c>
      <c r="Y1487" s="20" t="s">
        <v>95</v>
      </c>
      <c r="Z1487" s="20" t="s">
        <v>60</v>
      </c>
      <c r="AA1487" s="20" t="s">
        <v>61</v>
      </c>
      <c r="AB1487" s="20" t="s">
        <v>96</v>
      </c>
      <c r="AC1487" s="28">
        <v>369.83</v>
      </c>
      <c r="AD1487" s="28">
        <f>SUM(BASE[[#This Row],[MONTO DE RENTA ]]*1.16)</f>
        <v>429.00279999999998</v>
      </c>
      <c r="AE1487" s="28" t="s">
        <v>83</v>
      </c>
      <c r="AF1487" s="28">
        <v>559.48275862068965</v>
      </c>
      <c r="AG1487" s="28">
        <v>649</v>
      </c>
      <c r="AH1487" s="245" t="s">
        <v>116</v>
      </c>
      <c r="AI1487" s="246">
        <v>45350</v>
      </c>
      <c r="AJ1487" s="246">
        <v>46081</v>
      </c>
      <c r="AK1487" s="30">
        <f ca="1">IFERROR(IF(BASE[[#This Row],[FECHA DE RENOVACION ]]&gt;TODAY(), DATEDIF(TODAY(),BASE[[#This Row],[FECHA DE RENOVACION ]],"M"), -DATEDIF(BASE[[#This Row],[FECHA DE RENOVACION ]],TODAY(),"M")), "Sin fecha")</f>
        <v>0</v>
      </c>
      <c r="AL1487" s="242">
        <v>18848095</v>
      </c>
      <c r="AM1487" s="247"/>
      <c r="AN1487" s="20" t="s">
        <v>99</v>
      </c>
      <c r="AP1487" s="20" t="s">
        <v>66</v>
      </c>
      <c r="AQ1487" s="20" t="s">
        <v>100</v>
      </c>
    </row>
    <row r="1488" spans="1:43" ht="16">
      <c r="A1488" s="20">
        <v>8126806623</v>
      </c>
      <c r="B1488" s="49">
        <v>1038066</v>
      </c>
      <c r="C1488" s="20" t="s">
        <v>6741</v>
      </c>
      <c r="D1488" s="20" t="s">
        <v>1167</v>
      </c>
      <c r="E1488" s="20" t="s">
        <v>6077</v>
      </c>
      <c r="F1488" s="20" t="s">
        <v>6064</v>
      </c>
      <c r="G1488" s="20" t="s">
        <v>6064</v>
      </c>
      <c r="H1488" s="20" t="s">
        <v>199</v>
      </c>
      <c r="I1488" s="20" t="s">
        <v>6064</v>
      </c>
      <c r="J1488" s="32" t="s">
        <v>6742</v>
      </c>
      <c r="K1488" s="32" t="s">
        <v>6743</v>
      </c>
      <c r="L1488" s="23" t="s">
        <v>92</v>
      </c>
      <c r="M1488" s="24" t="s">
        <v>7738</v>
      </c>
      <c r="N1488" s="23">
        <v>18848076</v>
      </c>
      <c r="O1488" s="25" t="s">
        <v>74</v>
      </c>
      <c r="P1488" s="25" t="s">
        <v>53</v>
      </c>
      <c r="Q1488" s="20" t="s">
        <v>6744</v>
      </c>
      <c r="R1488" s="20">
        <v>44114414</v>
      </c>
      <c r="S1488" s="25" t="s">
        <v>55</v>
      </c>
      <c r="T1488" s="26" t="s">
        <v>56</v>
      </c>
      <c r="U1488" s="23">
        <v>865356065728719</v>
      </c>
      <c r="V1488" s="27" t="s">
        <v>183</v>
      </c>
      <c r="W1488" s="20" t="s">
        <v>129</v>
      </c>
      <c r="X1488" s="20" t="s">
        <v>130</v>
      </c>
      <c r="Y1488" s="20" t="s">
        <v>130</v>
      </c>
      <c r="Z1488" s="20" t="s">
        <v>60</v>
      </c>
      <c r="AA1488" s="20" t="s">
        <v>61</v>
      </c>
      <c r="AB1488" s="20" t="s">
        <v>96</v>
      </c>
      <c r="AC1488" s="28">
        <v>369.83</v>
      </c>
      <c r="AD1488" s="28">
        <f>SUM(BASE[[#This Row],[MONTO DE RENTA ]]*1.16)</f>
        <v>429.00279999999998</v>
      </c>
      <c r="AE1488" s="28" t="s">
        <v>63</v>
      </c>
      <c r="AF1488" s="28">
        <v>369.82758620689657</v>
      </c>
      <c r="AG1488" s="28">
        <v>429</v>
      </c>
      <c r="AI1488" s="63">
        <v>44937</v>
      </c>
      <c r="AJ1488" s="73">
        <v>46043</v>
      </c>
      <c r="AK14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88" s="30"/>
      <c r="AN1488" s="20" t="s">
        <v>99</v>
      </c>
      <c r="AP1488" s="20" t="s">
        <v>84</v>
      </c>
      <c r="AQ1488" s="20" t="s">
        <v>100</v>
      </c>
    </row>
    <row r="1489" spans="1:43" ht="16">
      <c r="A1489" s="20">
        <v>8123710737</v>
      </c>
      <c r="B1489" s="49">
        <v>1021392</v>
      </c>
      <c r="C1489" s="20" t="s">
        <v>6745</v>
      </c>
      <c r="D1489" s="20" t="s">
        <v>1346</v>
      </c>
      <c r="E1489" s="20" t="s">
        <v>186</v>
      </c>
      <c r="F1489" s="20" t="s">
        <v>6746</v>
      </c>
      <c r="G1489" s="20" t="s">
        <v>6746</v>
      </c>
      <c r="H1489" s="20" t="s">
        <v>199</v>
      </c>
      <c r="I1489" s="20" t="s">
        <v>6746</v>
      </c>
      <c r="J1489" s="32" t="s">
        <v>6747</v>
      </c>
      <c r="K1489" s="32" t="s">
        <v>6748</v>
      </c>
      <c r="L1489" s="23" t="s">
        <v>92</v>
      </c>
      <c r="M1489" s="24" t="s">
        <v>7738</v>
      </c>
      <c r="N1489" s="23">
        <v>18848011</v>
      </c>
      <c r="O1489" s="25" t="s">
        <v>74</v>
      </c>
      <c r="P1489" s="25" t="s">
        <v>53</v>
      </c>
      <c r="Q1489" s="20" t="s">
        <v>6749</v>
      </c>
      <c r="R1489" s="20">
        <v>44114433</v>
      </c>
      <c r="S1489" s="25" t="s">
        <v>55</v>
      </c>
      <c r="T1489" s="26" t="s">
        <v>56</v>
      </c>
      <c r="U1489" s="23">
        <v>865356065729956</v>
      </c>
      <c r="V1489" s="27" t="s">
        <v>183</v>
      </c>
      <c r="W1489" s="20" t="s">
        <v>129</v>
      </c>
      <c r="X1489" s="20" t="s">
        <v>130</v>
      </c>
      <c r="Y1489" s="20" t="s">
        <v>130</v>
      </c>
      <c r="Z1489" s="20" t="s">
        <v>60</v>
      </c>
      <c r="AA1489" s="20" t="s">
        <v>61</v>
      </c>
      <c r="AB1489" s="20" t="s">
        <v>96</v>
      </c>
      <c r="AC1489" s="28">
        <v>369.83</v>
      </c>
      <c r="AD1489" s="28">
        <f>SUM(BASE[[#This Row],[MONTO DE RENTA ]]*1.16)</f>
        <v>429.00279999999998</v>
      </c>
      <c r="AE1489" s="28" t="s">
        <v>63</v>
      </c>
      <c r="AF1489" s="28">
        <v>369.82758620689657</v>
      </c>
      <c r="AG1489" s="28">
        <v>429</v>
      </c>
      <c r="AI1489" s="29">
        <v>44937</v>
      </c>
      <c r="AJ1489" s="50">
        <v>46043</v>
      </c>
      <c r="AK148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89" s="30"/>
      <c r="AN1489" s="20" t="s">
        <v>99</v>
      </c>
      <c r="AP1489" s="20" t="s">
        <v>84</v>
      </c>
      <c r="AQ1489" s="20" t="s">
        <v>100</v>
      </c>
    </row>
    <row r="1490" spans="1:43" ht="16">
      <c r="A1490" s="20">
        <v>8119170032</v>
      </c>
      <c r="B1490" s="49">
        <v>7111</v>
      </c>
      <c r="C1490" s="20" t="s">
        <v>3583</v>
      </c>
      <c r="D1490" s="20" t="s">
        <v>358</v>
      </c>
      <c r="E1490" s="20" t="s">
        <v>5161</v>
      </c>
      <c r="F1490" s="20" t="s">
        <v>5295</v>
      </c>
      <c r="G1490" s="20" t="s">
        <v>5295</v>
      </c>
      <c r="H1490" s="20" t="s">
        <v>155</v>
      </c>
      <c r="I1490" s="20" t="s">
        <v>5295</v>
      </c>
      <c r="J1490" s="32" t="s">
        <v>6750</v>
      </c>
      <c r="K1490" s="32" t="s">
        <v>6750</v>
      </c>
      <c r="L1490" s="23" t="s">
        <v>92</v>
      </c>
      <c r="M1490" s="24" t="s">
        <v>7738</v>
      </c>
      <c r="N1490" s="23">
        <v>18848013</v>
      </c>
      <c r="O1490" s="25" t="s">
        <v>74</v>
      </c>
      <c r="P1490" s="25" t="s">
        <v>53</v>
      </c>
      <c r="Q1490" s="20" t="s">
        <v>6751</v>
      </c>
      <c r="R1490" s="20">
        <v>44918934</v>
      </c>
      <c r="S1490" s="25" t="s">
        <v>6752</v>
      </c>
      <c r="T1490" s="26" t="s">
        <v>77</v>
      </c>
      <c r="U1490" s="23">
        <v>357654178789189</v>
      </c>
      <c r="V1490" s="27" t="s">
        <v>78</v>
      </c>
      <c r="W1490" s="20" t="s">
        <v>6506</v>
      </c>
      <c r="X1490" s="20" t="s">
        <v>6506</v>
      </c>
      <c r="Y1490" s="20" t="s">
        <v>6506</v>
      </c>
      <c r="Z1490" s="20" t="s">
        <v>167</v>
      </c>
      <c r="AA1490" s="20" t="s">
        <v>168</v>
      </c>
      <c r="AB1490" s="20" t="s">
        <v>82</v>
      </c>
      <c r="AC1490" s="28">
        <v>559.48</v>
      </c>
      <c r="AD1490" s="28">
        <f>SUM(BASE[[#This Row],[MONTO DE RENTA ]]*1.16)</f>
        <v>648.99680000000001</v>
      </c>
      <c r="AE1490" s="28" t="s">
        <v>83</v>
      </c>
      <c r="AF1490" s="28">
        <v>559.48275862068965</v>
      </c>
      <c r="AG1490" s="28">
        <v>649</v>
      </c>
      <c r="AI1490" s="29">
        <v>44937</v>
      </c>
      <c r="AJ1490" s="46">
        <v>46054</v>
      </c>
      <c r="AK14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90" s="30"/>
      <c r="AN1490" s="20" t="s">
        <v>99</v>
      </c>
      <c r="AP1490" s="20" t="s">
        <v>84</v>
      </c>
      <c r="AQ1490" s="20" t="s">
        <v>100</v>
      </c>
    </row>
    <row r="1491" spans="1:43" ht="16">
      <c r="A1491" s="20">
        <v>8118205182</v>
      </c>
      <c r="B1491" s="49">
        <v>6639</v>
      </c>
      <c r="C1491" s="20" t="s">
        <v>6753</v>
      </c>
      <c r="D1491" s="20" t="s">
        <v>376</v>
      </c>
      <c r="E1491" s="20" t="s">
        <v>1144</v>
      </c>
      <c r="F1491" s="20" t="s">
        <v>6754</v>
      </c>
      <c r="G1491" s="20" t="s">
        <v>6754</v>
      </c>
      <c r="H1491" s="20" t="s">
        <v>231</v>
      </c>
      <c r="I1491" s="20" t="s">
        <v>6754</v>
      </c>
      <c r="J1491" s="22" t="s">
        <v>6755</v>
      </c>
      <c r="K1491" s="32" t="s">
        <v>6756</v>
      </c>
      <c r="L1491" s="23" t="s">
        <v>92</v>
      </c>
      <c r="M1491" s="24" t="s">
        <v>7738</v>
      </c>
      <c r="N1491" s="23">
        <v>18848062</v>
      </c>
      <c r="O1491" s="25" t="s">
        <v>74</v>
      </c>
      <c r="P1491" s="25" t="s">
        <v>53</v>
      </c>
      <c r="Q1491" s="20" t="s">
        <v>6757</v>
      </c>
      <c r="R1491" s="20">
        <v>42920451</v>
      </c>
      <c r="S1491" s="25" t="s">
        <v>55</v>
      </c>
      <c r="T1491" s="26" t="s">
        <v>56</v>
      </c>
      <c r="U1491" s="23">
        <v>353970262699884</v>
      </c>
      <c r="V1491" s="27" t="s">
        <v>78</v>
      </c>
      <c r="W1491" s="20" t="s">
        <v>95</v>
      </c>
      <c r="X1491" s="20" t="s">
        <v>95</v>
      </c>
      <c r="Y1491" s="20" t="s">
        <v>95</v>
      </c>
      <c r="Z1491" s="20" t="s">
        <v>584</v>
      </c>
      <c r="AA1491" s="20" t="s">
        <v>585</v>
      </c>
      <c r="AB1491" s="20" t="s">
        <v>82</v>
      </c>
      <c r="AC1491" s="28">
        <v>559.48</v>
      </c>
      <c r="AD1491" s="28">
        <f>SUM(BASE[[#This Row],[MONTO DE RENTA ]]*1.16)</f>
        <v>648.99680000000001</v>
      </c>
      <c r="AE1491" s="28" t="s">
        <v>83</v>
      </c>
      <c r="AF1491" s="28">
        <v>559.48275862068965</v>
      </c>
      <c r="AG1491" s="28">
        <v>649</v>
      </c>
      <c r="AI1491" s="29">
        <v>44937</v>
      </c>
      <c r="AJ1491" s="50">
        <v>46043</v>
      </c>
      <c r="AK14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91" s="30"/>
      <c r="AN1491" s="20" t="s">
        <v>99</v>
      </c>
      <c r="AP1491" s="20" t="s">
        <v>84</v>
      </c>
      <c r="AQ1491" s="20" t="s">
        <v>100</v>
      </c>
    </row>
    <row r="1492" spans="1:43" ht="16">
      <c r="A1492" s="242">
        <v>8113907325</v>
      </c>
      <c r="B1492" s="298">
        <v>1023192</v>
      </c>
      <c r="C1492" s="20" t="s">
        <v>6758</v>
      </c>
      <c r="D1492" s="20" t="s">
        <v>160</v>
      </c>
      <c r="E1492" s="20" t="s">
        <v>1362</v>
      </c>
      <c r="F1492" s="20" t="s">
        <v>6759</v>
      </c>
      <c r="G1492" s="20" t="s">
        <v>6759</v>
      </c>
      <c r="H1492" s="20" t="s">
        <v>5381</v>
      </c>
      <c r="I1492" s="20" t="s">
        <v>6759</v>
      </c>
      <c r="J1492" s="244" t="s">
        <v>6760</v>
      </c>
      <c r="K1492" s="244" t="s">
        <v>6761</v>
      </c>
      <c r="L1492" s="23" t="s">
        <v>92</v>
      </c>
      <c r="M1492" s="24" t="s">
        <v>7738</v>
      </c>
      <c r="N1492" s="23">
        <v>18848025</v>
      </c>
      <c r="O1492" s="25" t="s">
        <v>74</v>
      </c>
      <c r="P1492" s="25" t="s">
        <v>53</v>
      </c>
      <c r="Q1492" s="20" t="s">
        <v>6762</v>
      </c>
      <c r="R1492" s="20">
        <v>42977444</v>
      </c>
      <c r="S1492" s="25" t="s">
        <v>55</v>
      </c>
      <c r="T1492" s="191" t="s">
        <v>56</v>
      </c>
      <c r="U1492" s="23">
        <v>357654179245785</v>
      </c>
      <c r="V1492" s="27" t="s">
        <v>78</v>
      </c>
      <c r="W1492" s="20" t="s">
        <v>95</v>
      </c>
      <c r="X1492" s="20" t="s">
        <v>95</v>
      </c>
      <c r="Y1492" s="20" t="s">
        <v>95</v>
      </c>
      <c r="Z1492" s="20" t="s">
        <v>60</v>
      </c>
      <c r="AA1492" s="20" t="s">
        <v>61</v>
      </c>
      <c r="AB1492" s="20" t="s">
        <v>96</v>
      </c>
      <c r="AC1492" s="28">
        <v>369.83</v>
      </c>
      <c r="AD1492" s="28">
        <f>SUM(BASE[[#This Row],[MONTO DE RENTA ]]*1.16)</f>
        <v>429.00279999999998</v>
      </c>
      <c r="AE1492" s="28" t="s">
        <v>83</v>
      </c>
      <c r="AF1492" s="28">
        <v>559.48275862068965</v>
      </c>
      <c r="AG1492" s="28">
        <v>649</v>
      </c>
      <c r="AH1492" s="245" t="s">
        <v>98</v>
      </c>
      <c r="AI1492" s="309">
        <v>45433</v>
      </c>
      <c r="AJ1492" s="309">
        <v>46163</v>
      </c>
      <c r="AK1492" s="30">
        <f ca="1">IFERROR(IF(BASE[[#This Row],[FECHA DE RENOVACION ]]&gt;TODAY(), DATEDIF(TODAY(),BASE[[#This Row],[FECHA DE RENOVACION ]],"M"), -DATEDIF(BASE[[#This Row],[FECHA DE RENOVACION ]],TODAY(),"M")), "Sin fecha")</f>
        <v>2</v>
      </c>
      <c r="AL1492" s="242"/>
      <c r="AM1492" s="247"/>
      <c r="AN1492" s="20" t="s">
        <v>99</v>
      </c>
      <c r="AP1492" s="20" t="s">
        <v>66</v>
      </c>
      <c r="AQ1492" s="20" t="s">
        <v>100</v>
      </c>
    </row>
    <row r="1493" spans="1:43" ht="16">
      <c r="A1493" s="20">
        <v>8115311518</v>
      </c>
      <c r="B1493" s="21">
        <v>1006352</v>
      </c>
      <c r="C1493" s="20" t="s">
        <v>6763</v>
      </c>
      <c r="D1493" s="20" t="s">
        <v>456</v>
      </c>
      <c r="E1493" s="20" t="s">
        <v>741</v>
      </c>
      <c r="F1493" s="20" t="s">
        <v>6764</v>
      </c>
      <c r="G1493" s="20" t="s">
        <v>6764</v>
      </c>
      <c r="H1493" s="20" t="s">
        <v>5730</v>
      </c>
      <c r="I1493" s="20" t="s">
        <v>6764</v>
      </c>
      <c r="J1493" s="22" t="s">
        <v>6765</v>
      </c>
      <c r="K1493" s="22" t="s">
        <v>6765</v>
      </c>
      <c r="L1493" s="23" t="s">
        <v>92</v>
      </c>
      <c r="M1493" s="24" t="s">
        <v>7738</v>
      </c>
      <c r="N1493" s="23">
        <v>18848015</v>
      </c>
      <c r="O1493" s="25" t="s">
        <v>74</v>
      </c>
      <c r="P1493" s="25" t="s">
        <v>53</v>
      </c>
      <c r="Q1493" s="20" t="s">
        <v>6766</v>
      </c>
      <c r="R1493" s="20">
        <v>43875642</v>
      </c>
      <c r="S1493" s="25" t="s">
        <v>6767</v>
      </c>
      <c r="T1493" s="26" t="s">
        <v>57</v>
      </c>
      <c r="U1493" s="23">
        <v>860900062732516</v>
      </c>
      <c r="V1493" s="27" t="s">
        <v>57</v>
      </c>
      <c r="W1493" s="20" t="s">
        <v>58</v>
      </c>
      <c r="X1493" s="20" t="s">
        <v>59</v>
      </c>
      <c r="Y1493" s="20" t="s">
        <v>59</v>
      </c>
      <c r="Z1493" s="20" t="s">
        <v>167</v>
      </c>
      <c r="AA1493" s="20" t="s">
        <v>168</v>
      </c>
      <c r="AB1493" s="20" t="s">
        <v>96</v>
      </c>
      <c r="AC1493" s="28">
        <v>369.83</v>
      </c>
      <c r="AD1493" s="28">
        <f>SUM(BASE[[#This Row],[MONTO DE RENTA ]]*1.16)</f>
        <v>429.00279999999998</v>
      </c>
      <c r="AE1493" s="28" t="s">
        <v>63</v>
      </c>
      <c r="AF1493" s="28">
        <v>369.82758620689657</v>
      </c>
      <c r="AG1493" s="28">
        <v>429</v>
      </c>
      <c r="AH1493" s="22" t="s">
        <v>64</v>
      </c>
      <c r="AI1493" s="29">
        <v>45703</v>
      </c>
      <c r="AJ1493" s="29">
        <v>46433</v>
      </c>
      <c r="AK14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93" s="30"/>
      <c r="AN1493" s="20" t="s">
        <v>65</v>
      </c>
      <c r="AP1493" s="20" t="s">
        <v>84</v>
      </c>
    </row>
    <row r="1494" spans="1:43" ht="16">
      <c r="A1494" s="20">
        <v>8118210612</v>
      </c>
      <c r="B1494" s="21">
        <v>1019347</v>
      </c>
      <c r="C1494" s="20" t="s">
        <v>6768</v>
      </c>
      <c r="D1494" s="20" t="s">
        <v>1135</v>
      </c>
      <c r="E1494" s="20" t="s">
        <v>973</v>
      </c>
      <c r="F1494" s="20" t="s">
        <v>6769</v>
      </c>
      <c r="G1494" s="20" t="s">
        <v>6769</v>
      </c>
      <c r="H1494" s="20" t="s">
        <v>5381</v>
      </c>
      <c r="I1494" s="20" t="s">
        <v>6769</v>
      </c>
      <c r="J1494" s="32" t="s">
        <v>6770</v>
      </c>
      <c r="K1494" s="32" t="s">
        <v>6770</v>
      </c>
      <c r="L1494" s="23" t="s">
        <v>92</v>
      </c>
      <c r="M1494" s="24" t="s">
        <v>7738</v>
      </c>
      <c r="N1494" s="23">
        <v>18848025</v>
      </c>
      <c r="O1494" s="25" t="s">
        <v>74</v>
      </c>
      <c r="P1494" s="25" t="s">
        <v>53</v>
      </c>
      <c r="Q1494" s="20" t="s">
        <v>6771</v>
      </c>
      <c r="R1494" s="20">
        <v>43132035</v>
      </c>
      <c r="S1494" s="25" t="s">
        <v>6772</v>
      </c>
      <c r="T1494" s="26" t="s">
        <v>57</v>
      </c>
      <c r="U1494" s="23">
        <v>860900062238605</v>
      </c>
      <c r="V1494" s="27" t="s">
        <v>57</v>
      </c>
      <c r="W1494" s="20" t="s">
        <v>58</v>
      </c>
      <c r="X1494" s="20" t="s">
        <v>59</v>
      </c>
      <c r="Y1494" s="20" t="s">
        <v>59</v>
      </c>
      <c r="Z1494" s="20" t="s">
        <v>131</v>
      </c>
      <c r="AA1494" s="20" t="s">
        <v>132</v>
      </c>
      <c r="AB1494" s="20" t="s">
        <v>96</v>
      </c>
      <c r="AC1494" s="28">
        <v>369.83</v>
      </c>
      <c r="AD1494" s="28">
        <f>SUM(BASE[[#This Row],[MONTO DE RENTA ]]*1.16)</f>
        <v>429.00279999999998</v>
      </c>
      <c r="AE1494" s="28" t="s">
        <v>63</v>
      </c>
      <c r="AF1494" s="28">
        <v>369.82758620689657</v>
      </c>
      <c r="AG1494" s="28">
        <v>429</v>
      </c>
      <c r="AH1494" s="22" t="s">
        <v>98</v>
      </c>
      <c r="AI1494" s="63">
        <v>45868</v>
      </c>
      <c r="AJ1494" s="63">
        <v>46598</v>
      </c>
      <c r="AK1494" s="30">
        <f ca="1">IFERROR(IF(BASE[[#This Row],[FECHA DE RENOVACION ]]&gt;TODAY(), DATEDIF(TODAY(),BASE[[#This Row],[FECHA DE RENOVACION ]],"M"), -DATEDIF(BASE[[#This Row],[FECHA DE RENOVACION ]],TODAY(),"M")), "Sin fecha")</f>
        <v>16</v>
      </c>
      <c r="AM1494" s="30"/>
      <c r="AN1494" s="20" t="s">
        <v>65</v>
      </c>
      <c r="AP1494" s="20" t="s">
        <v>84</v>
      </c>
    </row>
    <row r="1495" spans="1:43" ht="16">
      <c r="A1495" s="20">
        <v>8112605081</v>
      </c>
      <c r="B1495" s="21">
        <v>6254</v>
      </c>
      <c r="C1495" s="20" t="s">
        <v>6773</v>
      </c>
      <c r="D1495" s="20" t="s">
        <v>247</v>
      </c>
      <c r="E1495" s="20" t="s">
        <v>1182</v>
      </c>
      <c r="F1495" s="20" t="s">
        <v>5329</v>
      </c>
      <c r="G1495" s="20" t="s">
        <v>5329</v>
      </c>
      <c r="H1495" s="20" t="s">
        <v>155</v>
      </c>
      <c r="I1495" s="20" t="s">
        <v>5329</v>
      </c>
      <c r="J1495" s="22" t="s">
        <v>6774</v>
      </c>
      <c r="K1495" s="32" t="s">
        <v>6775</v>
      </c>
      <c r="L1495" s="23" t="s">
        <v>92</v>
      </c>
      <c r="M1495" s="24" t="s">
        <v>7738</v>
      </c>
      <c r="N1495" s="23">
        <v>18848002</v>
      </c>
      <c r="O1495" s="25" t="s">
        <v>74</v>
      </c>
      <c r="P1495" s="25" t="s">
        <v>53</v>
      </c>
      <c r="Q1495" s="20" t="s">
        <v>6776</v>
      </c>
      <c r="R1495" s="20">
        <v>43056269</v>
      </c>
      <c r="S1495" s="25" t="s">
        <v>6777</v>
      </c>
      <c r="T1495" s="26" t="s">
        <v>57</v>
      </c>
      <c r="U1495" s="23">
        <v>860900062335823</v>
      </c>
      <c r="V1495" s="27" t="s">
        <v>57</v>
      </c>
      <c r="W1495" s="20" t="s">
        <v>58</v>
      </c>
      <c r="X1495" s="20" t="s">
        <v>59</v>
      </c>
      <c r="Y1495" s="20" t="s">
        <v>59</v>
      </c>
      <c r="Z1495" s="20" t="s">
        <v>167</v>
      </c>
      <c r="AA1495" s="20" t="s">
        <v>168</v>
      </c>
      <c r="AB1495" s="20" t="s">
        <v>96</v>
      </c>
      <c r="AC1495" s="28">
        <v>369.83</v>
      </c>
      <c r="AD1495" s="28">
        <f>SUM(BASE[[#This Row],[MONTO DE RENTA ]]*1.16)</f>
        <v>429.00279999999998</v>
      </c>
      <c r="AE1495" s="28" t="s">
        <v>63</v>
      </c>
      <c r="AF1495" s="28">
        <v>369.82758620689657</v>
      </c>
      <c r="AG1495" s="28">
        <v>429</v>
      </c>
      <c r="AH1495" s="22" t="s">
        <v>64</v>
      </c>
      <c r="AI1495" s="29">
        <v>45703</v>
      </c>
      <c r="AJ1495" s="29">
        <v>46433</v>
      </c>
      <c r="AK14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95" s="30"/>
      <c r="AN1495" s="20" t="s">
        <v>65</v>
      </c>
      <c r="AP1495" s="20" t="s">
        <v>84</v>
      </c>
    </row>
    <row r="1496" spans="1:43" ht="16">
      <c r="A1496" s="20">
        <v>8120406548</v>
      </c>
      <c r="B1496" s="49">
        <v>1057632</v>
      </c>
      <c r="C1496" s="20" t="s">
        <v>1653</v>
      </c>
      <c r="D1496" s="20" t="s">
        <v>1654</v>
      </c>
      <c r="E1496" s="20" t="s">
        <v>1655</v>
      </c>
      <c r="F1496" s="20" t="s">
        <v>1656</v>
      </c>
      <c r="G1496" s="20" t="s">
        <v>1656</v>
      </c>
      <c r="H1496" s="20" t="s">
        <v>1657</v>
      </c>
      <c r="I1496" s="20" t="s">
        <v>1658</v>
      </c>
      <c r="J1496" s="54" t="s">
        <v>6778</v>
      </c>
      <c r="K1496" s="54" t="s">
        <v>6778</v>
      </c>
      <c r="L1496" s="23" t="s">
        <v>92</v>
      </c>
      <c r="M1496" s="24" t="s">
        <v>7738</v>
      </c>
      <c r="N1496" s="23" t="s">
        <v>1661</v>
      </c>
      <c r="O1496" s="25" t="s">
        <v>74</v>
      </c>
      <c r="P1496" s="25" t="s">
        <v>53</v>
      </c>
      <c r="Q1496" s="20" t="s">
        <v>6779</v>
      </c>
      <c r="R1496" s="20">
        <v>45142574</v>
      </c>
      <c r="S1496" s="25" t="s">
        <v>6780</v>
      </c>
      <c r="T1496" s="278" t="s">
        <v>77</v>
      </c>
      <c r="U1496" s="23">
        <v>860900060903846</v>
      </c>
      <c r="V1496" s="27" t="s">
        <v>183</v>
      </c>
      <c r="W1496" s="20" t="s">
        <v>58</v>
      </c>
      <c r="X1496" s="20" t="s">
        <v>59</v>
      </c>
      <c r="Y1496" s="20" t="s">
        <v>59</v>
      </c>
      <c r="Z1496" s="20" t="s">
        <v>131</v>
      </c>
      <c r="AA1496" s="20" t="s">
        <v>132</v>
      </c>
      <c r="AB1496" s="20" t="s">
        <v>96</v>
      </c>
      <c r="AC1496" s="28">
        <v>369.83</v>
      </c>
      <c r="AD1496" s="28">
        <f>SUM(BASE[[#This Row],[MONTO DE RENTA ]]*1.16)</f>
        <v>429.00279999999998</v>
      </c>
      <c r="AE1496" s="28" t="s">
        <v>63</v>
      </c>
      <c r="AF1496" s="28">
        <v>369.82758620689657</v>
      </c>
      <c r="AG1496" s="28">
        <v>429</v>
      </c>
      <c r="AI1496" s="29">
        <v>45940</v>
      </c>
      <c r="AJ1496" s="29">
        <v>46438</v>
      </c>
      <c r="AK14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96" s="30"/>
      <c r="AN1496" s="20" t="s">
        <v>65</v>
      </c>
      <c r="AP1496" s="20" t="s">
        <v>84</v>
      </c>
    </row>
    <row r="1497" spans="1:43" ht="16">
      <c r="A1497" s="20">
        <v>8128611315</v>
      </c>
      <c r="B1497" s="21">
        <v>1043818</v>
      </c>
      <c r="C1497" s="20" t="s">
        <v>6781</v>
      </c>
      <c r="D1497" s="20" t="s">
        <v>1067</v>
      </c>
      <c r="E1497" s="20" t="s">
        <v>2592</v>
      </c>
      <c r="F1497" s="20" t="s">
        <v>6782</v>
      </c>
      <c r="G1497" s="20" t="s">
        <v>6782</v>
      </c>
      <c r="H1497" s="20" t="s">
        <v>199</v>
      </c>
      <c r="I1497" s="20" t="s">
        <v>6782</v>
      </c>
      <c r="J1497" s="22" t="s">
        <v>6783</v>
      </c>
      <c r="K1497" s="22" t="s">
        <v>6783</v>
      </c>
      <c r="L1497" s="23" t="s">
        <v>92</v>
      </c>
      <c r="M1497" s="24" t="s">
        <v>7738</v>
      </c>
      <c r="N1497" s="23">
        <v>18848009</v>
      </c>
      <c r="O1497" s="25" t="s">
        <v>74</v>
      </c>
      <c r="P1497" s="25" t="s">
        <v>53</v>
      </c>
      <c r="Q1497" s="20" t="s">
        <v>6784</v>
      </c>
      <c r="R1497" s="20">
        <v>45017318</v>
      </c>
      <c r="S1497" s="25" t="s">
        <v>6785</v>
      </c>
      <c r="T1497" s="26" t="s">
        <v>57</v>
      </c>
      <c r="U1497" s="23">
        <v>860900062337977</v>
      </c>
      <c r="V1497" s="27" t="s">
        <v>57</v>
      </c>
      <c r="W1497" s="20" t="s">
        <v>58</v>
      </c>
      <c r="X1497" s="20" t="s">
        <v>59</v>
      </c>
      <c r="Y1497" s="20" t="s">
        <v>59</v>
      </c>
      <c r="Z1497" s="20" t="s">
        <v>167</v>
      </c>
      <c r="AA1497" s="20" t="s">
        <v>168</v>
      </c>
      <c r="AB1497" s="20" t="s">
        <v>96</v>
      </c>
      <c r="AC1497" s="28">
        <v>369.83</v>
      </c>
      <c r="AD1497" s="28">
        <f>SUM(BASE[[#This Row],[MONTO DE RENTA ]]*1.16)</f>
        <v>429.00279999999998</v>
      </c>
      <c r="AE1497" s="28" t="s">
        <v>63</v>
      </c>
      <c r="AF1497" s="28">
        <v>369.82758620689657</v>
      </c>
      <c r="AG1497" s="28">
        <v>429</v>
      </c>
      <c r="AH1497" s="22" t="s">
        <v>64</v>
      </c>
      <c r="AI1497" s="63">
        <v>45713</v>
      </c>
      <c r="AJ1497" s="63">
        <v>46433</v>
      </c>
      <c r="AK14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97" s="30"/>
      <c r="AN1497" s="20" t="s">
        <v>65</v>
      </c>
      <c r="AP1497" s="20" t="s">
        <v>84</v>
      </c>
    </row>
    <row r="1498" spans="1:43" ht="16">
      <c r="A1498" s="20">
        <v>8116004453</v>
      </c>
      <c r="B1498" s="49">
        <v>260032</v>
      </c>
      <c r="C1498" s="20" t="s">
        <v>1653</v>
      </c>
      <c r="D1498" s="20" t="s">
        <v>1654</v>
      </c>
      <c r="E1498" s="20" t="s">
        <v>1655</v>
      </c>
      <c r="F1498" s="20" t="s">
        <v>1656</v>
      </c>
      <c r="G1498" s="20" t="s">
        <v>1656</v>
      </c>
      <c r="H1498" s="20" t="s">
        <v>1657</v>
      </c>
      <c r="I1498" s="20" t="s">
        <v>1658</v>
      </c>
      <c r="J1498" s="22" t="s">
        <v>6786</v>
      </c>
      <c r="K1498" s="32" t="s">
        <v>6787</v>
      </c>
      <c r="L1498" s="23" t="s">
        <v>92</v>
      </c>
      <c r="M1498" s="24" t="s">
        <v>7738</v>
      </c>
      <c r="N1498" s="23" t="s">
        <v>1661</v>
      </c>
      <c r="O1498" s="25" t="s">
        <v>74</v>
      </c>
      <c r="P1498" s="25" t="s">
        <v>53</v>
      </c>
      <c r="Q1498" s="20" t="s">
        <v>6788</v>
      </c>
      <c r="R1498" s="20">
        <v>44114459</v>
      </c>
      <c r="S1498" s="25" t="s">
        <v>55</v>
      </c>
      <c r="T1498" s="26" t="s">
        <v>56</v>
      </c>
      <c r="U1498" s="23" t="s">
        <v>193</v>
      </c>
      <c r="V1498" s="27" t="s">
        <v>78</v>
      </c>
      <c r="W1498" s="20" t="s">
        <v>194</v>
      </c>
      <c r="X1498" s="20" t="s">
        <v>194</v>
      </c>
      <c r="Y1498" s="20" t="s">
        <v>194</v>
      </c>
      <c r="Z1498" s="20" t="s">
        <v>60</v>
      </c>
      <c r="AA1498" s="20" t="s">
        <v>61</v>
      </c>
      <c r="AB1498" s="20" t="s">
        <v>96</v>
      </c>
      <c r="AC1498" s="28">
        <v>369.83</v>
      </c>
      <c r="AD1498" s="28">
        <f>SUM(BASE[[#This Row],[MONTO DE RENTA ]]*1.16)</f>
        <v>429.00279999999998</v>
      </c>
      <c r="AE1498" s="28" t="s">
        <v>83</v>
      </c>
      <c r="AF1498" s="28">
        <v>559.48275862068965</v>
      </c>
      <c r="AG1498" s="28">
        <v>649</v>
      </c>
      <c r="AI1498" s="63">
        <v>44937</v>
      </c>
      <c r="AJ1498" s="73">
        <v>46043</v>
      </c>
      <c r="AK149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498" s="30"/>
      <c r="AN1498" s="20" t="s">
        <v>99</v>
      </c>
      <c r="AP1498" s="20" t="s">
        <v>66</v>
      </c>
      <c r="AQ1498" s="20" t="s">
        <v>100</v>
      </c>
    </row>
    <row r="1499" spans="1:43" ht="16">
      <c r="A1499" s="20">
        <v>8120402923</v>
      </c>
      <c r="B1499" s="76">
        <v>6275</v>
      </c>
      <c r="C1499" s="20" t="s">
        <v>1648</v>
      </c>
      <c r="D1499" s="20" t="s">
        <v>45</v>
      </c>
      <c r="E1499" s="20" t="s">
        <v>2627</v>
      </c>
      <c r="F1499" s="20" t="s">
        <v>6789</v>
      </c>
      <c r="G1499" s="20" t="s">
        <v>6789</v>
      </c>
      <c r="H1499" s="20" t="s">
        <v>5320</v>
      </c>
      <c r="I1499" s="20" t="s">
        <v>6789</v>
      </c>
      <c r="J1499" s="37" t="s">
        <v>6790</v>
      </c>
      <c r="K1499" s="37" t="s">
        <v>6790</v>
      </c>
      <c r="L1499" s="23" t="s">
        <v>92</v>
      </c>
      <c r="M1499" s="24" t="s">
        <v>7738</v>
      </c>
      <c r="N1499" s="23">
        <v>18848067</v>
      </c>
      <c r="O1499" s="25" t="s">
        <v>74</v>
      </c>
      <c r="P1499" s="25" t="s">
        <v>53</v>
      </c>
      <c r="Q1499" s="20" t="s">
        <v>6791</v>
      </c>
      <c r="R1499" s="20">
        <v>43791878</v>
      </c>
      <c r="S1499" s="25" t="s">
        <v>6792</v>
      </c>
      <c r="T1499" s="65" t="s">
        <v>57</v>
      </c>
      <c r="U1499" s="23">
        <v>860478060659841</v>
      </c>
      <c r="V1499" s="27" t="s">
        <v>183</v>
      </c>
      <c r="W1499" s="20" t="s">
        <v>302</v>
      </c>
      <c r="X1499" s="20" t="s">
        <v>303</v>
      </c>
      <c r="Y1499" s="20" t="s">
        <v>303</v>
      </c>
      <c r="Z1499" s="20" t="s">
        <v>131</v>
      </c>
      <c r="AA1499" s="20" t="s">
        <v>132</v>
      </c>
      <c r="AB1499" s="20" t="s">
        <v>96</v>
      </c>
      <c r="AC1499" s="28">
        <v>369.83</v>
      </c>
      <c r="AD1499" s="28">
        <f>SUM(BASE[[#This Row],[MONTO DE RENTA ]]*1.16)</f>
        <v>429.00279999999998</v>
      </c>
      <c r="AE1499" s="28" t="s">
        <v>63</v>
      </c>
      <c r="AF1499" s="28">
        <v>369.82758620689657</v>
      </c>
      <c r="AG1499" s="28">
        <v>429</v>
      </c>
      <c r="AH1499" s="22" t="s">
        <v>98</v>
      </c>
      <c r="AI1499" s="63">
        <v>45343</v>
      </c>
      <c r="AJ1499" s="63">
        <v>46436</v>
      </c>
      <c r="AK149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499" s="30"/>
      <c r="AN1499" s="20" t="s">
        <v>99</v>
      </c>
      <c r="AP1499" s="20" t="s">
        <v>84</v>
      </c>
      <c r="AQ1499" s="20" t="s">
        <v>100</v>
      </c>
    </row>
    <row r="1500" spans="1:43" ht="16">
      <c r="A1500" s="20">
        <v>8119991112</v>
      </c>
      <c r="B1500" s="21">
        <v>1024165</v>
      </c>
      <c r="C1500" s="20" t="s">
        <v>6793</v>
      </c>
      <c r="D1500" s="20" t="s">
        <v>598</v>
      </c>
      <c r="E1500" s="20" t="s">
        <v>6707</v>
      </c>
      <c r="F1500" s="20" t="s">
        <v>6794</v>
      </c>
      <c r="G1500" s="20" t="s">
        <v>6794</v>
      </c>
      <c r="H1500" s="20" t="s">
        <v>5289</v>
      </c>
      <c r="I1500" s="20" t="s">
        <v>6794</v>
      </c>
      <c r="J1500" s="22" t="s">
        <v>6795</v>
      </c>
      <c r="K1500" s="32" t="s">
        <v>6796</v>
      </c>
      <c r="L1500" s="23" t="s">
        <v>92</v>
      </c>
      <c r="M1500" s="24" t="s">
        <v>7738</v>
      </c>
      <c r="N1500" s="23">
        <v>18848027</v>
      </c>
      <c r="O1500" s="25" t="s">
        <v>74</v>
      </c>
      <c r="P1500" s="25" t="s">
        <v>53</v>
      </c>
      <c r="Q1500" s="20" t="s">
        <v>6797</v>
      </c>
      <c r="R1500" s="20">
        <v>43149868</v>
      </c>
      <c r="S1500" s="25" t="s">
        <v>6798</v>
      </c>
      <c r="T1500" s="26" t="s">
        <v>57</v>
      </c>
      <c r="U1500" s="23">
        <v>860900062238639</v>
      </c>
      <c r="V1500" s="27" t="s">
        <v>57</v>
      </c>
      <c r="W1500" s="20" t="s">
        <v>58</v>
      </c>
      <c r="X1500" s="20" t="s">
        <v>59</v>
      </c>
      <c r="Y1500" s="20" t="s">
        <v>59</v>
      </c>
      <c r="Z1500" s="20" t="s">
        <v>131</v>
      </c>
      <c r="AA1500" s="20" t="s">
        <v>132</v>
      </c>
      <c r="AB1500" s="20" t="s">
        <v>96</v>
      </c>
      <c r="AC1500" s="28">
        <v>369.83</v>
      </c>
      <c r="AD1500" s="28">
        <f>SUM(BASE[[#This Row],[MONTO DE RENTA ]]*1.16)</f>
        <v>429.00279999999998</v>
      </c>
      <c r="AE1500" s="28" t="s">
        <v>63</v>
      </c>
      <c r="AF1500" s="28">
        <v>369.82758620689657</v>
      </c>
      <c r="AG1500" s="28">
        <v>429</v>
      </c>
      <c r="AH1500" s="22" t="s">
        <v>64</v>
      </c>
      <c r="AI1500" s="29">
        <v>45703</v>
      </c>
      <c r="AJ1500" s="29">
        <v>46433</v>
      </c>
      <c r="AK15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00" s="30"/>
      <c r="AN1500" s="20" t="s">
        <v>65</v>
      </c>
      <c r="AP1500" s="20" t="s">
        <v>84</v>
      </c>
    </row>
    <row r="1501" spans="1:43" ht="16">
      <c r="A1501" s="20">
        <v>5533424602</v>
      </c>
      <c r="B1501" s="49">
        <v>20954</v>
      </c>
      <c r="C1501" s="20" t="s">
        <v>6799</v>
      </c>
      <c r="D1501" s="20" t="s">
        <v>933</v>
      </c>
      <c r="E1501" s="20" t="s">
        <v>6800</v>
      </c>
      <c r="F1501" s="20" t="s">
        <v>5443</v>
      </c>
      <c r="G1501" s="20" t="s">
        <v>5443</v>
      </c>
      <c r="H1501" s="20" t="s">
        <v>5320</v>
      </c>
      <c r="I1501" s="20" t="s">
        <v>5443</v>
      </c>
      <c r="J1501" s="22" t="s">
        <v>6801</v>
      </c>
      <c r="K1501" s="22" t="s">
        <v>6802</v>
      </c>
      <c r="L1501" s="23" t="s">
        <v>92</v>
      </c>
      <c r="M1501" s="24" t="s">
        <v>7738</v>
      </c>
      <c r="N1501" s="23">
        <v>18848067</v>
      </c>
      <c r="O1501" s="25" t="s">
        <v>52</v>
      </c>
      <c r="P1501" s="25" t="s">
        <v>53</v>
      </c>
      <c r="Q1501" s="20" t="s">
        <v>6803</v>
      </c>
      <c r="R1501" s="20">
        <v>9813356</v>
      </c>
      <c r="S1501" s="25" t="s">
        <v>55</v>
      </c>
      <c r="T1501" s="26" t="s">
        <v>56</v>
      </c>
      <c r="U1501" s="23">
        <v>860982060896576</v>
      </c>
      <c r="V1501" s="27" t="s">
        <v>183</v>
      </c>
      <c r="W1501" s="20" t="s">
        <v>129</v>
      </c>
      <c r="X1501" s="20" t="s">
        <v>130</v>
      </c>
      <c r="Y1501" s="20" t="s">
        <v>130</v>
      </c>
      <c r="Z1501" s="20" t="s">
        <v>60</v>
      </c>
      <c r="AA1501" s="20" t="s">
        <v>61</v>
      </c>
      <c r="AB1501" s="20" t="s">
        <v>96</v>
      </c>
      <c r="AC1501" s="28">
        <v>369.83</v>
      </c>
      <c r="AD1501" s="28">
        <f>SUM(BASE[[#This Row],[MONTO DE RENTA ]]*1.16)</f>
        <v>429.00279999999998</v>
      </c>
      <c r="AE1501" s="28" t="s">
        <v>63</v>
      </c>
      <c r="AF1501" s="28">
        <v>369.82758620689657</v>
      </c>
      <c r="AG1501" s="28">
        <v>429</v>
      </c>
      <c r="AI1501" s="63">
        <v>44937</v>
      </c>
      <c r="AJ1501" s="73">
        <v>46043</v>
      </c>
      <c r="AK150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1" s="30"/>
      <c r="AN1501" s="20" t="s">
        <v>99</v>
      </c>
      <c r="AP1501" s="20" t="s">
        <v>84</v>
      </c>
      <c r="AQ1501" s="20" t="s">
        <v>100</v>
      </c>
    </row>
    <row r="1502" spans="1:43" ht="16">
      <c r="A1502" s="20">
        <v>8123502668</v>
      </c>
      <c r="B1502" s="48">
        <v>1039024</v>
      </c>
      <c r="C1502" s="20" t="s">
        <v>2390</v>
      </c>
      <c r="D1502" s="20" t="s">
        <v>765</v>
      </c>
      <c r="E1502" s="20" t="s">
        <v>376</v>
      </c>
      <c r="F1502" s="20" t="s">
        <v>5855</v>
      </c>
      <c r="G1502" s="20" t="s">
        <v>5855</v>
      </c>
      <c r="H1502" s="20" t="s">
        <v>208</v>
      </c>
      <c r="I1502" s="20" t="s">
        <v>5855</v>
      </c>
      <c r="J1502" s="22" t="s">
        <v>6804</v>
      </c>
      <c r="K1502" s="22" t="s">
        <v>6804</v>
      </c>
      <c r="L1502" s="23" t="s">
        <v>92</v>
      </c>
      <c r="M1502" s="24" t="s">
        <v>7738</v>
      </c>
      <c r="N1502" s="23">
        <v>18848050</v>
      </c>
      <c r="O1502" s="25" t="s">
        <v>74</v>
      </c>
      <c r="P1502" s="25" t="s">
        <v>53</v>
      </c>
      <c r="Q1502" s="20" t="s">
        <v>6805</v>
      </c>
      <c r="R1502" s="20">
        <v>45142584</v>
      </c>
      <c r="S1502" s="25" t="s">
        <v>6806</v>
      </c>
      <c r="T1502" s="26" t="s">
        <v>57</v>
      </c>
      <c r="U1502" s="23">
        <v>860900062338421</v>
      </c>
      <c r="V1502" s="27" t="s">
        <v>57</v>
      </c>
      <c r="W1502" s="20" t="s">
        <v>58</v>
      </c>
      <c r="X1502" s="20" t="s">
        <v>59</v>
      </c>
      <c r="Y1502" s="20" t="s">
        <v>59</v>
      </c>
      <c r="Z1502" s="20" t="s">
        <v>167</v>
      </c>
      <c r="AA1502" s="20" t="s">
        <v>168</v>
      </c>
      <c r="AB1502" s="20" t="s">
        <v>96</v>
      </c>
      <c r="AC1502" s="28">
        <v>369.83</v>
      </c>
      <c r="AD1502" s="28">
        <f>SUM(BASE[[#This Row],[MONTO DE RENTA ]]*1.16)</f>
        <v>429.00279999999998</v>
      </c>
      <c r="AE1502" s="28" t="s">
        <v>63</v>
      </c>
      <c r="AF1502" s="28">
        <v>369.82758620689657</v>
      </c>
      <c r="AG1502" s="28">
        <v>429</v>
      </c>
      <c r="AH1502" s="22" t="s">
        <v>64</v>
      </c>
      <c r="AI1502" s="63">
        <v>45703</v>
      </c>
      <c r="AJ1502" s="63">
        <v>46433</v>
      </c>
      <c r="AK15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02" s="30"/>
      <c r="AN1502" s="20" t="s">
        <v>65</v>
      </c>
      <c r="AP1502" s="20" t="s">
        <v>84</v>
      </c>
    </row>
    <row r="1503" spans="1:43" ht="16">
      <c r="A1503" s="20">
        <v>8113214736</v>
      </c>
      <c r="B1503" s="21">
        <v>6283</v>
      </c>
      <c r="C1503" s="20" t="s">
        <v>6807</v>
      </c>
      <c r="D1503" s="20" t="s">
        <v>347</v>
      </c>
      <c r="E1503" s="20" t="s">
        <v>1627</v>
      </c>
      <c r="F1503" s="20" t="s">
        <v>6734</v>
      </c>
      <c r="G1503" s="20" t="s">
        <v>6734</v>
      </c>
      <c r="H1503" s="20" t="s">
        <v>5289</v>
      </c>
      <c r="I1503" s="20" t="s">
        <v>6734</v>
      </c>
      <c r="J1503" s="22" t="s">
        <v>6808</v>
      </c>
      <c r="K1503" s="32" t="s">
        <v>6809</v>
      </c>
      <c r="L1503" s="23" t="s">
        <v>92</v>
      </c>
      <c r="M1503" s="24" t="s">
        <v>7738</v>
      </c>
      <c r="N1503" s="23">
        <v>18848027</v>
      </c>
      <c r="O1503" s="25" t="s">
        <v>74</v>
      </c>
      <c r="P1503" s="25" t="s">
        <v>53</v>
      </c>
      <c r="Q1503" s="20" t="s">
        <v>6810</v>
      </c>
      <c r="R1503" s="20">
        <v>43163525</v>
      </c>
      <c r="S1503" s="25" t="s">
        <v>6811</v>
      </c>
      <c r="T1503" s="26" t="s">
        <v>57</v>
      </c>
      <c r="U1503" s="23">
        <v>860900062337753</v>
      </c>
      <c r="V1503" s="27" t="s">
        <v>57</v>
      </c>
      <c r="W1503" s="20" t="s">
        <v>58</v>
      </c>
      <c r="X1503" s="20" t="s">
        <v>59</v>
      </c>
      <c r="Y1503" s="20" t="s">
        <v>59</v>
      </c>
      <c r="Z1503" s="20" t="s">
        <v>167</v>
      </c>
      <c r="AA1503" s="20" t="s">
        <v>168</v>
      </c>
      <c r="AB1503" s="20" t="s">
        <v>96</v>
      </c>
      <c r="AC1503" s="28">
        <v>369.83</v>
      </c>
      <c r="AD1503" s="28">
        <f>SUM(BASE[[#This Row],[MONTO DE RENTA ]]*1.16)</f>
        <v>429.00279999999998</v>
      </c>
      <c r="AE1503" s="28" t="s">
        <v>63</v>
      </c>
      <c r="AF1503" s="28">
        <v>369.82758620689657</v>
      </c>
      <c r="AG1503" s="28">
        <v>429</v>
      </c>
      <c r="AH1503" s="22" t="s">
        <v>64</v>
      </c>
      <c r="AI1503" s="29">
        <v>45703</v>
      </c>
      <c r="AJ1503" s="29">
        <v>46433</v>
      </c>
      <c r="AK15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03" s="30"/>
      <c r="AN1503" s="20" t="s">
        <v>65</v>
      </c>
      <c r="AP1503" s="20" t="s">
        <v>84</v>
      </c>
    </row>
    <row r="1504" spans="1:43" ht="16">
      <c r="A1504" s="20">
        <v>5533423560</v>
      </c>
      <c r="B1504" s="49">
        <v>240032</v>
      </c>
      <c r="C1504" s="20" t="s">
        <v>2782</v>
      </c>
      <c r="D1504" s="20" t="s">
        <v>581</v>
      </c>
      <c r="E1504" s="20" t="s">
        <v>5065</v>
      </c>
      <c r="F1504" s="20" t="s">
        <v>5282</v>
      </c>
      <c r="G1504" s="20" t="s">
        <v>5282</v>
      </c>
      <c r="H1504" s="20" t="s">
        <v>155</v>
      </c>
      <c r="I1504" s="20" t="s">
        <v>5282</v>
      </c>
      <c r="J1504" s="22" t="s">
        <v>6812</v>
      </c>
      <c r="K1504" s="22" t="s">
        <v>6813</v>
      </c>
      <c r="L1504" s="23" t="s">
        <v>92</v>
      </c>
      <c r="M1504" s="24" t="s">
        <v>7738</v>
      </c>
      <c r="N1504" s="23">
        <v>18848080</v>
      </c>
      <c r="O1504" s="25" t="s">
        <v>52</v>
      </c>
      <c r="P1504" s="25" t="s">
        <v>53</v>
      </c>
      <c r="Q1504" s="20" t="s">
        <v>6814</v>
      </c>
      <c r="R1504" s="20">
        <v>9732836</v>
      </c>
      <c r="S1504" s="25" t="s">
        <v>55</v>
      </c>
      <c r="T1504" s="26" t="s">
        <v>56</v>
      </c>
      <c r="U1504" s="23">
        <v>860982060895875</v>
      </c>
      <c r="V1504" s="27" t="s">
        <v>183</v>
      </c>
      <c r="W1504" s="20" t="s">
        <v>129</v>
      </c>
      <c r="X1504" s="20" t="s">
        <v>130</v>
      </c>
      <c r="Y1504" s="20" t="s">
        <v>130</v>
      </c>
      <c r="Z1504" s="20" t="s">
        <v>60</v>
      </c>
      <c r="AA1504" s="20" t="s">
        <v>61</v>
      </c>
      <c r="AB1504" s="20" t="s">
        <v>96</v>
      </c>
      <c r="AC1504" s="28">
        <v>369.83</v>
      </c>
      <c r="AD1504" s="28">
        <f>SUM(BASE[[#This Row],[MONTO DE RENTA ]]*1.16)</f>
        <v>429.00279999999998</v>
      </c>
      <c r="AE1504" s="28" t="s">
        <v>63</v>
      </c>
      <c r="AF1504" s="28">
        <v>369.82758620689657</v>
      </c>
      <c r="AG1504" s="28">
        <v>429</v>
      </c>
      <c r="AI1504" s="63">
        <v>44937</v>
      </c>
      <c r="AJ1504" s="73">
        <v>46043</v>
      </c>
      <c r="AK150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4" s="30"/>
      <c r="AN1504" s="20" t="s">
        <v>99</v>
      </c>
      <c r="AP1504" s="20" t="s">
        <v>84</v>
      </c>
      <c r="AQ1504" s="20" t="s">
        <v>100</v>
      </c>
    </row>
    <row r="1505" spans="1:43" ht="16">
      <c r="A1505" s="20">
        <v>8126810912</v>
      </c>
      <c r="B1505" s="49">
        <v>1039964</v>
      </c>
      <c r="C1505" s="20" t="s">
        <v>6815</v>
      </c>
      <c r="D1505" s="20" t="s">
        <v>3228</v>
      </c>
      <c r="E1505" s="20" t="s">
        <v>347</v>
      </c>
      <c r="F1505" s="20" t="s">
        <v>5555</v>
      </c>
      <c r="G1505" s="20" t="s">
        <v>5555</v>
      </c>
      <c r="H1505" s="20" t="s">
        <v>208</v>
      </c>
      <c r="I1505" s="20" t="s">
        <v>5555</v>
      </c>
      <c r="J1505" s="32" t="s">
        <v>6816</v>
      </c>
      <c r="K1505" s="32" t="s">
        <v>6816</v>
      </c>
      <c r="L1505" s="23" t="s">
        <v>92</v>
      </c>
      <c r="M1505" s="24" t="s">
        <v>7738</v>
      </c>
      <c r="N1505" s="23">
        <v>18848087</v>
      </c>
      <c r="O1505" s="25" t="s">
        <v>74</v>
      </c>
      <c r="P1505" s="25" t="s">
        <v>53</v>
      </c>
      <c r="Q1505" s="20" t="s">
        <v>6817</v>
      </c>
      <c r="R1505" s="20">
        <v>44114481</v>
      </c>
      <c r="S1505" s="25" t="s">
        <v>55</v>
      </c>
      <c r="T1505" s="26" t="s">
        <v>56</v>
      </c>
      <c r="U1505" s="23" t="s">
        <v>193</v>
      </c>
      <c r="V1505" s="27" t="s">
        <v>183</v>
      </c>
      <c r="W1505" s="20" t="s">
        <v>194</v>
      </c>
      <c r="X1505" s="20" t="s">
        <v>194</v>
      </c>
      <c r="Y1505" s="20" t="s">
        <v>194</v>
      </c>
      <c r="Z1505" s="20" t="s">
        <v>60</v>
      </c>
      <c r="AA1505" s="20" t="s">
        <v>61</v>
      </c>
      <c r="AB1505" s="20" t="s">
        <v>96</v>
      </c>
      <c r="AC1505" s="28">
        <v>369.83</v>
      </c>
      <c r="AD1505" s="28">
        <f>SUM(BASE[[#This Row],[MONTO DE RENTA ]]*1.16)</f>
        <v>429.00279999999998</v>
      </c>
      <c r="AE1505" s="28" t="s">
        <v>63</v>
      </c>
      <c r="AF1505" s="28">
        <v>369.82758620689657</v>
      </c>
      <c r="AG1505" s="28">
        <v>429</v>
      </c>
      <c r="AI1505" s="29">
        <v>44937</v>
      </c>
      <c r="AJ1505" s="50">
        <v>46043</v>
      </c>
      <c r="AK15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5" s="30"/>
      <c r="AN1505" s="20" t="s">
        <v>99</v>
      </c>
      <c r="AP1505" s="20" t="s">
        <v>84</v>
      </c>
      <c r="AQ1505" s="20" t="s">
        <v>100</v>
      </c>
    </row>
    <row r="1506" spans="1:43" ht="16">
      <c r="A1506" s="20">
        <v>8123556612</v>
      </c>
      <c r="B1506" s="49">
        <v>31503</v>
      </c>
      <c r="C1506" s="20" t="s">
        <v>6818</v>
      </c>
      <c r="D1506" s="20" t="s">
        <v>6819</v>
      </c>
      <c r="E1506" s="20" t="s">
        <v>376</v>
      </c>
      <c r="F1506" s="20" t="s">
        <v>6820</v>
      </c>
      <c r="G1506" s="20" t="s">
        <v>6820</v>
      </c>
      <c r="H1506" s="20" t="s">
        <v>5320</v>
      </c>
      <c r="I1506" s="20" t="s">
        <v>6820</v>
      </c>
      <c r="J1506" s="32" t="s">
        <v>6821</v>
      </c>
      <c r="K1506" s="32" t="s">
        <v>6822</v>
      </c>
      <c r="L1506" s="23" t="s">
        <v>92</v>
      </c>
      <c r="M1506" s="24" t="s">
        <v>7738</v>
      </c>
      <c r="N1506" s="23">
        <v>18848044</v>
      </c>
      <c r="O1506" s="25" t="s">
        <v>74</v>
      </c>
      <c r="P1506" s="25" t="s">
        <v>53</v>
      </c>
      <c r="Q1506" s="20" t="s">
        <v>6823</v>
      </c>
      <c r="R1506" s="20">
        <v>43054235</v>
      </c>
      <c r="S1506" s="25" t="s">
        <v>6824</v>
      </c>
      <c r="T1506" s="26" t="s">
        <v>57</v>
      </c>
      <c r="U1506" s="23">
        <v>866223056229694</v>
      </c>
      <c r="V1506" s="27" t="s">
        <v>57</v>
      </c>
      <c r="W1506" s="20" t="s">
        <v>649</v>
      </c>
      <c r="X1506" s="20" t="s">
        <v>650</v>
      </c>
      <c r="Y1506" s="20" t="s">
        <v>650</v>
      </c>
      <c r="Z1506" s="20" t="s">
        <v>167</v>
      </c>
      <c r="AA1506" s="20" t="s">
        <v>168</v>
      </c>
      <c r="AB1506" s="20" t="s">
        <v>96</v>
      </c>
      <c r="AC1506" s="28">
        <v>369.83</v>
      </c>
      <c r="AD1506" s="28">
        <f>SUM(BASE[[#This Row],[MONTO DE RENTA ]]*1.16)</f>
        <v>429.00279999999998</v>
      </c>
      <c r="AE1506" s="28" t="s">
        <v>63</v>
      </c>
      <c r="AF1506" s="28">
        <v>369.82758620689657</v>
      </c>
      <c r="AG1506" s="28">
        <v>429</v>
      </c>
      <c r="AH1506" s="22" t="s">
        <v>64</v>
      </c>
      <c r="AI1506" s="63">
        <v>45713</v>
      </c>
      <c r="AJ1506" s="63">
        <v>46433</v>
      </c>
      <c r="AK150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06" s="30"/>
      <c r="AN1506" s="20" t="s">
        <v>65</v>
      </c>
      <c r="AP1506" s="20" t="s">
        <v>84</v>
      </c>
    </row>
    <row r="1507" spans="1:43" ht="16">
      <c r="A1507" s="20">
        <v>8113199930</v>
      </c>
      <c r="B1507" s="49">
        <v>6958</v>
      </c>
      <c r="C1507" s="20" t="s">
        <v>6825</v>
      </c>
      <c r="D1507" s="20" t="s">
        <v>994</v>
      </c>
      <c r="E1507" s="20" t="s">
        <v>546</v>
      </c>
      <c r="F1507" s="20" t="s">
        <v>6826</v>
      </c>
      <c r="G1507" s="20" t="s">
        <v>6826</v>
      </c>
      <c r="H1507" s="20" t="s">
        <v>5289</v>
      </c>
      <c r="I1507" s="20" t="s">
        <v>6826</v>
      </c>
      <c r="J1507" s="22" t="s">
        <v>6827</v>
      </c>
      <c r="K1507" s="22" t="s">
        <v>6828</v>
      </c>
      <c r="L1507" s="23" t="s">
        <v>92</v>
      </c>
      <c r="M1507" s="24" t="s">
        <v>7738</v>
      </c>
      <c r="N1507" s="23">
        <v>18848026</v>
      </c>
      <c r="O1507" s="25" t="s">
        <v>74</v>
      </c>
      <c r="P1507" s="25" t="s">
        <v>53</v>
      </c>
      <c r="Q1507" s="20" t="s">
        <v>6829</v>
      </c>
      <c r="R1507" s="20">
        <v>42896306</v>
      </c>
      <c r="S1507" s="25" t="s">
        <v>55</v>
      </c>
      <c r="T1507" s="26" t="s">
        <v>56</v>
      </c>
      <c r="U1507" s="23">
        <v>351835921176149</v>
      </c>
      <c r="V1507" s="27" t="s">
        <v>78</v>
      </c>
      <c r="W1507" s="20" t="s">
        <v>95</v>
      </c>
      <c r="X1507" s="20" t="s">
        <v>95</v>
      </c>
      <c r="Y1507" s="20" t="s">
        <v>95</v>
      </c>
      <c r="Z1507" s="20" t="s">
        <v>60</v>
      </c>
      <c r="AA1507" s="20" t="s">
        <v>61</v>
      </c>
      <c r="AB1507" s="20" t="s">
        <v>96</v>
      </c>
      <c r="AC1507" s="28">
        <v>369.83</v>
      </c>
      <c r="AD1507" s="28">
        <f>SUM(BASE[[#This Row],[MONTO DE RENTA ]]*1.16)</f>
        <v>429.00279999999998</v>
      </c>
      <c r="AE1507" s="28" t="s">
        <v>83</v>
      </c>
      <c r="AF1507" s="28">
        <v>559.48275862068965</v>
      </c>
      <c r="AG1507" s="28">
        <v>649</v>
      </c>
      <c r="AI1507" s="29">
        <v>44937</v>
      </c>
      <c r="AJ1507" s="50">
        <v>46043</v>
      </c>
      <c r="AK150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7" s="30"/>
      <c r="AN1507" s="20" t="s">
        <v>99</v>
      </c>
      <c r="AP1507" s="20" t="s">
        <v>66</v>
      </c>
      <c r="AQ1507" s="20" t="s">
        <v>100</v>
      </c>
    </row>
    <row r="1508" spans="1:43" ht="16">
      <c r="A1508" s="20">
        <v>8113229559</v>
      </c>
      <c r="B1508" s="49">
        <v>6119</v>
      </c>
      <c r="C1508" s="20" t="s">
        <v>6830</v>
      </c>
      <c r="D1508" s="20" t="s">
        <v>6831</v>
      </c>
      <c r="E1508" s="20" t="s">
        <v>1352</v>
      </c>
      <c r="F1508" s="20" t="s">
        <v>5295</v>
      </c>
      <c r="G1508" s="20" t="s">
        <v>5295</v>
      </c>
      <c r="H1508" s="20" t="s">
        <v>155</v>
      </c>
      <c r="I1508" s="20" t="s">
        <v>5295</v>
      </c>
      <c r="J1508" s="32" t="s">
        <v>6832</v>
      </c>
      <c r="K1508" s="22" t="s">
        <v>6832</v>
      </c>
      <c r="L1508" s="23" t="s">
        <v>92</v>
      </c>
      <c r="M1508" s="24" t="s">
        <v>7738</v>
      </c>
      <c r="N1508" s="23">
        <v>18848013</v>
      </c>
      <c r="O1508" s="25" t="s">
        <v>74</v>
      </c>
      <c r="P1508" s="25" t="s">
        <v>53</v>
      </c>
      <c r="Q1508" s="20" t="s">
        <v>6833</v>
      </c>
      <c r="R1508" s="20">
        <v>42896257</v>
      </c>
      <c r="S1508" s="25" t="s">
        <v>55</v>
      </c>
      <c r="T1508" s="26" t="s">
        <v>56</v>
      </c>
      <c r="U1508" s="23">
        <v>357654178605997</v>
      </c>
      <c r="V1508" s="27" t="s">
        <v>78</v>
      </c>
      <c r="W1508" s="20" t="s">
        <v>95</v>
      </c>
      <c r="X1508" s="20" t="s">
        <v>95</v>
      </c>
      <c r="Y1508" s="20" t="s">
        <v>95</v>
      </c>
      <c r="Z1508" s="20" t="s">
        <v>60</v>
      </c>
      <c r="AA1508" s="20" t="s">
        <v>61</v>
      </c>
      <c r="AB1508" s="20" t="s">
        <v>82</v>
      </c>
      <c r="AC1508" s="28">
        <v>559.48</v>
      </c>
      <c r="AD1508" s="28">
        <f>SUM(BASE[[#This Row],[MONTO DE RENTA ]]*1.16)</f>
        <v>648.99680000000001</v>
      </c>
      <c r="AE1508" s="28" t="s">
        <v>83</v>
      </c>
      <c r="AF1508" s="28">
        <v>559.48275862068965</v>
      </c>
      <c r="AG1508" s="28">
        <v>649</v>
      </c>
      <c r="AI1508" s="63">
        <v>44937</v>
      </c>
      <c r="AJ1508" s="73">
        <v>46043</v>
      </c>
      <c r="AK150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08" s="30"/>
      <c r="AN1508" s="20" t="s">
        <v>99</v>
      </c>
      <c r="AP1508" s="20" t="s">
        <v>84</v>
      </c>
      <c r="AQ1508" s="20" t="s">
        <v>100</v>
      </c>
    </row>
    <row r="1509" spans="1:43" s="87" customFormat="1" ht="16">
      <c r="A1509" s="20">
        <v>8135515221</v>
      </c>
      <c r="B1509" s="21">
        <v>1013198</v>
      </c>
      <c r="C1509" s="20" t="s">
        <v>6834</v>
      </c>
      <c r="D1509" s="20" t="s">
        <v>497</v>
      </c>
      <c r="E1509" s="20" t="s">
        <v>6835</v>
      </c>
      <c r="F1509" s="20" t="s">
        <v>6836</v>
      </c>
      <c r="G1509" s="20" t="s">
        <v>6836</v>
      </c>
      <c r="H1509" s="20" t="s">
        <v>5414</v>
      </c>
      <c r="I1509" s="20" t="s">
        <v>6836</v>
      </c>
      <c r="J1509" s="54" t="s">
        <v>6837</v>
      </c>
      <c r="K1509" s="54" t="s">
        <v>6837</v>
      </c>
      <c r="L1509" s="23" t="s">
        <v>92</v>
      </c>
      <c r="M1509" s="24" t="s">
        <v>7738</v>
      </c>
      <c r="N1509" s="23">
        <v>18848113</v>
      </c>
      <c r="O1509" s="25" t="s">
        <v>74</v>
      </c>
      <c r="P1509" s="25" t="s">
        <v>53</v>
      </c>
      <c r="Q1509" s="20" t="s">
        <v>6838</v>
      </c>
      <c r="R1509" s="20">
        <v>44918846</v>
      </c>
      <c r="S1509" s="25" t="s">
        <v>6839</v>
      </c>
      <c r="T1509" s="44" t="s">
        <v>57</v>
      </c>
      <c r="U1509" s="23">
        <v>860900062338249</v>
      </c>
      <c r="V1509" s="27" t="s">
        <v>57</v>
      </c>
      <c r="W1509" s="20" t="s">
        <v>58</v>
      </c>
      <c r="X1509" s="20" t="s">
        <v>59</v>
      </c>
      <c r="Y1509" s="20" t="s">
        <v>59</v>
      </c>
      <c r="Z1509" s="20" t="s">
        <v>167</v>
      </c>
      <c r="AA1509" s="20" t="s">
        <v>168</v>
      </c>
      <c r="AB1509" s="20" t="s">
        <v>96</v>
      </c>
      <c r="AC1509" s="28">
        <v>369.83</v>
      </c>
      <c r="AD1509" s="28">
        <f>SUM(BASE[[#This Row],[MONTO DE RENTA ]]*1.16)</f>
        <v>429.00279999999998</v>
      </c>
      <c r="AE1509" s="28" t="s">
        <v>63</v>
      </c>
      <c r="AF1509" s="28">
        <v>369.82758620689657</v>
      </c>
      <c r="AG1509" s="28">
        <v>429</v>
      </c>
      <c r="AH1509" s="22" t="s">
        <v>116</v>
      </c>
      <c r="AI1509" s="63">
        <v>45468</v>
      </c>
      <c r="AJ1509" s="63">
        <v>46198</v>
      </c>
      <c r="AK1509" s="30">
        <f ca="1">IFERROR(IF(BASE[[#This Row],[FECHA DE RENOVACION ]]&gt;TODAY(), DATEDIF(TODAY(),BASE[[#This Row],[FECHA DE RENOVACION ]],"M"), -DATEDIF(BASE[[#This Row],[FECHA DE RENOVACION ]],TODAY(),"M")), "Sin fecha")</f>
        <v>3</v>
      </c>
      <c r="AL1509" s="20"/>
      <c r="AM1509" s="30"/>
      <c r="AN1509" s="20" t="s">
        <v>65</v>
      </c>
      <c r="AO1509" s="20"/>
      <c r="AP1509" s="20" t="s">
        <v>84</v>
      </c>
      <c r="AQ1509" s="20"/>
    </row>
    <row r="1510" spans="1:43" ht="16">
      <c r="A1510" s="20">
        <v>8115638456</v>
      </c>
      <c r="B1510" s="49">
        <v>1007135</v>
      </c>
      <c r="C1510" s="20" t="s">
        <v>6840</v>
      </c>
      <c r="D1510" s="20" t="s">
        <v>6841</v>
      </c>
      <c r="E1510" s="20" t="s">
        <v>937</v>
      </c>
      <c r="F1510" s="20" t="s">
        <v>6842</v>
      </c>
      <c r="G1510" s="20" t="s">
        <v>6842</v>
      </c>
      <c r="H1510" s="20" t="s">
        <v>199</v>
      </c>
      <c r="I1510" s="20" t="s">
        <v>6842</v>
      </c>
      <c r="J1510" s="22" t="s">
        <v>6843</v>
      </c>
      <c r="K1510" s="32" t="s">
        <v>6844</v>
      </c>
      <c r="L1510" s="23" t="s">
        <v>92</v>
      </c>
      <c r="M1510" s="24" t="s">
        <v>7738</v>
      </c>
      <c r="N1510" s="23">
        <v>18848007</v>
      </c>
      <c r="O1510" s="25" t="s">
        <v>74</v>
      </c>
      <c r="P1510" s="25" t="s">
        <v>53</v>
      </c>
      <c r="Q1510" s="20" t="s">
        <v>6845</v>
      </c>
      <c r="R1510" s="20">
        <v>42888659</v>
      </c>
      <c r="S1510" s="25" t="s">
        <v>55</v>
      </c>
      <c r="T1510" s="26" t="s">
        <v>56</v>
      </c>
      <c r="U1510" s="23">
        <v>865356065668592</v>
      </c>
      <c r="V1510" s="27" t="s">
        <v>183</v>
      </c>
      <c r="W1510" s="20" t="s">
        <v>129</v>
      </c>
      <c r="X1510" s="20" t="s">
        <v>130</v>
      </c>
      <c r="Y1510" s="20" t="s">
        <v>130</v>
      </c>
      <c r="Z1510" s="20" t="s">
        <v>60</v>
      </c>
      <c r="AA1510" s="20" t="s">
        <v>61</v>
      </c>
      <c r="AB1510" s="20" t="s">
        <v>96</v>
      </c>
      <c r="AC1510" s="28">
        <v>369.83</v>
      </c>
      <c r="AD1510" s="28">
        <f>SUM(BASE[[#This Row],[MONTO DE RENTA ]]*1.16)</f>
        <v>429.00279999999998</v>
      </c>
      <c r="AE1510" s="28" t="s">
        <v>63</v>
      </c>
      <c r="AF1510" s="28">
        <v>369.82758620689657</v>
      </c>
      <c r="AG1510" s="28">
        <v>429</v>
      </c>
      <c r="AI1510" s="29">
        <v>44937</v>
      </c>
      <c r="AJ1510" s="50">
        <v>46043</v>
      </c>
      <c r="AK151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10" s="30"/>
      <c r="AN1510" s="20" t="s">
        <v>99</v>
      </c>
      <c r="AP1510" s="20" t="s">
        <v>84</v>
      </c>
      <c r="AQ1510" s="20" t="s">
        <v>100</v>
      </c>
    </row>
    <row r="1511" spans="1:43" ht="16">
      <c r="A1511" s="20">
        <v>8120102938</v>
      </c>
      <c r="B1511" s="21">
        <v>1002979</v>
      </c>
      <c r="C1511" s="20" t="s">
        <v>4658</v>
      </c>
      <c r="D1511" s="20" t="s">
        <v>1182</v>
      </c>
      <c r="E1511" s="20" t="s">
        <v>461</v>
      </c>
      <c r="F1511" s="20" t="s">
        <v>6846</v>
      </c>
      <c r="G1511" s="20" t="s">
        <v>6846</v>
      </c>
      <c r="H1511" s="20" t="s">
        <v>199</v>
      </c>
      <c r="I1511" s="20" t="s">
        <v>6846</v>
      </c>
      <c r="J1511" s="22" t="s">
        <v>6847</v>
      </c>
      <c r="K1511" s="22" t="s">
        <v>6847</v>
      </c>
      <c r="L1511" s="23" t="s">
        <v>92</v>
      </c>
      <c r="M1511" s="24" t="s">
        <v>7738</v>
      </c>
      <c r="N1511" s="23">
        <v>18848097</v>
      </c>
      <c r="O1511" s="25" t="s">
        <v>74</v>
      </c>
      <c r="P1511" s="25" t="s">
        <v>53</v>
      </c>
      <c r="Q1511" s="20" t="s">
        <v>6848</v>
      </c>
      <c r="R1511" s="20">
        <v>45017352</v>
      </c>
      <c r="S1511" s="25" t="s">
        <v>6849</v>
      </c>
      <c r="T1511" s="26" t="s">
        <v>57</v>
      </c>
      <c r="U1511" s="23">
        <v>860900062264239</v>
      </c>
      <c r="V1511" s="27" t="s">
        <v>57</v>
      </c>
      <c r="W1511" s="20" t="s">
        <v>58</v>
      </c>
      <c r="X1511" s="20" t="s">
        <v>59</v>
      </c>
      <c r="Y1511" s="20" t="s">
        <v>59</v>
      </c>
      <c r="Z1511" s="20" t="s">
        <v>131</v>
      </c>
      <c r="AA1511" s="20" t="s">
        <v>132</v>
      </c>
      <c r="AB1511" s="20" t="s">
        <v>96</v>
      </c>
      <c r="AC1511" s="28">
        <v>369.83</v>
      </c>
      <c r="AD1511" s="28">
        <f>SUM(BASE[[#This Row],[MONTO DE RENTA ]]*1.16)</f>
        <v>429.00279999999998</v>
      </c>
      <c r="AE1511" s="28" t="s">
        <v>63</v>
      </c>
      <c r="AF1511" s="28">
        <v>369.82758620689657</v>
      </c>
      <c r="AG1511" s="28">
        <v>429</v>
      </c>
      <c r="AH1511" s="22" t="s">
        <v>64</v>
      </c>
      <c r="AI1511" s="29">
        <v>45703</v>
      </c>
      <c r="AJ1511" s="29">
        <v>46433</v>
      </c>
      <c r="AK15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11" s="30"/>
      <c r="AN1511" s="20" t="s">
        <v>65</v>
      </c>
      <c r="AP1511" s="20" t="s">
        <v>84</v>
      </c>
    </row>
    <row r="1512" spans="1:43" ht="16">
      <c r="A1512" s="20">
        <v>8122024732</v>
      </c>
      <c r="B1512" s="21">
        <v>100775</v>
      </c>
      <c r="C1512" s="20" t="s">
        <v>4658</v>
      </c>
      <c r="D1512" s="20" t="s">
        <v>135</v>
      </c>
      <c r="E1512" s="20" t="s">
        <v>6850</v>
      </c>
      <c r="F1512" s="20" t="s">
        <v>704</v>
      </c>
      <c r="G1512" s="20" t="s">
        <v>704</v>
      </c>
      <c r="H1512" s="20" t="s">
        <v>48</v>
      </c>
      <c r="I1512" s="20" t="s">
        <v>704</v>
      </c>
      <c r="J1512" s="22" t="s">
        <v>6851</v>
      </c>
      <c r="K1512" s="32" t="s">
        <v>744</v>
      </c>
      <c r="L1512" s="23" t="s">
        <v>745</v>
      </c>
      <c r="M1512" s="24" t="s">
        <v>7747</v>
      </c>
      <c r="N1512" s="23">
        <v>11180000</v>
      </c>
      <c r="O1512" s="25" t="s">
        <v>74</v>
      </c>
      <c r="P1512" s="25" t="s">
        <v>53</v>
      </c>
      <c r="Q1512" s="20" t="s">
        <v>6852</v>
      </c>
      <c r="R1512" s="20">
        <v>43351175</v>
      </c>
      <c r="S1512" s="25" t="s">
        <v>6853</v>
      </c>
      <c r="T1512" s="26" t="s">
        <v>57</v>
      </c>
      <c r="U1512" s="23">
        <v>860900062319579</v>
      </c>
      <c r="V1512" s="27" t="s">
        <v>57</v>
      </c>
      <c r="W1512" s="20" t="s">
        <v>58</v>
      </c>
      <c r="X1512" s="20" t="s">
        <v>59</v>
      </c>
      <c r="Y1512" s="20" t="s">
        <v>59</v>
      </c>
      <c r="Z1512" s="20" t="s">
        <v>60</v>
      </c>
      <c r="AA1512" s="20" t="s">
        <v>61</v>
      </c>
      <c r="AB1512" s="20" t="s">
        <v>96</v>
      </c>
      <c r="AC1512" s="28">
        <v>369.83</v>
      </c>
      <c r="AD1512" s="28">
        <f>SUM(BASE[[#This Row],[MONTO DE RENTA ]]*1.16)</f>
        <v>429.00279999999998</v>
      </c>
      <c r="AE1512" s="28" t="s">
        <v>63</v>
      </c>
      <c r="AF1512" s="28">
        <v>369.82758620689657</v>
      </c>
      <c r="AG1512" s="28">
        <v>429</v>
      </c>
      <c r="AI1512" s="63">
        <v>45940</v>
      </c>
      <c r="AJ1512" s="63">
        <v>46438</v>
      </c>
      <c r="AK151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12" s="30"/>
      <c r="AN1512" s="20" t="s">
        <v>65</v>
      </c>
      <c r="AP1512" s="20" t="s">
        <v>84</v>
      </c>
    </row>
    <row r="1513" spans="1:43" ht="16">
      <c r="A1513" s="20">
        <v>8134036499</v>
      </c>
      <c r="B1513" s="21">
        <v>1061364</v>
      </c>
      <c r="C1513" s="20" t="s">
        <v>6854</v>
      </c>
      <c r="D1513" s="20" t="s">
        <v>1562</v>
      </c>
      <c r="E1513" s="20" t="s">
        <v>4375</v>
      </c>
      <c r="F1513" s="20" t="s">
        <v>5612</v>
      </c>
      <c r="G1513" s="20" t="s">
        <v>5612</v>
      </c>
      <c r="H1513" s="20" t="s">
        <v>199</v>
      </c>
      <c r="I1513" s="20" t="s">
        <v>5612</v>
      </c>
      <c r="J1513" s="54" t="s">
        <v>6855</v>
      </c>
      <c r="K1513" s="54" t="s">
        <v>6855</v>
      </c>
      <c r="L1513" s="23" t="s">
        <v>92</v>
      </c>
      <c r="M1513" s="24" t="s">
        <v>7738</v>
      </c>
      <c r="N1513" s="23">
        <v>18848076</v>
      </c>
      <c r="O1513" s="25" t="s">
        <v>74</v>
      </c>
      <c r="P1513" s="25" t="s">
        <v>53</v>
      </c>
      <c r="Q1513" s="20" t="s">
        <v>6856</v>
      </c>
      <c r="R1513" s="20">
        <v>44508869</v>
      </c>
      <c r="S1513" s="25" t="s">
        <v>6857</v>
      </c>
      <c r="T1513" s="65" t="s">
        <v>77</v>
      </c>
      <c r="U1513" s="23">
        <v>860900062337712</v>
      </c>
      <c r="V1513" s="27" t="s">
        <v>57</v>
      </c>
      <c r="W1513" s="20" t="s">
        <v>58</v>
      </c>
      <c r="X1513" s="20" t="s">
        <v>59</v>
      </c>
      <c r="Y1513" s="20" t="s">
        <v>59</v>
      </c>
      <c r="Z1513" s="20" t="s">
        <v>167</v>
      </c>
      <c r="AA1513" s="20" t="s">
        <v>168</v>
      </c>
      <c r="AB1513" s="20" t="s">
        <v>82</v>
      </c>
      <c r="AC1513" s="28">
        <v>559.48</v>
      </c>
      <c r="AD1513" s="28">
        <f>SUM(BASE[[#This Row],[MONTO DE RENTA ]]*1.16)</f>
        <v>648.99680000000001</v>
      </c>
      <c r="AE1513" s="28" t="s">
        <v>83</v>
      </c>
      <c r="AF1513" s="28">
        <v>559.48275862068965</v>
      </c>
      <c r="AG1513" s="28">
        <v>649</v>
      </c>
      <c r="AH1513" s="22" t="s">
        <v>116</v>
      </c>
      <c r="AI1513" s="63">
        <v>45399</v>
      </c>
      <c r="AJ1513" s="63">
        <v>46402</v>
      </c>
      <c r="AK151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13" s="30"/>
      <c r="AN1513" s="20" t="s">
        <v>65</v>
      </c>
      <c r="AP1513" s="20" t="s">
        <v>84</v>
      </c>
    </row>
    <row r="1514" spans="1:43" ht="16">
      <c r="A1514" s="20">
        <v>8122018990</v>
      </c>
      <c r="B1514" s="21">
        <v>1054759</v>
      </c>
      <c r="C1514" s="20" t="s">
        <v>6858</v>
      </c>
      <c r="D1514" s="20" t="s">
        <v>5530</v>
      </c>
      <c r="E1514" s="20" t="s">
        <v>1000</v>
      </c>
      <c r="F1514" s="20" t="s">
        <v>5359</v>
      </c>
      <c r="G1514" s="20" t="s">
        <v>5359</v>
      </c>
      <c r="H1514" s="20" t="s">
        <v>231</v>
      </c>
      <c r="I1514" s="20" t="s">
        <v>5359</v>
      </c>
      <c r="J1514" s="22" t="s">
        <v>6859</v>
      </c>
      <c r="K1514" s="32" t="s">
        <v>6859</v>
      </c>
      <c r="L1514" s="23" t="s">
        <v>92</v>
      </c>
      <c r="M1514" s="24" t="s">
        <v>7738</v>
      </c>
      <c r="N1514" s="23">
        <v>18848062</v>
      </c>
      <c r="O1514" s="25" t="s">
        <v>74</v>
      </c>
      <c r="P1514" s="25" t="s">
        <v>53</v>
      </c>
      <c r="Q1514" s="20" t="s">
        <v>6860</v>
      </c>
      <c r="R1514" s="20">
        <v>45142669</v>
      </c>
      <c r="S1514" s="25" t="s">
        <v>55</v>
      </c>
      <c r="T1514" s="26" t="s">
        <v>56</v>
      </c>
      <c r="U1514" s="23">
        <v>863020061608075</v>
      </c>
      <c r="V1514" s="27" t="s">
        <v>57</v>
      </c>
      <c r="W1514" s="20" t="s">
        <v>5010</v>
      </c>
      <c r="X1514" s="20" t="s">
        <v>5011</v>
      </c>
      <c r="Y1514" s="20" t="s">
        <v>5011</v>
      </c>
      <c r="Z1514" s="20" t="s">
        <v>60</v>
      </c>
      <c r="AA1514" s="20" t="s">
        <v>61</v>
      </c>
      <c r="AB1514" s="20" t="s">
        <v>62</v>
      </c>
      <c r="AC1514" s="28">
        <v>197.41</v>
      </c>
      <c r="AD1514" s="28">
        <f>SUM(BASE[[#This Row],[MONTO DE RENTA ]]*1.16)</f>
        <v>228.99559999999997</v>
      </c>
      <c r="AE1514" s="28" t="s">
        <v>63</v>
      </c>
      <c r="AF1514" s="28">
        <v>369.82758620689657</v>
      </c>
      <c r="AG1514" s="28">
        <v>429</v>
      </c>
      <c r="AH1514" s="22" t="s">
        <v>64</v>
      </c>
      <c r="AI1514" s="29">
        <v>45669</v>
      </c>
      <c r="AJ1514" s="29">
        <v>46399</v>
      </c>
      <c r="AK151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14" s="30"/>
      <c r="AN1514" s="20" t="s">
        <v>65</v>
      </c>
      <c r="AP1514" s="20" t="s">
        <v>66</v>
      </c>
    </row>
    <row r="1515" spans="1:43" ht="16">
      <c r="A1515" s="20">
        <v>8110772236</v>
      </c>
      <c r="B1515" s="49">
        <v>1056002</v>
      </c>
      <c r="C1515" s="20" t="s">
        <v>1377</v>
      </c>
      <c r="D1515" s="20" t="s">
        <v>358</v>
      </c>
      <c r="E1515" s="20" t="s">
        <v>187</v>
      </c>
      <c r="F1515" s="20" t="s">
        <v>824</v>
      </c>
      <c r="G1515" s="189" t="s">
        <v>824</v>
      </c>
      <c r="H1515" s="20" t="s">
        <v>48</v>
      </c>
      <c r="I1515" s="20" t="s">
        <v>824</v>
      </c>
      <c r="J1515" s="22" t="s">
        <v>6861</v>
      </c>
      <c r="K1515" s="54" t="s">
        <v>6861</v>
      </c>
      <c r="L1515" s="23" t="s">
        <v>1298</v>
      </c>
      <c r="M1515" s="24" t="s">
        <v>7752</v>
      </c>
      <c r="N1515" s="23">
        <v>18061000</v>
      </c>
      <c r="O1515" s="25" t="s">
        <v>74</v>
      </c>
      <c r="P1515" s="25" t="s">
        <v>53</v>
      </c>
      <c r="Q1515" s="20" t="s">
        <v>6862</v>
      </c>
      <c r="R1515" s="20">
        <v>42937285</v>
      </c>
      <c r="S1515" s="25" t="s">
        <v>55</v>
      </c>
      <c r="T1515" s="44" t="s">
        <v>56</v>
      </c>
      <c r="U1515" s="23" t="s">
        <v>193</v>
      </c>
      <c r="V1515" s="45" t="s">
        <v>183</v>
      </c>
      <c r="W1515" s="20" t="s">
        <v>194</v>
      </c>
      <c r="X1515" s="20" t="s">
        <v>194</v>
      </c>
      <c r="Y1515" s="20" t="s">
        <v>194</v>
      </c>
      <c r="Z1515" s="20" t="s">
        <v>60</v>
      </c>
      <c r="AA1515" s="20" t="s">
        <v>61</v>
      </c>
      <c r="AB1515" s="20" t="s">
        <v>96</v>
      </c>
      <c r="AC1515" s="28">
        <v>369.83</v>
      </c>
      <c r="AD1515" s="28">
        <f>SUM(BASE[[#This Row],[MONTO DE RENTA ]]*1.16)</f>
        <v>429.00279999999998</v>
      </c>
      <c r="AE1515" s="28" t="s">
        <v>63</v>
      </c>
      <c r="AF1515" s="28">
        <v>369.82758620689657</v>
      </c>
      <c r="AG1515" s="28">
        <v>429</v>
      </c>
      <c r="AH1515" s="22" t="s">
        <v>116</v>
      </c>
      <c r="AI1515" s="63">
        <v>45538</v>
      </c>
      <c r="AJ1515" s="63">
        <v>46421</v>
      </c>
      <c r="AK151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15" s="30" t="s">
        <v>6863</v>
      </c>
      <c r="AN1515" s="20" t="s">
        <v>65</v>
      </c>
      <c r="AP1515" s="20" t="s">
        <v>84</v>
      </c>
    </row>
    <row r="1516" spans="1:43" ht="16">
      <c r="A1516" s="20">
        <v>4771563038</v>
      </c>
      <c r="B1516" s="49">
        <v>30728</v>
      </c>
      <c r="C1516" s="20" t="s">
        <v>1820</v>
      </c>
      <c r="D1516" s="20" t="s">
        <v>6864</v>
      </c>
      <c r="E1516" s="20" t="s">
        <v>6865</v>
      </c>
      <c r="F1516" s="20" t="s">
        <v>5587</v>
      </c>
      <c r="G1516" s="20" t="s">
        <v>5587</v>
      </c>
      <c r="H1516" s="20" t="s">
        <v>5320</v>
      </c>
      <c r="I1516" s="20" t="s">
        <v>5587</v>
      </c>
      <c r="J1516" s="22" t="s">
        <v>6866</v>
      </c>
      <c r="K1516" s="22" t="s">
        <v>6866</v>
      </c>
      <c r="L1516" s="23" t="s">
        <v>92</v>
      </c>
      <c r="M1516" s="24" t="s">
        <v>7738</v>
      </c>
      <c r="N1516" s="23">
        <v>18848044</v>
      </c>
      <c r="O1516" s="25" t="s">
        <v>93</v>
      </c>
      <c r="P1516" s="25" t="s">
        <v>53</v>
      </c>
      <c r="Q1516" s="20" t="s">
        <v>6867</v>
      </c>
      <c r="R1516" s="20">
        <v>61962877</v>
      </c>
      <c r="S1516" s="25" t="s">
        <v>55</v>
      </c>
      <c r="T1516" s="26" t="s">
        <v>56</v>
      </c>
      <c r="U1516" s="23">
        <v>352556229859413</v>
      </c>
      <c r="V1516" s="27" t="s">
        <v>78</v>
      </c>
      <c r="W1516" s="20" t="s">
        <v>5299</v>
      </c>
      <c r="X1516" s="20" t="s">
        <v>5299</v>
      </c>
      <c r="Y1516" s="20" t="s">
        <v>5299</v>
      </c>
      <c r="Z1516" s="20" t="s">
        <v>60</v>
      </c>
      <c r="AA1516" s="20" t="s">
        <v>61</v>
      </c>
      <c r="AB1516" s="20" t="s">
        <v>82</v>
      </c>
      <c r="AC1516" s="28">
        <v>559.48</v>
      </c>
      <c r="AD1516" s="28">
        <f>SUM(BASE[[#This Row],[MONTO DE RENTA ]]*1.16)</f>
        <v>648.99680000000001</v>
      </c>
      <c r="AE1516" s="28" t="s">
        <v>83</v>
      </c>
      <c r="AF1516" s="28">
        <v>559.48275862068965</v>
      </c>
      <c r="AG1516" s="28">
        <v>649</v>
      </c>
      <c r="AI1516" s="29">
        <v>44937</v>
      </c>
      <c r="AJ1516" s="50">
        <v>46043</v>
      </c>
      <c r="AK151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16" s="30"/>
      <c r="AN1516" s="20" t="s">
        <v>99</v>
      </c>
      <c r="AP1516" s="20" t="s">
        <v>84</v>
      </c>
      <c r="AQ1516" s="20" t="s">
        <v>100</v>
      </c>
    </row>
    <row r="1517" spans="1:43" ht="16">
      <c r="A1517" s="20">
        <v>8126810915</v>
      </c>
      <c r="B1517" s="49">
        <v>1041431</v>
      </c>
      <c r="C1517" s="20" t="s">
        <v>195</v>
      </c>
      <c r="D1517" s="20" t="s">
        <v>324</v>
      </c>
      <c r="E1517" s="20" t="s">
        <v>566</v>
      </c>
      <c r="F1517" s="20" t="s">
        <v>5940</v>
      </c>
      <c r="G1517" s="20" t="s">
        <v>5940</v>
      </c>
      <c r="H1517" s="20" t="s">
        <v>231</v>
      </c>
      <c r="I1517" s="20" t="s">
        <v>5940</v>
      </c>
      <c r="J1517" s="22" t="s">
        <v>6868</v>
      </c>
      <c r="K1517" s="32" t="s">
        <v>6869</v>
      </c>
      <c r="L1517" s="23" t="s">
        <v>92</v>
      </c>
      <c r="M1517" s="24" t="s">
        <v>7738</v>
      </c>
      <c r="N1517" s="23">
        <v>18848062</v>
      </c>
      <c r="O1517" s="25" t="s">
        <v>74</v>
      </c>
      <c r="P1517" s="25" t="s">
        <v>53</v>
      </c>
      <c r="Q1517" s="20" t="s">
        <v>6870</v>
      </c>
      <c r="R1517" s="20">
        <v>44114465</v>
      </c>
      <c r="S1517" s="25" t="s">
        <v>55</v>
      </c>
      <c r="T1517" s="26" t="s">
        <v>56</v>
      </c>
      <c r="U1517" s="23">
        <v>356638831686313</v>
      </c>
      <c r="V1517" s="27" t="s">
        <v>183</v>
      </c>
      <c r="W1517" s="20" t="s">
        <v>214</v>
      </c>
      <c r="X1517" s="20" t="s">
        <v>214</v>
      </c>
      <c r="Y1517" s="20" t="s">
        <v>214</v>
      </c>
      <c r="Z1517" s="20" t="s">
        <v>60</v>
      </c>
      <c r="AA1517" s="20" t="s">
        <v>61</v>
      </c>
      <c r="AB1517" s="20" t="s">
        <v>96</v>
      </c>
      <c r="AC1517" s="28">
        <v>369.83</v>
      </c>
      <c r="AD1517" s="28">
        <f>SUM(BASE[[#This Row],[MONTO DE RENTA ]]*1.16)</f>
        <v>429.00279999999998</v>
      </c>
      <c r="AE1517" s="28" t="s">
        <v>63</v>
      </c>
      <c r="AF1517" s="28">
        <v>369.82758620689657</v>
      </c>
      <c r="AG1517" s="28">
        <v>429</v>
      </c>
      <c r="AI1517" s="29">
        <v>44937</v>
      </c>
      <c r="AJ1517" s="29">
        <v>46429</v>
      </c>
      <c r="AK151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17" s="30"/>
      <c r="AN1517" s="20" t="s">
        <v>65</v>
      </c>
      <c r="AP1517" s="20" t="s">
        <v>84</v>
      </c>
    </row>
    <row r="1518" spans="1:43" ht="16">
      <c r="A1518" s="20">
        <v>6644845928</v>
      </c>
      <c r="B1518" s="21">
        <v>645001</v>
      </c>
      <c r="C1518" s="20" t="s">
        <v>1793</v>
      </c>
      <c r="D1518" s="20" t="s">
        <v>2932</v>
      </c>
      <c r="E1518" s="20" t="s">
        <v>143</v>
      </c>
      <c r="F1518" s="20" t="s">
        <v>88</v>
      </c>
      <c r="G1518" s="20" t="s">
        <v>88</v>
      </c>
      <c r="H1518" s="20" t="s">
        <v>89</v>
      </c>
      <c r="I1518" s="20" t="s">
        <v>88</v>
      </c>
      <c r="J1518" s="32" t="s">
        <v>6871</v>
      </c>
      <c r="K1518" s="32" t="s">
        <v>6872</v>
      </c>
      <c r="L1518" s="23" t="s">
        <v>92</v>
      </c>
      <c r="M1518" s="24" t="s">
        <v>7738</v>
      </c>
      <c r="N1518" s="23">
        <v>18848041</v>
      </c>
      <c r="O1518" s="25" t="s">
        <v>126</v>
      </c>
      <c r="P1518" s="25" t="s">
        <v>53</v>
      </c>
      <c r="Q1518" s="20" t="s">
        <v>6873</v>
      </c>
      <c r="R1518" s="20">
        <v>12314050</v>
      </c>
      <c r="S1518" s="25" t="s">
        <v>6258</v>
      </c>
      <c r="T1518" s="26" t="s">
        <v>77</v>
      </c>
      <c r="U1518" s="23" t="s">
        <v>193</v>
      </c>
      <c r="V1518" s="27" t="s">
        <v>78</v>
      </c>
      <c r="W1518" s="20" t="s">
        <v>194</v>
      </c>
      <c r="X1518" s="20" t="s">
        <v>194</v>
      </c>
      <c r="Y1518" s="20" t="s">
        <v>194</v>
      </c>
      <c r="Z1518" s="20" t="s">
        <v>167</v>
      </c>
      <c r="AA1518" s="20" t="s">
        <v>168</v>
      </c>
      <c r="AB1518" s="20" t="s">
        <v>82</v>
      </c>
      <c r="AC1518" s="28">
        <v>559.48</v>
      </c>
      <c r="AD1518" s="28">
        <f>SUM(BASE[[#This Row],[MONTO DE RENTA ]]*1.16)</f>
        <v>648.99680000000001</v>
      </c>
      <c r="AE1518" s="28" t="s">
        <v>83</v>
      </c>
      <c r="AF1518" s="28">
        <v>559.48275862068965</v>
      </c>
      <c r="AG1518" s="28">
        <v>649</v>
      </c>
      <c r="AH1518" s="22" t="s">
        <v>98</v>
      </c>
      <c r="AI1518" s="63">
        <v>45727</v>
      </c>
      <c r="AJ1518" s="63">
        <v>46457</v>
      </c>
      <c r="AK1518" s="30">
        <f ca="1">IFERROR(IF(BASE[[#This Row],[FECHA DE RENOVACION ]]&gt;TODAY(), DATEDIF(TODAY(),BASE[[#This Row],[FECHA DE RENOVACION ]],"M"), -DATEDIF(BASE[[#This Row],[FECHA DE RENOVACION ]],TODAY(),"M")), "Sin fecha")</f>
        <v>12</v>
      </c>
      <c r="AM1518" s="30" t="s">
        <v>6874</v>
      </c>
      <c r="AN1518" s="20" t="s">
        <v>65</v>
      </c>
      <c r="AP1518" s="20" t="s">
        <v>84</v>
      </c>
    </row>
    <row r="1519" spans="1:43" s="69" customFormat="1" ht="16">
      <c r="A1519" s="20">
        <v>2224170623</v>
      </c>
      <c r="B1519" s="49">
        <v>910027</v>
      </c>
      <c r="C1519" s="20" t="s">
        <v>3151</v>
      </c>
      <c r="D1519" s="20" t="s">
        <v>6875</v>
      </c>
      <c r="E1519" s="20" t="s">
        <v>376</v>
      </c>
      <c r="F1519" s="20" t="s">
        <v>5587</v>
      </c>
      <c r="G1519" s="20" t="s">
        <v>5587</v>
      </c>
      <c r="H1519" s="20" t="s">
        <v>5320</v>
      </c>
      <c r="I1519" s="20" t="s">
        <v>5587</v>
      </c>
      <c r="J1519" s="22" t="s">
        <v>6876</v>
      </c>
      <c r="K1519" s="22" t="s">
        <v>6877</v>
      </c>
      <c r="L1519" s="23" t="s">
        <v>92</v>
      </c>
      <c r="M1519" s="24" t="s">
        <v>7738</v>
      </c>
      <c r="N1519" s="23">
        <v>18848044</v>
      </c>
      <c r="O1519" s="25" t="s">
        <v>828</v>
      </c>
      <c r="P1519" s="25" t="s">
        <v>53</v>
      </c>
      <c r="Q1519" s="20" t="s">
        <v>6878</v>
      </c>
      <c r="R1519" s="20">
        <v>72828740</v>
      </c>
      <c r="S1519" s="25" t="s">
        <v>55</v>
      </c>
      <c r="T1519" s="26" t="s">
        <v>56</v>
      </c>
      <c r="U1519" s="23">
        <v>357654178951557</v>
      </c>
      <c r="V1519" s="27" t="s">
        <v>78</v>
      </c>
      <c r="W1519" s="20" t="s">
        <v>5299</v>
      </c>
      <c r="X1519" s="20" t="s">
        <v>5299</v>
      </c>
      <c r="Y1519" s="20" t="s">
        <v>5299</v>
      </c>
      <c r="Z1519" s="20" t="s">
        <v>60</v>
      </c>
      <c r="AA1519" s="20" t="s">
        <v>61</v>
      </c>
      <c r="AB1519" s="20" t="s">
        <v>82</v>
      </c>
      <c r="AC1519" s="28">
        <v>559.48</v>
      </c>
      <c r="AD1519" s="28">
        <f>SUM(BASE[[#This Row],[MONTO DE RENTA ]]*1.16)</f>
        <v>648.99680000000001</v>
      </c>
      <c r="AE1519" s="28" t="s">
        <v>83</v>
      </c>
      <c r="AF1519" s="28">
        <v>559.48275862068965</v>
      </c>
      <c r="AG1519" s="28">
        <v>649</v>
      </c>
      <c r="AH1519" s="22"/>
      <c r="AI1519" s="63">
        <v>44937</v>
      </c>
      <c r="AJ1519" s="63">
        <v>46043</v>
      </c>
      <c r="AK151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19" s="20"/>
      <c r="AM1519" s="30"/>
      <c r="AN1519" s="20" t="s">
        <v>99</v>
      </c>
      <c r="AO1519" s="20"/>
      <c r="AP1519" s="20" t="s">
        <v>84</v>
      </c>
      <c r="AQ1519" s="20" t="s">
        <v>100</v>
      </c>
    </row>
    <row r="1520" spans="1:43" ht="16">
      <c r="A1520" s="20">
        <v>7774295616</v>
      </c>
      <c r="B1520" s="49">
        <v>6591</v>
      </c>
      <c r="C1520" s="20" t="s">
        <v>6879</v>
      </c>
      <c r="D1520" s="20" t="s">
        <v>187</v>
      </c>
      <c r="E1520" s="20" t="s">
        <v>6880</v>
      </c>
      <c r="F1520" s="20" t="s">
        <v>6881</v>
      </c>
      <c r="G1520" s="20" t="s">
        <v>6881</v>
      </c>
      <c r="H1520" s="20" t="s">
        <v>5320</v>
      </c>
      <c r="I1520" s="20" t="s">
        <v>6881</v>
      </c>
      <c r="J1520" s="22" t="s">
        <v>6882</v>
      </c>
      <c r="K1520" s="22" t="s">
        <v>6882</v>
      </c>
      <c r="L1520" s="23" t="s">
        <v>92</v>
      </c>
      <c r="M1520" s="24" t="s">
        <v>7738</v>
      </c>
      <c r="N1520" s="23">
        <v>18848047</v>
      </c>
      <c r="O1520" s="25" t="s">
        <v>52</v>
      </c>
      <c r="P1520" s="25" t="s">
        <v>53</v>
      </c>
      <c r="Q1520" s="20" t="s">
        <v>6883</v>
      </c>
      <c r="R1520" s="20">
        <v>9793870</v>
      </c>
      <c r="S1520" s="25" t="s">
        <v>55</v>
      </c>
      <c r="T1520" s="26" t="s">
        <v>56</v>
      </c>
      <c r="U1520" s="23">
        <v>357654179623171</v>
      </c>
      <c r="V1520" s="27" t="s">
        <v>78</v>
      </c>
      <c r="W1520" s="20" t="s">
        <v>5299</v>
      </c>
      <c r="X1520" s="20" t="s">
        <v>5299</v>
      </c>
      <c r="Y1520" s="20" t="s">
        <v>5299</v>
      </c>
      <c r="Z1520" s="20" t="s">
        <v>60</v>
      </c>
      <c r="AA1520" s="20" t="s">
        <v>61</v>
      </c>
      <c r="AB1520" s="20" t="s">
        <v>82</v>
      </c>
      <c r="AC1520" s="28">
        <v>559.48</v>
      </c>
      <c r="AD1520" s="28">
        <f>SUM(BASE[[#This Row],[MONTO DE RENTA ]]*1.16)</f>
        <v>648.99680000000001</v>
      </c>
      <c r="AE1520" s="28" t="s">
        <v>83</v>
      </c>
      <c r="AF1520" s="28">
        <v>559.48275862068965</v>
      </c>
      <c r="AG1520" s="28">
        <v>649</v>
      </c>
      <c r="AI1520" s="29">
        <v>44937</v>
      </c>
      <c r="AJ1520" s="50">
        <v>46043</v>
      </c>
      <c r="AK152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0" s="30"/>
      <c r="AN1520" s="20" t="s">
        <v>99</v>
      </c>
      <c r="AP1520" s="20" t="s">
        <v>84</v>
      </c>
      <c r="AQ1520" s="20" t="s">
        <v>100</v>
      </c>
    </row>
    <row r="1521" spans="1:43" ht="16">
      <c r="A1521" s="20">
        <v>5543565908</v>
      </c>
      <c r="B1521" s="49">
        <v>650318</v>
      </c>
      <c r="C1521" s="20" t="s">
        <v>1793</v>
      </c>
      <c r="D1521" s="20" t="s">
        <v>172</v>
      </c>
      <c r="E1521" s="20" t="s">
        <v>1221</v>
      </c>
      <c r="F1521" s="20" t="s">
        <v>5334</v>
      </c>
      <c r="G1521" s="20" t="s">
        <v>5334</v>
      </c>
      <c r="H1521" s="20" t="s">
        <v>5320</v>
      </c>
      <c r="I1521" s="20" t="s">
        <v>5334</v>
      </c>
      <c r="J1521" s="22" t="s">
        <v>6884</v>
      </c>
      <c r="K1521" s="22" t="s">
        <v>6885</v>
      </c>
      <c r="L1521" s="23" t="s">
        <v>92</v>
      </c>
      <c r="M1521" s="24" t="s">
        <v>7738</v>
      </c>
      <c r="N1521" s="23">
        <v>18848033</v>
      </c>
      <c r="O1521" s="25" t="s">
        <v>52</v>
      </c>
      <c r="P1521" s="25" t="s">
        <v>53</v>
      </c>
      <c r="Q1521" s="20" t="s">
        <v>6886</v>
      </c>
      <c r="R1521" s="20">
        <v>91310503</v>
      </c>
      <c r="S1521" s="25" t="s">
        <v>55</v>
      </c>
      <c r="T1521" s="26" t="s">
        <v>56</v>
      </c>
      <c r="U1521" s="23">
        <v>357654178338425</v>
      </c>
      <c r="V1521" s="27" t="s">
        <v>78</v>
      </c>
      <c r="W1521" s="20" t="s">
        <v>5299</v>
      </c>
      <c r="X1521" s="20" t="s">
        <v>5299</v>
      </c>
      <c r="Y1521" s="20" t="s">
        <v>5299</v>
      </c>
      <c r="Z1521" s="20" t="s">
        <v>60</v>
      </c>
      <c r="AA1521" s="20" t="s">
        <v>61</v>
      </c>
      <c r="AB1521" s="20" t="s">
        <v>82</v>
      </c>
      <c r="AC1521" s="28">
        <v>559.48</v>
      </c>
      <c r="AD1521" s="28">
        <f>SUM(BASE[[#This Row],[MONTO DE RENTA ]]*1.16)</f>
        <v>648.99680000000001</v>
      </c>
      <c r="AE1521" s="28" t="s">
        <v>83</v>
      </c>
      <c r="AF1521" s="28">
        <v>559.48275862068965</v>
      </c>
      <c r="AG1521" s="28">
        <v>649</v>
      </c>
      <c r="AI1521" s="29">
        <v>44937</v>
      </c>
      <c r="AJ1521" s="50">
        <v>46043</v>
      </c>
      <c r="AK152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1" s="30"/>
      <c r="AN1521" s="20" t="s">
        <v>99</v>
      </c>
      <c r="AP1521" s="20" t="s">
        <v>84</v>
      </c>
      <c r="AQ1521" s="20" t="s">
        <v>100</v>
      </c>
    </row>
    <row r="1522" spans="1:43" ht="16">
      <c r="A1522" s="20">
        <v>6672660652</v>
      </c>
      <c r="B1522" s="49">
        <v>960070</v>
      </c>
      <c r="C1522" s="20" t="s">
        <v>2102</v>
      </c>
      <c r="D1522" s="20" t="s">
        <v>383</v>
      </c>
      <c r="E1522" s="20" t="s">
        <v>1182</v>
      </c>
      <c r="F1522" s="20" t="s">
        <v>88</v>
      </c>
      <c r="G1522" s="20" t="s">
        <v>88</v>
      </c>
      <c r="H1522" s="20" t="s">
        <v>89</v>
      </c>
      <c r="I1522" s="20" t="s">
        <v>88</v>
      </c>
      <c r="J1522" s="22" t="s">
        <v>6887</v>
      </c>
      <c r="K1522" s="22" t="s">
        <v>6888</v>
      </c>
      <c r="L1522" s="23" t="s">
        <v>92</v>
      </c>
      <c r="M1522" s="24" t="s">
        <v>7738</v>
      </c>
      <c r="N1522" s="23">
        <v>18848041</v>
      </c>
      <c r="O1522" s="25" t="s">
        <v>866</v>
      </c>
      <c r="P1522" s="25" t="s">
        <v>53</v>
      </c>
      <c r="Q1522" s="20" t="s">
        <v>6889</v>
      </c>
      <c r="R1522" s="20">
        <v>21913997</v>
      </c>
      <c r="S1522" s="25" t="s">
        <v>55</v>
      </c>
      <c r="T1522" s="26" t="s">
        <v>56</v>
      </c>
      <c r="U1522" s="23">
        <v>0</v>
      </c>
      <c r="V1522" s="27" t="s">
        <v>78</v>
      </c>
      <c r="W1522" s="20" t="s">
        <v>5299</v>
      </c>
      <c r="X1522" s="20" t="s">
        <v>5299</v>
      </c>
      <c r="Y1522" s="20" t="s">
        <v>5299</v>
      </c>
      <c r="Z1522" s="20" t="s">
        <v>60</v>
      </c>
      <c r="AA1522" s="20" t="s">
        <v>61</v>
      </c>
      <c r="AB1522" s="20" t="s">
        <v>96</v>
      </c>
      <c r="AC1522" s="28">
        <v>369.83</v>
      </c>
      <c r="AD1522" s="28">
        <f>SUM(BASE[[#This Row],[MONTO DE RENTA ]]*1.16)</f>
        <v>429.00279999999998</v>
      </c>
      <c r="AE1522" s="28" t="s">
        <v>83</v>
      </c>
      <c r="AF1522" s="28">
        <v>559.48275862068965</v>
      </c>
      <c r="AG1522" s="28">
        <v>649</v>
      </c>
      <c r="AI1522" s="29">
        <v>44937</v>
      </c>
      <c r="AJ1522" s="50">
        <v>46043</v>
      </c>
      <c r="AK152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2" s="30"/>
      <c r="AN1522" s="20" t="s">
        <v>99</v>
      </c>
      <c r="AP1522" s="20" t="s">
        <v>66</v>
      </c>
      <c r="AQ1522" s="20" t="s">
        <v>100</v>
      </c>
    </row>
    <row r="1523" spans="1:43" ht="16">
      <c r="A1523" s="20">
        <v>8116685377</v>
      </c>
      <c r="B1523" s="21">
        <v>7027</v>
      </c>
      <c r="C1523" s="20" t="s">
        <v>195</v>
      </c>
      <c r="D1523" s="20" t="s">
        <v>45</v>
      </c>
      <c r="E1523" s="20" t="s">
        <v>3110</v>
      </c>
      <c r="F1523" s="20" t="s">
        <v>6890</v>
      </c>
      <c r="G1523" s="20" t="s">
        <v>6890</v>
      </c>
      <c r="H1523" s="20" t="s">
        <v>155</v>
      </c>
      <c r="I1523" s="20" t="s">
        <v>6890</v>
      </c>
      <c r="J1523" s="22" t="s">
        <v>6891</v>
      </c>
      <c r="K1523" s="32" t="s">
        <v>6892</v>
      </c>
      <c r="L1523" s="23" t="s">
        <v>92</v>
      </c>
      <c r="M1523" s="24" t="s">
        <v>7738</v>
      </c>
      <c r="N1523" s="23">
        <v>18848059</v>
      </c>
      <c r="O1523" s="25" t="s">
        <v>74</v>
      </c>
      <c r="P1523" s="25" t="s">
        <v>53</v>
      </c>
      <c r="Q1523" s="20" t="s">
        <v>6893</v>
      </c>
      <c r="R1523" s="20">
        <v>43163620</v>
      </c>
      <c r="S1523" s="25" t="s">
        <v>6894</v>
      </c>
      <c r="T1523" s="26" t="s">
        <v>57</v>
      </c>
      <c r="U1523" s="23">
        <v>860900062255369</v>
      </c>
      <c r="V1523" s="27" t="s">
        <v>57</v>
      </c>
      <c r="W1523" s="20" t="s">
        <v>58</v>
      </c>
      <c r="X1523" s="20" t="s">
        <v>59</v>
      </c>
      <c r="Y1523" s="20" t="s">
        <v>59</v>
      </c>
      <c r="Z1523" s="20" t="s">
        <v>131</v>
      </c>
      <c r="AA1523" s="20" t="s">
        <v>132</v>
      </c>
      <c r="AB1523" s="20" t="s">
        <v>96</v>
      </c>
      <c r="AC1523" s="28">
        <v>369.83</v>
      </c>
      <c r="AD1523" s="28">
        <f>SUM(BASE[[#This Row],[MONTO DE RENTA ]]*1.16)</f>
        <v>429.00279999999998</v>
      </c>
      <c r="AE1523" s="28" t="s">
        <v>63</v>
      </c>
      <c r="AF1523" s="28">
        <v>369.82758620689657</v>
      </c>
      <c r="AG1523" s="28">
        <v>429</v>
      </c>
      <c r="AH1523" s="22" t="s">
        <v>64</v>
      </c>
      <c r="AI1523" s="29">
        <v>45703</v>
      </c>
      <c r="AJ1523" s="29">
        <v>46433</v>
      </c>
      <c r="AK15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23" s="30"/>
      <c r="AN1523" s="20" t="s">
        <v>65</v>
      </c>
      <c r="AP1523" s="20" t="s">
        <v>84</v>
      </c>
    </row>
    <row r="1524" spans="1:43" ht="16">
      <c r="A1524" s="20">
        <v>8115704193</v>
      </c>
      <c r="B1524" s="49">
        <v>6802</v>
      </c>
      <c r="C1524" s="20" t="s">
        <v>6895</v>
      </c>
      <c r="D1524" s="20" t="s">
        <v>546</v>
      </c>
      <c r="E1524" s="20" t="s">
        <v>6896</v>
      </c>
      <c r="F1524" s="20" t="s">
        <v>5295</v>
      </c>
      <c r="G1524" s="20" t="s">
        <v>5295</v>
      </c>
      <c r="H1524" s="20" t="s">
        <v>155</v>
      </c>
      <c r="I1524" s="20" t="s">
        <v>5295</v>
      </c>
      <c r="J1524" s="22" t="s">
        <v>6897</v>
      </c>
      <c r="K1524" s="22" t="s">
        <v>6897</v>
      </c>
      <c r="L1524" s="23" t="s">
        <v>92</v>
      </c>
      <c r="M1524" s="24" t="s">
        <v>7738</v>
      </c>
      <c r="N1524" s="23">
        <v>18848003</v>
      </c>
      <c r="O1524" s="25" t="s">
        <v>74</v>
      </c>
      <c r="P1524" s="25" t="s">
        <v>53</v>
      </c>
      <c r="Q1524" s="20" t="s">
        <v>6898</v>
      </c>
      <c r="R1524" s="20">
        <v>43163614</v>
      </c>
      <c r="S1524" s="25" t="s">
        <v>55</v>
      </c>
      <c r="T1524" s="26" t="s">
        <v>56</v>
      </c>
      <c r="U1524" s="23">
        <v>357894929667033</v>
      </c>
      <c r="V1524" s="27" t="s">
        <v>78</v>
      </c>
      <c r="W1524" s="20" t="s">
        <v>95</v>
      </c>
      <c r="X1524" s="20" t="s">
        <v>95</v>
      </c>
      <c r="Y1524" s="20" t="s">
        <v>95</v>
      </c>
      <c r="Z1524" s="20" t="s">
        <v>60</v>
      </c>
      <c r="AA1524" s="20" t="s">
        <v>61</v>
      </c>
      <c r="AB1524" s="20" t="s">
        <v>82</v>
      </c>
      <c r="AC1524" s="28">
        <v>559.48</v>
      </c>
      <c r="AD1524" s="28">
        <f>SUM(BASE[[#This Row],[MONTO DE RENTA ]]*1.16)</f>
        <v>648.99680000000001</v>
      </c>
      <c r="AE1524" s="28" t="s">
        <v>83</v>
      </c>
      <c r="AF1524" s="28">
        <v>559.48275862068965</v>
      </c>
      <c r="AG1524" s="28">
        <v>649</v>
      </c>
      <c r="AI1524" s="29">
        <v>44937</v>
      </c>
      <c r="AJ1524" s="50">
        <v>46043</v>
      </c>
      <c r="AK152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4" s="30"/>
      <c r="AN1524" s="20" t="s">
        <v>99</v>
      </c>
      <c r="AP1524" s="20" t="s">
        <v>84</v>
      </c>
      <c r="AQ1524" s="20" t="s">
        <v>100</v>
      </c>
    </row>
    <row r="1525" spans="1:43" ht="16">
      <c r="A1525" s="20">
        <v>8115772696</v>
      </c>
      <c r="B1525" s="21">
        <v>4106</v>
      </c>
      <c r="C1525" s="20" t="s">
        <v>1793</v>
      </c>
      <c r="D1525" s="20" t="s">
        <v>1694</v>
      </c>
      <c r="E1525" s="20" t="s">
        <v>1362</v>
      </c>
      <c r="F1525" s="20" t="s">
        <v>5612</v>
      </c>
      <c r="G1525" s="20" t="s">
        <v>5612</v>
      </c>
      <c r="H1525" s="20" t="s">
        <v>199</v>
      </c>
      <c r="I1525" s="20" t="s">
        <v>5612</v>
      </c>
      <c r="J1525" s="22" t="s">
        <v>6899</v>
      </c>
      <c r="K1525" s="32" t="s">
        <v>6900</v>
      </c>
      <c r="L1525" s="23" t="s">
        <v>92</v>
      </c>
      <c r="M1525" s="24" t="s">
        <v>7738</v>
      </c>
      <c r="N1525" s="23">
        <v>18848076</v>
      </c>
      <c r="O1525" s="25" t="s">
        <v>74</v>
      </c>
      <c r="P1525" s="25" t="s">
        <v>53</v>
      </c>
      <c r="Q1525" s="20" t="s">
        <v>6901</v>
      </c>
      <c r="R1525" s="20">
        <v>43149844</v>
      </c>
      <c r="S1525" s="25" t="s">
        <v>6902</v>
      </c>
      <c r="T1525" s="26" t="s">
        <v>57</v>
      </c>
      <c r="U1525" s="23">
        <v>860900062335559</v>
      </c>
      <c r="V1525" s="27" t="s">
        <v>57</v>
      </c>
      <c r="W1525" s="20" t="s">
        <v>58</v>
      </c>
      <c r="X1525" s="20" t="s">
        <v>59</v>
      </c>
      <c r="Y1525" s="20" t="s">
        <v>59</v>
      </c>
      <c r="Z1525" s="20" t="s">
        <v>167</v>
      </c>
      <c r="AA1525" s="20" t="s">
        <v>168</v>
      </c>
      <c r="AB1525" s="20" t="s">
        <v>96</v>
      </c>
      <c r="AC1525" s="28">
        <v>369.83</v>
      </c>
      <c r="AD1525" s="28">
        <f>SUM(BASE[[#This Row],[MONTO DE RENTA ]]*1.16)</f>
        <v>429.00279999999998</v>
      </c>
      <c r="AE1525" s="28" t="s">
        <v>63</v>
      </c>
      <c r="AF1525" s="28">
        <v>369.82758620689657</v>
      </c>
      <c r="AG1525" s="28">
        <v>429</v>
      </c>
      <c r="AH1525" s="22" t="s">
        <v>64</v>
      </c>
      <c r="AI1525" s="29">
        <v>45703</v>
      </c>
      <c r="AJ1525" s="29">
        <v>46433</v>
      </c>
      <c r="AK152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25" s="30"/>
      <c r="AN1525" s="20" t="s">
        <v>65</v>
      </c>
      <c r="AP1525" s="20" t="s">
        <v>84</v>
      </c>
    </row>
    <row r="1526" spans="1:43" ht="16">
      <c r="A1526" s="20">
        <v>8113215926</v>
      </c>
      <c r="B1526" s="49">
        <v>10153</v>
      </c>
      <c r="C1526" s="20" t="s">
        <v>1586</v>
      </c>
      <c r="D1526" s="20" t="s">
        <v>999</v>
      </c>
      <c r="E1526" s="20" t="s">
        <v>3074</v>
      </c>
      <c r="F1526" s="20" t="s">
        <v>6903</v>
      </c>
      <c r="G1526" s="20" t="s">
        <v>6903</v>
      </c>
      <c r="H1526" s="20" t="s">
        <v>5320</v>
      </c>
      <c r="I1526" s="20" t="s">
        <v>6903</v>
      </c>
      <c r="J1526" s="22" t="s">
        <v>6904</v>
      </c>
      <c r="K1526" s="22" t="s">
        <v>6904</v>
      </c>
      <c r="L1526" s="23" t="s">
        <v>92</v>
      </c>
      <c r="M1526" s="24" t="s">
        <v>7738</v>
      </c>
      <c r="N1526" s="23">
        <v>18848105</v>
      </c>
      <c r="O1526" s="25" t="s">
        <v>74</v>
      </c>
      <c r="P1526" s="25" t="s">
        <v>53</v>
      </c>
      <c r="Q1526" s="20" t="s">
        <v>6905</v>
      </c>
      <c r="R1526" s="20">
        <v>42888686</v>
      </c>
      <c r="S1526" s="25" t="s">
        <v>55</v>
      </c>
      <c r="T1526" s="26" t="s">
        <v>56</v>
      </c>
      <c r="U1526" s="23">
        <v>357654178446640</v>
      </c>
      <c r="V1526" s="27" t="s">
        <v>78</v>
      </c>
      <c r="W1526" s="20" t="s">
        <v>95</v>
      </c>
      <c r="X1526" s="20" t="s">
        <v>95</v>
      </c>
      <c r="Y1526" s="20" t="s">
        <v>95</v>
      </c>
      <c r="Z1526" s="20" t="s">
        <v>60</v>
      </c>
      <c r="AA1526" s="20" t="s">
        <v>61</v>
      </c>
      <c r="AB1526" s="20" t="s">
        <v>82</v>
      </c>
      <c r="AC1526" s="28">
        <v>559.48</v>
      </c>
      <c r="AD1526" s="28">
        <f>SUM(BASE[[#This Row],[MONTO DE RENTA ]]*1.16)</f>
        <v>648.99680000000001</v>
      </c>
      <c r="AE1526" s="28" t="s">
        <v>83</v>
      </c>
      <c r="AF1526" s="28">
        <v>559.48275862068965</v>
      </c>
      <c r="AG1526" s="28">
        <v>649</v>
      </c>
      <c r="AI1526" s="29">
        <v>44937</v>
      </c>
      <c r="AJ1526" s="50">
        <v>46043</v>
      </c>
      <c r="AK152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6" s="30"/>
      <c r="AN1526" s="20" t="s">
        <v>99</v>
      </c>
      <c r="AP1526" s="20" t="s">
        <v>84</v>
      </c>
      <c r="AQ1526" s="20" t="s">
        <v>100</v>
      </c>
    </row>
    <row r="1527" spans="1:43" ht="16">
      <c r="A1527" s="20">
        <v>8118223363</v>
      </c>
      <c r="B1527" s="21">
        <v>1021992</v>
      </c>
      <c r="C1527" s="20" t="s">
        <v>6906</v>
      </c>
      <c r="D1527" s="20" t="s">
        <v>405</v>
      </c>
      <c r="E1527" s="20" t="s">
        <v>347</v>
      </c>
      <c r="F1527" s="20" t="s">
        <v>6907</v>
      </c>
      <c r="G1527" s="20" t="s">
        <v>6907</v>
      </c>
      <c r="H1527" s="20" t="s">
        <v>199</v>
      </c>
      <c r="I1527" s="20" t="s">
        <v>6907</v>
      </c>
      <c r="J1527" s="22" t="s">
        <v>6908</v>
      </c>
      <c r="K1527" s="22" t="s">
        <v>6909</v>
      </c>
      <c r="L1527" s="23" t="s">
        <v>92</v>
      </c>
      <c r="M1527" s="24" t="s">
        <v>7738</v>
      </c>
      <c r="N1527" s="23">
        <v>18848010</v>
      </c>
      <c r="O1527" s="25" t="s">
        <v>74</v>
      </c>
      <c r="P1527" s="25" t="s">
        <v>53</v>
      </c>
      <c r="Q1527" s="20" t="s">
        <v>6910</v>
      </c>
      <c r="R1527" s="20">
        <v>43131890</v>
      </c>
      <c r="S1527" s="25" t="s">
        <v>6911</v>
      </c>
      <c r="T1527" s="26" t="s">
        <v>57</v>
      </c>
      <c r="U1527" s="23">
        <v>357654178582147</v>
      </c>
      <c r="V1527" s="27" t="s">
        <v>78</v>
      </c>
      <c r="W1527" s="20" t="s">
        <v>95</v>
      </c>
      <c r="X1527" s="20" t="s">
        <v>95</v>
      </c>
      <c r="Y1527" s="20" t="s">
        <v>95</v>
      </c>
      <c r="Z1527" s="20" t="s">
        <v>131</v>
      </c>
      <c r="AA1527" s="20" t="s">
        <v>132</v>
      </c>
      <c r="AB1527" s="20" t="s">
        <v>96</v>
      </c>
      <c r="AC1527" s="28">
        <v>369.83</v>
      </c>
      <c r="AD1527" s="28">
        <f>SUM(BASE[[#This Row],[MONTO DE RENTA ]]*1.16)</f>
        <v>429.00279999999998</v>
      </c>
      <c r="AE1527" s="28" t="s">
        <v>83</v>
      </c>
      <c r="AF1527" s="28">
        <v>559.48275862068965</v>
      </c>
      <c r="AG1527" s="28">
        <v>649</v>
      </c>
      <c r="AI1527" s="29">
        <v>44937</v>
      </c>
      <c r="AJ1527" s="46">
        <v>46054</v>
      </c>
      <c r="AK152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7" s="30"/>
      <c r="AN1527" s="20" t="s">
        <v>99</v>
      </c>
      <c r="AP1527" s="20" t="s">
        <v>66</v>
      </c>
      <c r="AQ1527" s="20" t="s">
        <v>100</v>
      </c>
    </row>
    <row r="1528" spans="1:43" ht="16">
      <c r="A1528" s="20">
        <v>8135515220</v>
      </c>
      <c r="B1528" s="21">
        <v>1041964</v>
      </c>
      <c r="C1528" s="20" t="s">
        <v>2834</v>
      </c>
      <c r="D1528" s="20" t="s">
        <v>6912</v>
      </c>
      <c r="E1528" s="20" t="s">
        <v>152</v>
      </c>
      <c r="F1528" s="20" t="s">
        <v>6913</v>
      </c>
      <c r="G1528" s="20" t="s">
        <v>6913</v>
      </c>
      <c r="H1528" s="20" t="s">
        <v>5730</v>
      </c>
      <c r="I1528" s="20" t="s">
        <v>6913</v>
      </c>
      <c r="J1528" s="22" t="s">
        <v>6914</v>
      </c>
      <c r="K1528" s="32" t="s">
        <v>6915</v>
      </c>
      <c r="L1528" s="23" t="s">
        <v>92</v>
      </c>
      <c r="M1528" s="24" t="s">
        <v>7738</v>
      </c>
      <c r="N1528" s="23">
        <v>18848006</v>
      </c>
      <c r="O1528" s="25" t="s">
        <v>74</v>
      </c>
      <c r="P1528" s="25" t="s">
        <v>53</v>
      </c>
      <c r="Q1528" s="20" t="s">
        <v>6916</v>
      </c>
      <c r="R1528" s="20">
        <v>44918899</v>
      </c>
      <c r="S1528" s="25" t="s">
        <v>6917</v>
      </c>
      <c r="T1528" s="26" t="s">
        <v>57</v>
      </c>
      <c r="U1528" s="23">
        <v>860900062337969</v>
      </c>
      <c r="V1528" s="27" t="s">
        <v>57</v>
      </c>
      <c r="W1528" s="20" t="s">
        <v>58</v>
      </c>
      <c r="X1528" s="20" t="s">
        <v>59</v>
      </c>
      <c r="Y1528" s="20" t="s">
        <v>59</v>
      </c>
      <c r="Z1528" s="20" t="s">
        <v>167</v>
      </c>
      <c r="AA1528" s="20" t="s">
        <v>168</v>
      </c>
      <c r="AB1528" s="20" t="s">
        <v>96</v>
      </c>
      <c r="AC1528" s="28">
        <v>369.83</v>
      </c>
      <c r="AD1528" s="28">
        <f>SUM(BASE[[#This Row],[MONTO DE RENTA ]]*1.16)</f>
        <v>429.00279999999998</v>
      </c>
      <c r="AE1528" s="28" t="s">
        <v>63</v>
      </c>
      <c r="AF1528" s="28">
        <v>369.82758620689657</v>
      </c>
      <c r="AG1528" s="28">
        <v>429</v>
      </c>
      <c r="AH1528" s="22" t="s">
        <v>64</v>
      </c>
      <c r="AI1528" s="63">
        <v>45713</v>
      </c>
      <c r="AJ1528" s="63">
        <v>46433</v>
      </c>
      <c r="AK152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28" s="30"/>
      <c r="AN1528" s="20" t="s">
        <v>65</v>
      </c>
      <c r="AP1528" s="20" t="s">
        <v>84</v>
      </c>
    </row>
    <row r="1529" spans="1:43" ht="16">
      <c r="A1529" s="20">
        <v>5527794394</v>
      </c>
      <c r="B1529" s="49">
        <v>20187</v>
      </c>
      <c r="C1529" s="20" t="s">
        <v>639</v>
      </c>
      <c r="D1529" s="20" t="s">
        <v>102</v>
      </c>
      <c r="E1529" s="20" t="s">
        <v>347</v>
      </c>
      <c r="F1529" s="20" t="s">
        <v>6918</v>
      </c>
      <c r="G1529" s="20" t="s">
        <v>6918</v>
      </c>
      <c r="H1529" s="20" t="s">
        <v>155</v>
      </c>
      <c r="I1529" s="20" t="s">
        <v>6918</v>
      </c>
      <c r="J1529" s="22" t="s">
        <v>6919</v>
      </c>
      <c r="K1529" s="22" t="s">
        <v>6920</v>
      </c>
      <c r="L1529" s="23" t="s">
        <v>92</v>
      </c>
      <c r="M1529" s="24" t="s">
        <v>7738</v>
      </c>
      <c r="N1529" s="23">
        <v>18848080</v>
      </c>
      <c r="O1529" s="25" t="s">
        <v>52</v>
      </c>
      <c r="P1529" s="25" t="s">
        <v>53</v>
      </c>
      <c r="Q1529" s="20" t="s">
        <v>6921</v>
      </c>
      <c r="R1529" s="20">
        <v>9434317</v>
      </c>
      <c r="S1529" s="25" t="s">
        <v>55</v>
      </c>
      <c r="T1529" s="26" t="s">
        <v>56</v>
      </c>
      <c r="U1529" s="23">
        <v>354435325037604</v>
      </c>
      <c r="V1529" s="27" t="s">
        <v>78</v>
      </c>
      <c r="W1529" s="20" t="s">
        <v>5430</v>
      </c>
      <c r="X1529" s="20" t="s">
        <v>5430</v>
      </c>
      <c r="Y1529" s="20" t="s">
        <v>5430</v>
      </c>
      <c r="Z1529" s="20" t="s">
        <v>60</v>
      </c>
      <c r="AA1529" s="20" t="s">
        <v>61</v>
      </c>
      <c r="AB1529" s="20" t="s">
        <v>82</v>
      </c>
      <c r="AC1529" s="28">
        <v>559.48</v>
      </c>
      <c r="AD1529" s="28">
        <f>SUM(BASE[[#This Row],[MONTO DE RENTA ]]*1.16)</f>
        <v>648.99680000000001</v>
      </c>
      <c r="AE1529" s="28" t="s">
        <v>83</v>
      </c>
      <c r="AF1529" s="28">
        <v>559.48275862068965</v>
      </c>
      <c r="AG1529" s="28">
        <v>649</v>
      </c>
      <c r="AI1529" s="29">
        <v>44937</v>
      </c>
      <c r="AJ1529" s="50">
        <v>46043</v>
      </c>
      <c r="AK152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29" s="30"/>
      <c r="AN1529" s="20" t="s">
        <v>99</v>
      </c>
      <c r="AP1529" s="20" t="s">
        <v>84</v>
      </c>
      <c r="AQ1529" s="20" t="s">
        <v>100</v>
      </c>
    </row>
    <row r="1530" spans="1:43" ht="16">
      <c r="A1530" s="20">
        <v>8113688429</v>
      </c>
      <c r="B1530" s="49">
        <v>100350</v>
      </c>
      <c r="C1530" s="20" t="s">
        <v>639</v>
      </c>
      <c r="D1530" s="20" t="s">
        <v>6922</v>
      </c>
      <c r="E1530" s="20" t="s">
        <v>371</v>
      </c>
      <c r="F1530" s="20" t="s">
        <v>6923</v>
      </c>
      <c r="G1530" s="20" t="s">
        <v>6923</v>
      </c>
      <c r="H1530" s="20" t="s">
        <v>5381</v>
      </c>
      <c r="I1530" s="20" t="s">
        <v>6923</v>
      </c>
      <c r="J1530" s="32" t="s">
        <v>6924</v>
      </c>
      <c r="K1530" s="32" t="s">
        <v>6924</v>
      </c>
      <c r="L1530" s="23" t="s">
        <v>92</v>
      </c>
      <c r="M1530" s="24" t="s">
        <v>7738</v>
      </c>
      <c r="N1530" s="23">
        <v>18848084</v>
      </c>
      <c r="O1530" s="25" t="s">
        <v>74</v>
      </c>
      <c r="P1530" s="25" t="s">
        <v>53</v>
      </c>
      <c r="Q1530" s="20" t="s">
        <v>6925</v>
      </c>
      <c r="R1530" s="20">
        <v>42920440</v>
      </c>
      <c r="S1530" s="25" t="s">
        <v>55</v>
      </c>
      <c r="T1530" s="26" t="s">
        <v>56</v>
      </c>
      <c r="U1530" s="23">
        <v>865356065671893</v>
      </c>
      <c r="V1530" s="27" t="s">
        <v>183</v>
      </c>
      <c r="W1530" s="20" t="s">
        <v>129</v>
      </c>
      <c r="X1530" s="20" t="s">
        <v>130</v>
      </c>
      <c r="Y1530" s="20" t="s">
        <v>130</v>
      </c>
      <c r="Z1530" s="20" t="s">
        <v>60</v>
      </c>
      <c r="AA1530" s="20" t="s">
        <v>61</v>
      </c>
      <c r="AB1530" s="20" t="s">
        <v>96</v>
      </c>
      <c r="AC1530" s="28">
        <v>369.83</v>
      </c>
      <c r="AD1530" s="28">
        <f>SUM(BASE[[#This Row],[MONTO DE RENTA ]]*1.16)</f>
        <v>429.00279999999998</v>
      </c>
      <c r="AE1530" s="28" t="s">
        <v>63</v>
      </c>
      <c r="AF1530" s="28">
        <v>369.82758620689657</v>
      </c>
      <c r="AG1530" s="28">
        <v>429</v>
      </c>
      <c r="AI1530" s="63">
        <v>44937</v>
      </c>
      <c r="AJ1530" s="73">
        <v>46043</v>
      </c>
      <c r="AK153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30" s="30"/>
      <c r="AN1530" s="20" t="s">
        <v>99</v>
      </c>
      <c r="AP1530" s="20" t="s">
        <v>84</v>
      </c>
      <c r="AQ1530" s="20" t="s">
        <v>100</v>
      </c>
    </row>
    <row r="1531" spans="1:43" ht="16">
      <c r="A1531" s="20">
        <v>8126801165</v>
      </c>
      <c r="B1531" s="21">
        <v>1031516</v>
      </c>
      <c r="C1531" s="20" t="s">
        <v>6926</v>
      </c>
      <c r="D1531" s="20" t="s">
        <v>1144</v>
      </c>
      <c r="E1531" s="20" t="s">
        <v>3074</v>
      </c>
      <c r="F1531" s="20" t="s">
        <v>5329</v>
      </c>
      <c r="G1531" s="20" t="s">
        <v>5329</v>
      </c>
      <c r="H1531" s="20" t="s">
        <v>155</v>
      </c>
      <c r="I1531" s="20" t="s">
        <v>5329</v>
      </c>
      <c r="J1531" s="32" t="s">
        <v>6927</v>
      </c>
      <c r="K1531" s="32" t="s">
        <v>6928</v>
      </c>
      <c r="L1531" s="23" t="s">
        <v>92</v>
      </c>
      <c r="M1531" s="24" t="s">
        <v>7738</v>
      </c>
      <c r="N1531" s="23">
        <v>18848013</v>
      </c>
      <c r="O1531" s="25" t="s">
        <v>74</v>
      </c>
      <c r="P1531" s="25" t="s">
        <v>53</v>
      </c>
      <c r="Q1531" s="20" t="s">
        <v>6929</v>
      </c>
      <c r="R1531" s="20">
        <v>44114355</v>
      </c>
      <c r="S1531" s="25" t="s">
        <v>6930</v>
      </c>
      <c r="T1531" s="26" t="s">
        <v>57</v>
      </c>
      <c r="U1531" s="23">
        <v>860900062335153</v>
      </c>
      <c r="V1531" s="27" t="s">
        <v>57</v>
      </c>
      <c r="W1531" s="20" t="s">
        <v>58</v>
      </c>
      <c r="X1531" s="20" t="s">
        <v>59</v>
      </c>
      <c r="Y1531" s="20" t="s">
        <v>59</v>
      </c>
      <c r="Z1531" s="20" t="s">
        <v>167</v>
      </c>
      <c r="AA1531" s="20" t="s">
        <v>168</v>
      </c>
      <c r="AB1531" s="20" t="s">
        <v>96</v>
      </c>
      <c r="AC1531" s="28">
        <v>369.83</v>
      </c>
      <c r="AD1531" s="28">
        <f>SUM(BASE[[#This Row],[MONTO DE RENTA ]]*1.16)</f>
        <v>429.00279999999998</v>
      </c>
      <c r="AE1531" s="28" t="s">
        <v>63</v>
      </c>
      <c r="AF1531" s="28">
        <v>369.82758620689657</v>
      </c>
      <c r="AG1531" s="28">
        <v>429</v>
      </c>
      <c r="AH1531" s="22" t="s">
        <v>64</v>
      </c>
      <c r="AI1531" s="63">
        <v>45713</v>
      </c>
      <c r="AJ1531" s="63">
        <v>46433</v>
      </c>
      <c r="AK15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31" s="30"/>
      <c r="AN1531" s="20" t="s">
        <v>65</v>
      </c>
      <c r="AP1531" s="20" t="s">
        <v>84</v>
      </c>
    </row>
    <row r="1532" spans="1:43" ht="16">
      <c r="A1532" s="20">
        <v>8112778597</v>
      </c>
      <c r="B1532" s="21">
        <v>640004</v>
      </c>
      <c r="C1532" s="20" t="s">
        <v>6931</v>
      </c>
      <c r="D1532" s="20" t="s">
        <v>4828</v>
      </c>
      <c r="E1532" s="20" t="s">
        <v>358</v>
      </c>
      <c r="F1532" s="20" t="s">
        <v>6448</v>
      </c>
      <c r="G1532" s="20" t="s">
        <v>6448</v>
      </c>
      <c r="H1532" s="20" t="s">
        <v>5381</v>
      </c>
      <c r="I1532" s="20" t="s">
        <v>6448</v>
      </c>
      <c r="J1532" s="32" t="s">
        <v>6932</v>
      </c>
      <c r="K1532" s="32" t="s">
        <v>6932</v>
      </c>
      <c r="L1532" s="23" t="s">
        <v>92</v>
      </c>
      <c r="M1532" s="24" t="s">
        <v>7738</v>
      </c>
      <c r="N1532" s="23">
        <v>18848018</v>
      </c>
      <c r="O1532" s="25" t="s">
        <v>74</v>
      </c>
      <c r="P1532" s="25" t="s">
        <v>53</v>
      </c>
      <c r="Q1532" s="20" t="s">
        <v>6933</v>
      </c>
      <c r="R1532" s="20">
        <v>45142622</v>
      </c>
      <c r="S1532" s="25" t="s">
        <v>6934</v>
      </c>
      <c r="T1532" s="26" t="s">
        <v>77</v>
      </c>
      <c r="U1532" s="23">
        <v>358366320604799</v>
      </c>
      <c r="V1532" s="27" t="s">
        <v>78</v>
      </c>
      <c r="W1532" s="20" t="s">
        <v>79</v>
      </c>
      <c r="X1532" s="20" t="s">
        <v>79</v>
      </c>
      <c r="Y1532" s="20" t="s">
        <v>79</v>
      </c>
      <c r="Z1532" s="20" t="s">
        <v>167</v>
      </c>
      <c r="AA1532" s="20" t="s">
        <v>168</v>
      </c>
      <c r="AB1532" s="20" t="s">
        <v>82</v>
      </c>
      <c r="AC1532" s="28">
        <v>559.48</v>
      </c>
      <c r="AD1532" s="28">
        <f>SUM(BASE[[#This Row],[MONTO DE RENTA ]]*1.16)</f>
        <v>648.99680000000001</v>
      </c>
      <c r="AE1532" s="28" t="s">
        <v>83</v>
      </c>
      <c r="AF1532" s="28">
        <v>559.48275862068965</v>
      </c>
      <c r="AG1532" s="28">
        <v>649</v>
      </c>
      <c r="AH1532" s="22" t="s">
        <v>64</v>
      </c>
      <c r="AI1532" s="29">
        <v>45703</v>
      </c>
      <c r="AJ1532" s="29">
        <v>46433</v>
      </c>
      <c r="AK15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32" s="30"/>
      <c r="AN1532" s="20" t="s">
        <v>65</v>
      </c>
      <c r="AP1532" s="20" t="s">
        <v>84</v>
      </c>
    </row>
    <row r="1533" spans="1:43" ht="16">
      <c r="A1533" s="20">
        <v>8134036497</v>
      </c>
      <c r="B1533" s="21">
        <v>996598</v>
      </c>
      <c r="C1533" s="20" t="s">
        <v>6935</v>
      </c>
      <c r="D1533" s="20" t="s">
        <v>6936</v>
      </c>
      <c r="E1533" s="20" t="s">
        <v>172</v>
      </c>
      <c r="F1533" s="20" t="s">
        <v>154</v>
      </c>
      <c r="G1533" s="20" t="s">
        <v>154</v>
      </c>
      <c r="H1533" s="20" t="s">
        <v>155</v>
      </c>
      <c r="I1533" s="20" t="s">
        <v>154</v>
      </c>
      <c r="J1533" s="22" t="s">
        <v>6937</v>
      </c>
      <c r="K1533" s="22" t="s">
        <v>6938</v>
      </c>
      <c r="L1533" s="23" t="s">
        <v>92</v>
      </c>
      <c r="M1533" s="24" t="s">
        <v>7738</v>
      </c>
      <c r="N1533" s="23">
        <v>18848003</v>
      </c>
      <c r="O1533" s="25" t="s">
        <v>74</v>
      </c>
      <c r="P1533" s="25" t="s">
        <v>53</v>
      </c>
      <c r="Q1533" s="20" t="s">
        <v>6939</v>
      </c>
      <c r="R1533" s="20">
        <v>44508865</v>
      </c>
      <c r="S1533" s="25" t="s">
        <v>6940</v>
      </c>
      <c r="T1533" s="81" t="s">
        <v>57</v>
      </c>
      <c r="U1533" s="23">
        <v>351835921553545</v>
      </c>
      <c r="V1533" s="27" t="s">
        <v>78</v>
      </c>
      <c r="W1533" s="20" t="s">
        <v>95</v>
      </c>
      <c r="X1533" s="20" t="s">
        <v>95</v>
      </c>
      <c r="Y1533" s="20" t="s">
        <v>95</v>
      </c>
      <c r="Z1533" s="20" t="s">
        <v>167</v>
      </c>
      <c r="AA1533" s="20" t="s">
        <v>168</v>
      </c>
      <c r="AB1533" s="20" t="s">
        <v>96</v>
      </c>
      <c r="AC1533" s="28">
        <v>369.83</v>
      </c>
      <c r="AD1533" s="28">
        <f>SUM(BASE[[#This Row],[MONTO DE RENTA ]]*1.16)</f>
        <v>429.00279999999998</v>
      </c>
      <c r="AE1533" s="28" t="s">
        <v>83</v>
      </c>
      <c r="AF1533" s="28">
        <v>559.48275862068965</v>
      </c>
      <c r="AG1533" s="28">
        <v>649</v>
      </c>
      <c r="AI1533" s="29">
        <v>44937</v>
      </c>
      <c r="AJ1533" s="29">
        <v>46081</v>
      </c>
      <c r="AK1533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533" s="30"/>
      <c r="AN1533" s="20" t="s">
        <v>99</v>
      </c>
      <c r="AP1533" s="20" t="s">
        <v>66</v>
      </c>
      <c r="AQ1533" s="20" t="s">
        <v>100</v>
      </c>
    </row>
    <row r="1534" spans="1:43" ht="16">
      <c r="A1534" s="20">
        <v>8135515215</v>
      </c>
      <c r="B1534" s="59">
        <v>1012185</v>
      </c>
      <c r="C1534" s="20" t="s">
        <v>6941</v>
      </c>
      <c r="D1534" s="20" t="s">
        <v>6942</v>
      </c>
      <c r="E1534" s="20" t="s">
        <v>2845</v>
      </c>
      <c r="F1534" s="20" t="s">
        <v>6943</v>
      </c>
      <c r="G1534" s="20" t="s">
        <v>6943</v>
      </c>
      <c r="H1534" s="20" t="s">
        <v>155</v>
      </c>
      <c r="I1534" s="20" t="s">
        <v>6943</v>
      </c>
      <c r="J1534" s="22" t="s">
        <v>6944</v>
      </c>
      <c r="K1534" s="22" t="s">
        <v>6944</v>
      </c>
      <c r="L1534" s="23" t="s">
        <v>92</v>
      </c>
      <c r="M1534" s="24" t="s">
        <v>7738</v>
      </c>
      <c r="N1534" s="23">
        <v>18848072</v>
      </c>
      <c r="O1534" s="25" t="s">
        <v>74</v>
      </c>
      <c r="P1534" s="25" t="s">
        <v>53</v>
      </c>
      <c r="Q1534" s="20" t="s">
        <v>6945</v>
      </c>
      <c r="R1534" s="20">
        <v>44918895</v>
      </c>
      <c r="S1534" s="25" t="s">
        <v>6946</v>
      </c>
      <c r="T1534" s="26" t="s">
        <v>77</v>
      </c>
      <c r="U1534" s="23">
        <v>358366320786224</v>
      </c>
      <c r="V1534" s="27" t="s">
        <v>78</v>
      </c>
      <c r="W1534" s="20" t="s">
        <v>79</v>
      </c>
      <c r="X1534" s="20" t="s">
        <v>79</v>
      </c>
      <c r="Y1534" s="20" t="s">
        <v>79</v>
      </c>
      <c r="Z1534" s="20" t="s">
        <v>167</v>
      </c>
      <c r="AA1534" s="20" t="s">
        <v>168</v>
      </c>
      <c r="AB1534" s="20" t="s">
        <v>82</v>
      </c>
      <c r="AC1534" s="28">
        <v>559.48</v>
      </c>
      <c r="AD1534" s="28">
        <f>SUM(BASE[[#This Row],[MONTO DE RENTA ]]*1.16)</f>
        <v>648.99680000000001</v>
      </c>
      <c r="AE1534" s="28" t="s">
        <v>83</v>
      </c>
      <c r="AF1534" s="28">
        <v>559.48275862068965</v>
      </c>
      <c r="AG1534" s="28">
        <v>649</v>
      </c>
      <c r="AH1534" s="22" t="s">
        <v>64</v>
      </c>
      <c r="AI1534" s="63">
        <v>45713</v>
      </c>
      <c r="AJ1534" s="63">
        <v>46433</v>
      </c>
      <c r="AK153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34" s="30"/>
      <c r="AN1534" s="20" t="s">
        <v>65</v>
      </c>
      <c r="AP1534" s="20" t="s">
        <v>84</v>
      </c>
    </row>
    <row r="1535" spans="1:43" ht="16">
      <c r="A1535" s="20">
        <v>8113908974</v>
      </c>
      <c r="B1535" s="21">
        <v>6669</v>
      </c>
      <c r="C1535" s="20" t="s">
        <v>1147</v>
      </c>
      <c r="D1535" s="20" t="s">
        <v>476</v>
      </c>
      <c r="E1535" s="20" t="s">
        <v>6077</v>
      </c>
      <c r="F1535" s="20" t="s">
        <v>6947</v>
      </c>
      <c r="G1535" s="20" t="s">
        <v>6947</v>
      </c>
      <c r="H1535" s="20" t="s">
        <v>199</v>
      </c>
      <c r="I1535" s="20" t="s">
        <v>6947</v>
      </c>
      <c r="J1535" s="22" t="s">
        <v>6948</v>
      </c>
      <c r="K1535" s="32" t="s">
        <v>6949</v>
      </c>
      <c r="L1535" s="23" t="s">
        <v>92</v>
      </c>
      <c r="M1535" s="24" t="s">
        <v>7738</v>
      </c>
      <c r="N1535" s="23">
        <v>18848009</v>
      </c>
      <c r="O1535" s="25" t="s">
        <v>74</v>
      </c>
      <c r="P1535" s="25" t="s">
        <v>53</v>
      </c>
      <c r="Q1535" s="20" t="s">
        <v>6950</v>
      </c>
      <c r="R1535" s="20">
        <v>43163598</v>
      </c>
      <c r="S1535" s="25" t="s">
        <v>6951</v>
      </c>
      <c r="T1535" s="26" t="s">
        <v>57</v>
      </c>
      <c r="U1535" s="23">
        <v>860900062336250</v>
      </c>
      <c r="V1535" s="27" t="s">
        <v>57</v>
      </c>
      <c r="W1535" s="20" t="s">
        <v>58</v>
      </c>
      <c r="X1535" s="20" t="s">
        <v>59</v>
      </c>
      <c r="Y1535" s="20" t="s">
        <v>59</v>
      </c>
      <c r="Z1535" s="20" t="s">
        <v>167</v>
      </c>
      <c r="AA1535" s="20" t="s">
        <v>168</v>
      </c>
      <c r="AB1535" s="20" t="s">
        <v>96</v>
      </c>
      <c r="AC1535" s="28">
        <v>369.83</v>
      </c>
      <c r="AD1535" s="28">
        <f>SUM(BASE[[#This Row],[MONTO DE RENTA ]]*1.16)</f>
        <v>429.00279999999998</v>
      </c>
      <c r="AE1535" s="28" t="s">
        <v>63</v>
      </c>
      <c r="AF1535" s="28">
        <v>369.82758620689657</v>
      </c>
      <c r="AG1535" s="28">
        <v>429</v>
      </c>
      <c r="AH1535" s="22" t="s">
        <v>64</v>
      </c>
      <c r="AI1535" s="63">
        <v>45703</v>
      </c>
      <c r="AJ1535" s="63">
        <v>46433</v>
      </c>
      <c r="AK15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535" s="310"/>
      <c r="AM1535" s="30"/>
      <c r="AN1535" s="20" t="s">
        <v>65</v>
      </c>
      <c r="AP1535" s="20" t="s">
        <v>84</v>
      </c>
    </row>
    <row r="1536" spans="1:43" ht="16">
      <c r="A1536" s="20">
        <v>8120295708</v>
      </c>
      <c r="B1536" s="49">
        <v>6410</v>
      </c>
      <c r="C1536" s="20" t="s">
        <v>6952</v>
      </c>
      <c r="D1536" s="20" t="s">
        <v>5262</v>
      </c>
      <c r="E1536" s="20" t="s">
        <v>4828</v>
      </c>
      <c r="F1536" s="20" t="s">
        <v>6953</v>
      </c>
      <c r="G1536" s="20" t="s">
        <v>6953</v>
      </c>
      <c r="H1536" s="20" t="s">
        <v>208</v>
      </c>
      <c r="I1536" s="20" t="s">
        <v>6953</v>
      </c>
      <c r="J1536" s="22" t="s">
        <v>6954</v>
      </c>
      <c r="K1536" s="32" t="s">
        <v>6955</v>
      </c>
      <c r="L1536" s="23" t="s">
        <v>92</v>
      </c>
      <c r="M1536" s="24" t="s">
        <v>7738</v>
      </c>
      <c r="N1536" s="23">
        <v>18848106</v>
      </c>
      <c r="O1536" s="25" t="s">
        <v>74</v>
      </c>
      <c r="P1536" s="25" t="s">
        <v>53</v>
      </c>
      <c r="Q1536" s="20" t="s">
        <v>6956</v>
      </c>
      <c r="R1536" s="20">
        <v>43514487</v>
      </c>
      <c r="S1536" s="25" t="s">
        <v>55</v>
      </c>
      <c r="T1536" s="26" t="s">
        <v>56</v>
      </c>
      <c r="U1536" s="23">
        <v>865356065728230</v>
      </c>
      <c r="V1536" s="27" t="s">
        <v>183</v>
      </c>
      <c r="W1536" s="20" t="s">
        <v>129</v>
      </c>
      <c r="X1536" s="20" t="s">
        <v>130</v>
      </c>
      <c r="Y1536" s="20" t="s">
        <v>130</v>
      </c>
      <c r="Z1536" s="20" t="s">
        <v>60</v>
      </c>
      <c r="AA1536" s="20" t="s">
        <v>61</v>
      </c>
      <c r="AB1536" s="20" t="s">
        <v>96</v>
      </c>
      <c r="AC1536" s="28">
        <v>369.83</v>
      </c>
      <c r="AD1536" s="28">
        <f>SUM(BASE[[#This Row],[MONTO DE RENTA ]]*1.16)</f>
        <v>429.00279999999998</v>
      </c>
      <c r="AE1536" s="28" t="s">
        <v>63</v>
      </c>
      <c r="AF1536" s="28">
        <v>369.82758620689657</v>
      </c>
      <c r="AG1536" s="28">
        <v>429</v>
      </c>
      <c r="AI1536" s="63">
        <v>44937</v>
      </c>
      <c r="AJ1536" s="73">
        <v>46043</v>
      </c>
      <c r="AK15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36" s="30"/>
      <c r="AN1536" s="20" t="s">
        <v>99</v>
      </c>
      <c r="AP1536" s="20" t="s">
        <v>84</v>
      </c>
      <c r="AQ1536" s="20" t="s">
        <v>100</v>
      </c>
    </row>
    <row r="1537" spans="1:43" ht="16">
      <c r="A1537" s="20">
        <v>8126810143</v>
      </c>
      <c r="B1537" s="49">
        <v>11168</v>
      </c>
      <c r="C1537" s="20" t="s">
        <v>1147</v>
      </c>
      <c r="D1537" s="20" t="s">
        <v>5922</v>
      </c>
      <c r="E1537" s="20" t="s">
        <v>983</v>
      </c>
      <c r="F1537" s="20" t="s">
        <v>6005</v>
      </c>
      <c r="G1537" s="20" t="s">
        <v>6005</v>
      </c>
      <c r="H1537" s="20" t="s">
        <v>5381</v>
      </c>
      <c r="I1537" s="20" t="s">
        <v>6005</v>
      </c>
      <c r="J1537" s="32" t="s">
        <v>6957</v>
      </c>
      <c r="K1537" s="32" t="s">
        <v>6958</v>
      </c>
      <c r="L1537" s="23" t="s">
        <v>92</v>
      </c>
      <c r="M1537" s="24" t="s">
        <v>7738</v>
      </c>
      <c r="N1537" s="23">
        <v>18848084</v>
      </c>
      <c r="O1537" s="25" t="s">
        <v>74</v>
      </c>
      <c r="P1537" s="25" t="s">
        <v>53</v>
      </c>
      <c r="Q1537" s="20" t="s">
        <v>6959</v>
      </c>
      <c r="R1537" s="20">
        <v>44114502</v>
      </c>
      <c r="S1537" s="25" t="s">
        <v>55</v>
      </c>
      <c r="T1537" s="26" t="s">
        <v>56</v>
      </c>
      <c r="U1537" s="23">
        <v>860900062336474</v>
      </c>
      <c r="V1537" s="27" t="s">
        <v>183</v>
      </c>
      <c r="W1537" s="20" t="s">
        <v>58</v>
      </c>
      <c r="X1537" s="20" t="s">
        <v>59</v>
      </c>
      <c r="Y1537" s="20" t="s">
        <v>59</v>
      </c>
      <c r="Z1537" s="20" t="s">
        <v>60</v>
      </c>
      <c r="AA1537" s="20" t="s">
        <v>61</v>
      </c>
      <c r="AB1537" s="20" t="s">
        <v>96</v>
      </c>
      <c r="AC1537" s="28">
        <v>369.83</v>
      </c>
      <c r="AD1537" s="28">
        <f>SUM(BASE[[#This Row],[MONTO DE RENTA ]]*1.16)</f>
        <v>429.00279999999998</v>
      </c>
      <c r="AE1537" s="28" t="s">
        <v>63</v>
      </c>
      <c r="AF1537" s="28">
        <v>369.82758620689657</v>
      </c>
      <c r="AG1537" s="28">
        <v>429</v>
      </c>
      <c r="AH1537" s="22" t="s">
        <v>140</v>
      </c>
      <c r="AI1537" s="84">
        <v>46043</v>
      </c>
      <c r="AJ1537" s="73">
        <v>46773</v>
      </c>
      <c r="AK1537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537" s="30"/>
      <c r="AN1537" s="20" t="s">
        <v>99</v>
      </c>
      <c r="AP1537" s="20" t="s">
        <v>84</v>
      </c>
      <c r="AQ1537" s="20" t="s">
        <v>100</v>
      </c>
    </row>
    <row r="1538" spans="1:43" ht="16">
      <c r="A1538" s="20">
        <v>8184720308</v>
      </c>
      <c r="B1538" s="21">
        <v>1050777</v>
      </c>
      <c r="C1538" s="20" t="s">
        <v>1147</v>
      </c>
      <c r="D1538" s="20" t="s">
        <v>1351</v>
      </c>
      <c r="E1538" s="20" t="s">
        <v>437</v>
      </c>
      <c r="F1538" s="20" t="s">
        <v>6960</v>
      </c>
      <c r="G1538" s="20" t="s">
        <v>6960</v>
      </c>
      <c r="H1538" s="20" t="s">
        <v>5289</v>
      </c>
      <c r="I1538" s="20" t="s">
        <v>6960</v>
      </c>
      <c r="J1538" s="22" t="s">
        <v>6961</v>
      </c>
      <c r="K1538" s="22" t="s">
        <v>6961</v>
      </c>
      <c r="L1538" s="23" t="s">
        <v>92</v>
      </c>
      <c r="M1538" s="24" t="s">
        <v>7738</v>
      </c>
      <c r="N1538" s="23">
        <v>18848004</v>
      </c>
      <c r="O1538" s="25" t="s">
        <v>74</v>
      </c>
      <c r="P1538" s="25" t="s">
        <v>53</v>
      </c>
      <c r="Q1538" s="20" t="s">
        <v>6962</v>
      </c>
      <c r="R1538" s="20">
        <v>45017356</v>
      </c>
      <c r="S1538" s="25" t="s">
        <v>6963</v>
      </c>
      <c r="T1538" s="26" t="s">
        <v>57</v>
      </c>
      <c r="U1538" s="23">
        <v>358366320310496</v>
      </c>
      <c r="V1538" s="27" t="s">
        <v>78</v>
      </c>
      <c r="W1538" s="20" t="s">
        <v>79</v>
      </c>
      <c r="X1538" s="20" t="s">
        <v>79</v>
      </c>
      <c r="Y1538" s="20" t="s">
        <v>79</v>
      </c>
      <c r="Z1538" s="20" t="s">
        <v>167</v>
      </c>
      <c r="AA1538" s="20" t="s">
        <v>168</v>
      </c>
      <c r="AB1538" s="20" t="s">
        <v>96</v>
      </c>
      <c r="AC1538" s="28">
        <v>369.83</v>
      </c>
      <c r="AD1538" s="28">
        <f>SUM(BASE[[#This Row],[MONTO DE RENTA ]]*1.16)</f>
        <v>429.00279999999998</v>
      </c>
      <c r="AE1538" s="28" t="s">
        <v>83</v>
      </c>
      <c r="AF1538" s="28">
        <v>559.48275862068965</v>
      </c>
      <c r="AG1538" s="28">
        <v>649</v>
      </c>
      <c r="AH1538" s="22" t="s">
        <v>64</v>
      </c>
      <c r="AI1538" s="29">
        <v>45713</v>
      </c>
      <c r="AJ1538" s="29">
        <v>46433</v>
      </c>
      <c r="AK153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38" s="30"/>
      <c r="AN1538" s="20" t="s">
        <v>65</v>
      </c>
      <c r="AO1538" s="20" t="s">
        <v>169</v>
      </c>
      <c r="AP1538" s="20" t="s">
        <v>66</v>
      </c>
      <c r="AQ1538" s="20" t="s">
        <v>100</v>
      </c>
    </row>
    <row r="1539" spans="1:43" ht="16">
      <c r="A1539" s="20">
        <v>8110112235</v>
      </c>
      <c r="B1539" s="49">
        <v>1021163</v>
      </c>
      <c r="C1539" s="20" t="s">
        <v>3588</v>
      </c>
      <c r="D1539" s="20" t="s">
        <v>2673</v>
      </c>
      <c r="E1539" s="20" t="s">
        <v>5394</v>
      </c>
      <c r="F1539" s="20" t="s">
        <v>6964</v>
      </c>
      <c r="G1539" s="20" t="s">
        <v>6964</v>
      </c>
      <c r="H1539" s="20" t="s">
        <v>5730</v>
      </c>
      <c r="I1539" s="20" t="s">
        <v>6964</v>
      </c>
      <c r="J1539" s="54" t="s">
        <v>6965</v>
      </c>
      <c r="K1539" s="54" t="s">
        <v>6965</v>
      </c>
      <c r="L1539" s="23" t="s">
        <v>92</v>
      </c>
      <c r="M1539" s="24" t="s">
        <v>7738</v>
      </c>
      <c r="N1539" s="23">
        <v>18848088</v>
      </c>
      <c r="O1539" s="25" t="s">
        <v>74</v>
      </c>
      <c r="P1539" s="25" t="s">
        <v>53</v>
      </c>
      <c r="Q1539" s="20" t="s">
        <v>6966</v>
      </c>
      <c r="R1539" s="20">
        <v>45542956</v>
      </c>
      <c r="S1539" s="25" t="s">
        <v>55</v>
      </c>
      <c r="T1539" s="39" t="s">
        <v>56</v>
      </c>
      <c r="U1539" s="23">
        <v>860900062264551</v>
      </c>
      <c r="V1539" s="27" t="s">
        <v>183</v>
      </c>
      <c r="W1539" s="20" t="s">
        <v>58</v>
      </c>
      <c r="X1539" s="20" t="s">
        <v>59</v>
      </c>
      <c r="Y1539" s="20" t="s">
        <v>59</v>
      </c>
      <c r="Z1539" s="20" t="s">
        <v>5527</v>
      </c>
      <c r="AA1539" s="20" t="s">
        <v>5528</v>
      </c>
      <c r="AB1539" s="20" t="s">
        <v>244</v>
      </c>
      <c r="AC1539" s="28">
        <v>473.28</v>
      </c>
      <c r="AD1539" s="28">
        <f>SUM(BASE[[#This Row],[MONTO DE RENTA ]]*1.16)</f>
        <v>549.00479999999993</v>
      </c>
      <c r="AE1539" s="28" t="s">
        <v>63</v>
      </c>
      <c r="AF1539" s="28">
        <v>369.82758620689657</v>
      </c>
      <c r="AG1539" s="28">
        <v>429</v>
      </c>
      <c r="AH1539" s="22" t="s">
        <v>64</v>
      </c>
      <c r="AI1539" s="63">
        <v>45958</v>
      </c>
      <c r="AJ1539" s="63">
        <v>46753</v>
      </c>
      <c r="AK1539" s="30">
        <f ca="1">IFERROR(IF(BASE[[#This Row],[FECHA DE RENOVACION ]]&gt;TODAY(), DATEDIF(TODAY(),BASE[[#This Row],[FECHA DE RENOVACION ]],"M"), -DATEDIF(BASE[[#This Row],[FECHA DE RENOVACION ]],TODAY(),"M")), "Sin fecha")</f>
        <v>21</v>
      </c>
      <c r="AM1539" s="30"/>
      <c r="AN1539" s="20" t="s">
        <v>65</v>
      </c>
      <c r="AP1539" s="20" t="s">
        <v>118</v>
      </c>
    </row>
    <row r="1540" spans="1:43" ht="16">
      <c r="A1540" s="20">
        <v>5518648107</v>
      </c>
      <c r="B1540" s="21">
        <v>21748</v>
      </c>
      <c r="C1540" s="20" t="s">
        <v>6967</v>
      </c>
      <c r="D1540" s="20" t="s">
        <v>45</v>
      </c>
      <c r="E1540" s="20" t="s">
        <v>376</v>
      </c>
      <c r="F1540" s="20" t="s">
        <v>5288</v>
      </c>
      <c r="G1540" s="20" t="s">
        <v>5288</v>
      </c>
      <c r="H1540" s="20" t="s">
        <v>5289</v>
      </c>
      <c r="I1540" s="20" t="s">
        <v>5288</v>
      </c>
      <c r="J1540" s="22" t="s">
        <v>6968</v>
      </c>
      <c r="K1540" s="22" t="s">
        <v>6969</v>
      </c>
      <c r="L1540" s="23" t="s">
        <v>92</v>
      </c>
      <c r="M1540" s="24" t="s">
        <v>7738</v>
      </c>
      <c r="N1540" s="23">
        <v>18848028</v>
      </c>
      <c r="O1540" s="25" t="s">
        <v>52</v>
      </c>
      <c r="P1540" s="25" t="s">
        <v>53</v>
      </c>
      <c r="Q1540" s="20" t="s">
        <v>6970</v>
      </c>
      <c r="R1540" s="20">
        <v>90241128</v>
      </c>
      <c r="S1540" s="25" t="s">
        <v>6971</v>
      </c>
      <c r="T1540" s="26" t="s">
        <v>57</v>
      </c>
      <c r="U1540" s="23">
        <v>860900062336334</v>
      </c>
      <c r="V1540" s="27" t="s">
        <v>78</v>
      </c>
      <c r="W1540" s="20" t="s">
        <v>58</v>
      </c>
      <c r="X1540" s="20" t="s">
        <v>59</v>
      </c>
      <c r="Y1540" s="20" t="s">
        <v>59</v>
      </c>
      <c r="Z1540" s="20" t="s">
        <v>167</v>
      </c>
      <c r="AA1540" s="20" t="s">
        <v>168</v>
      </c>
      <c r="AB1540" s="20" t="s">
        <v>96</v>
      </c>
      <c r="AC1540" s="28">
        <v>369.83</v>
      </c>
      <c r="AD1540" s="28">
        <f>SUM(BASE[[#This Row],[MONTO DE RENTA ]]*1.16)</f>
        <v>429.00279999999998</v>
      </c>
      <c r="AE1540" s="28" t="s">
        <v>83</v>
      </c>
      <c r="AF1540" s="28">
        <v>559.48275862068965</v>
      </c>
      <c r="AG1540" s="28">
        <v>649</v>
      </c>
      <c r="AH1540" s="22" t="s">
        <v>64</v>
      </c>
      <c r="AI1540" s="63">
        <v>45703</v>
      </c>
      <c r="AJ1540" s="63">
        <v>46433</v>
      </c>
      <c r="AK15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40" s="30"/>
      <c r="AN1540" s="20" t="s">
        <v>99</v>
      </c>
      <c r="AP1540" s="20" t="s">
        <v>66</v>
      </c>
      <c r="AQ1540" s="20" t="s">
        <v>100</v>
      </c>
    </row>
    <row r="1541" spans="1:43" ht="16">
      <c r="A1541" s="20">
        <v>6642523574</v>
      </c>
      <c r="B1541" s="49">
        <v>285168</v>
      </c>
      <c r="C1541" s="20" t="s">
        <v>1249</v>
      </c>
      <c r="D1541" s="20" t="s">
        <v>171</v>
      </c>
      <c r="E1541" s="20" t="s">
        <v>657</v>
      </c>
      <c r="F1541" s="20" t="s">
        <v>5282</v>
      </c>
      <c r="G1541" s="20" t="s">
        <v>5282</v>
      </c>
      <c r="H1541" s="20" t="s">
        <v>155</v>
      </c>
      <c r="I1541" s="20" t="s">
        <v>5282</v>
      </c>
      <c r="J1541" s="22" t="s">
        <v>6972</v>
      </c>
      <c r="K1541" s="22" t="s">
        <v>6973</v>
      </c>
      <c r="L1541" s="23" t="s">
        <v>92</v>
      </c>
      <c r="M1541" s="24" t="s">
        <v>7738</v>
      </c>
      <c r="N1541" s="23">
        <v>18848080</v>
      </c>
      <c r="O1541" s="25" t="s">
        <v>126</v>
      </c>
      <c r="P1541" s="25" t="s">
        <v>53</v>
      </c>
      <c r="Q1541" s="20" t="s">
        <v>6974</v>
      </c>
      <c r="R1541" s="20">
        <v>11511508</v>
      </c>
      <c r="S1541" s="25" t="s">
        <v>55</v>
      </c>
      <c r="T1541" s="26" t="s">
        <v>56</v>
      </c>
      <c r="U1541" s="23">
        <v>860982060886007</v>
      </c>
      <c r="V1541" s="27" t="s">
        <v>183</v>
      </c>
      <c r="W1541" s="20" t="s">
        <v>129</v>
      </c>
      <c r="X1541" s="20" t="s">
        <v>130</v>
      </c>
      <c r="Y1541" s="20" t="s">
        <v>130</v>
      </c>
      <c r="Z1541" s="20" t="s">
        <v>60</v>
      </c>
      <c r="AA1541" s="20" t="s">
        <v>61</v>
      </c>
      <c r="AB1541" s="20" t="s">
        <v>96</v>
      </c>
      <c r="AC1541" s="28">
        <v>369.83</v>
      </c>
      <c r="AD1541" s="28">
        <f>SUM(BASE[[#This Row],[MONTO DE RENTA ]]*1.16)</f>
        <v>429.00279999999998</v>
      </c>
      <c r="AE1541" s="28" t="s">
        <v>63</v>
      </c>
      <c r="AF1541" s="28">
        <v>369.82758620689657</v>
      </c>
      <c r="AG1541" s="28">
        <v>429</v>
      </c>
      <c r="AI1541" s="63">
        <v>44937</v>
      </c>
      <c r="AJ1541" s="73">
        <v>46043</v>
      </c>
      <c r="AK15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41" s="30"/>
      <c r="AN1541" s="20" t="s">
        <v>99</v>
      </c>
      <c r="AP1541" s="20" t="s">
        <v>84</v>
      </c>
      <c r="AQ1541" s="20" t="s">
        <v>100</v>
      </c>
    </row>
    <row r="1542" spans="1:43" ht="16">
      <c r="A1542" s="20">
        <v>8116114541</v>
      </c>
      <c r="B1542" s="21">
        <v>6667</v>
      </c>
      <c r="C1542" s="20" t="s">
        <v>6975</v>
      </c>
      <c r="D1542" s="20" t="s">
        <v>376</v>
      </c>
      <c r="E1542" s="20" t="s">
        <v>6077</v>
      </c>
      <c r="F1542" s="20" t="s">
        <v>6976</v>
      </c>
      <c r="G1542" s="20" t="s">
        <v>6976</v>
      </c>
      <c r="H1542" s="20" t="s">
        <v>5289</v>
      </c>
      <c r="I1542" s="20" t="s">
        <v>6976</v>
      </c>
      <c r="J1542" s="54" t="s">
        <v>6977</v>
      </c>
      <c r="K1542" s="54" t="s">
        <v>6977</v>
      </c>
      <c r="L1542" s="23" t="s">
        <v>92</v>
      </c>
      <c r="M1542" s="24" t="s">
        <v>7738</v>
      </c>
      <c r="N1542" s="23">
        <v>18848026</v>
      </c>
      <c r="O1542" s="25" t="s">
        <v>74</v>
      </c>
      <c r="P1542" s="25" t="s">
        <v>53</v>
      </c>
      <c r="Q1542" s="20" t="s">
        <v>6978</v>
      </c>
      <c r="R1542" s="20">
        <v>43312149</v>
      </c>
      <c r="S1542" s="25" t="s">
        <v>6979</v>
      </c>
      <c r="T1542" s="44" t="s">
        <v>57</v>
      </c>
      <c r="U1542" s="23">
        <v>860900062732409</v>
      </c>
      <c r="V1542" s="27" t="s">
        <v>57</v>
      </c>
      <c r="W1542" s="20" t="s">
        <v>58</v>
      </c>
      <c r="X1542" s="20" t="s">
        <v>59</v>
      </c>
      <c r="Y1542" s="20" t="s">
        <v>59</v>
      </c>
      <c r="Z1542" s="20" t="s">
        <v>167</v>
      </c>
      <c r="AA1542" s="20" t="s">
        <v>168</v>
      </c>
      <c r="AB1542" s="20" t="s">
        <v>96</v>
      </c>
      <c r="AC1542" s="28">
        <v>369.83</v>
      </c>
      <c r="AD1542" s="28">
        <f>SUM(BASE[[#This Row],[MONTO DE RENTA ]]*1.16)</f>
        <v>429.00279999999998</v>
      </c>
      <c r="AE1542" s="28" t="s">
        <v>63</v>
      </c>
      <c r="AF1542" s="28">
        <v>369.82758620689657</v>
      </c>
      <c r="AG1542" s="28">
        <v>429</v>
      </c>
      <c r="AH1542" s="22" t="s">
        <v>98</v>
      </c>
      <c r="AI1542" s="29">
        <v>45869</v>
      </c>
      <c r="AJ1542" s="29">
        <v>46599</v>
      </c>
      <c r="AK1542" s="30">
        <f ca="1">IFERROR(IF(BASE[[#This Row],[FECHA DE RENOVACION ]]&gt;TODAY(), DATEDIF(TODAY(),BASE[[#This Row],[FECHA DE RENOVACION ]],"M"), -DATEDIF(BASE[[#This Row],[FECHA DE RENOVACION ]],TODAY(),"M")), "Sin fecha")</f>
        <v>16</v>
      </c>
      <c r="AM1542" s="30"/>
      <c r="AN1542" s="20" t="s">
        <v>65</v>
      </c>
      <c r="AP1542" s="20" t="s">
        <v>84</v>
      </c>
    </row>
    <row r="1543" spans="1:43" ht="16">
      <c r="A1543" s="20">
        <v>2224170589</v>
      </c>
      <c r="B1543" s="21">
        <v>465005</v>
      </c>
      <c r="C1543" s="20" t="s">
        <v>6980</v>
      </c>
      <c r="D1543" s="20" t="s">
        <v>6981</v>
      </c>
      <c r="E1543" s="20" t="s">
        <v>1166</v>
      </c>
      <c r="F1543" s="20" t="s">
        <v>5282</v>
      </c>
      <c r="G1543" s="20" t="s">
        <v>5282</v>
      </c>
      <c r="H1543" s="20" t="s">
        <v>155</v>
      </c>
      <c r="I1543" s="20" t="s">
        <v>5282</v>
      </c>
      <c r="J1543" s="22" t="s">
        <v>6982</v>
      </c>
      <c r="K1543" s="22" t="s">
        <v>6983</v>
      </c>
      <c r="L1543" s="23" t="s">
        <v>92</v>
      </c>
      <c r="M1543" s="24" t="s">
        <v>7738</v>
      </c>
      <c r="N1543" s="23">
        <v>18848080</v>
      </c>
      <c r="O1543" s="25" t="s">
        <v>828</v>
      </c>
      <c r="P1543" s="25" t="s">
        <v>53</v>
      </c>
      <c r="Q1543" s="20" t="s">
        <v>6984</v>
      </c>
      <c r="R1543" s="20">
        <v>73004596</v>
      </c>
      <c r="S1543" s="25" t="s">
        <v>6985</v>
      </c>
      <c r="T1543" s="26" t="s">
        <v>57</v>
      </c>
      <c r="U1543" s="23">
        <v>860900062337647</v>
      </c>
      <c r="V1543" s="27" t="s">
        <v>57</v>
      </c>
      <c r="W1543" s="20" t="s">
        <v>58</v>
      </c>
      <c r="X1543" s="20" t="s">
        <v>59</v>
      </c>
      <c r="Y1543" s="20" t="s">
        <v>59</v>
      </c>
      <c r="Z1543" s="20" t="s">
        <v>167</v>
      </c>
      <c r="AA1543" s="20" t="s">
        <v>168</v>
      </c>
      <c r="AB1543" s="20" t="s">
        <v>96</v>
      </c>
      <c r="AC1543" s="28">
        <v>369.83</v>
      </c>
      <c r="AD1543" s="28">
        <f>SUM(BASE[[#This Row],[MONTO DE RENTA ]]*1.16)</f>
        <v>429.00279999999998</v>
      </c>
      <c r="AE1543" s="28" t="s">
        <v>63</v>
      </c>
      <c r="AF1543" s="28">
        <v>369.82758620689657</v>
      </c>
      <c r="AG1543" s="28">
        <v>429</v>
      </c>
      <c r="AH1543" s="22" t="s">
        <v>64</v>
      </c>
      <c r="AI1543" s="63">
        <v>45703</v>
      </c>
      <c r="AJ1543" s="63">
        <v>46433</v>
      </c>
      <c r="AK154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43" s="30"/>
      <c r="AN1543" s="20" t="s">
        <v>65</v>
      </c>
      <c r="AP1543" s="20" t="s">
        <v>84</v>
      </c>
    </row>
    <row r="1544" spans="1:43" ht="16">
      <c r="A1544" s="20">
        <v>8116365129</v>
      </c>
      <c r="B1544" s="49">
        <v>1008061</v>
      </c>
      <c r="C1544" s="20" t="s">
        <v>6986</v>
      </c>
      <c r="D1544" s="20" t="s">
        <v>1627</v>
      </c>
      <c r="E1544" s="20" t="s">
        <v>45</v>
      </c>
      <c r="F1544" s="20" t="s">
        <v>6987</v>
      </c>
      <c r="G1544" s="20" t="s">
        <v>6987</v>
      </c>
      <c r="H1544" s="20" t="s">
        <v>199</v>
      </c>
      <c r="I1544" s="20" t="s">
        <v>6987</v>
      </c>
      <c r="J1544" s="22" t="s">
        <v>6988</v>
      </c>
      <c r="K1544" s="22" t="s">
        <v>6989</v>
      </c>
      <c r="L1544" s="23" t="s">
        <v>92</v>
      </c>
      <c r="M1544" s="24" t="s">
        <v>7738</v>
      </c>
      <c r="N1544" s="23">
        <v>18848009</v>
      </c>
      <c r="O1544" s="25" t="s">
        <v>74</v>
      </c>
      <c r="P1544" s="25" t="s">
        <v>53</v>
      </c>
      <c r="Q1544" s="20" t="s">
        <v>6990</v>
      </c>
      <c r="R1544" s="20">
        <v>43660987</v>
      </c>
      <c r="S1544" s="25" t="s">
        <v>55</v>
      </c>
      <c r="T1544" s="26" t="s">
        <v>56</v>
      </c>
      <c r="U1544" s="23">
        <v>357894928410948</v>
      </c>
      <c r="V1544" s="27" t="s">
        <v>78</v>
      </c>
      <c r="W1544" s="20" t="s">
        <v>95</v>
      </c>
      <c r="X1544" s="20" t="s">
        <v>95</v>
      </c>
      <c r="Y1544" s="20" t="s">
        <v>95</v>
      </c>
      <c r="Z1544" s="20" t="s">
        <v>60</v>
      </c>
      <c r="AA1544" s="20" t="s">
        <v>61</v>
      </c>
      <c r="AB1544" s="20" t="s">
        <v>82</v>
      </c>
      <c r="AC1544" s="28">
        <v>559.48</v>
      </c>
      <c r="AD1544" s="28">
        <f>SUM(BASE[[#This Row],[MONTO DE RENTA ]]*1.16)</f>
        <v>648.99680000000001</v>
      </c>
      <c r="AE1544" s="28" t="s">
        <v>83</v>
      </c>
      <c r="AF1544" s="28">
        <v>559.48275862068965</v>
      </c>
      <c r="AG1544" s="28">
        <v>649</v>
      </c>
      <c r="AI1544" s="29">
        <v>44937</v>
      </c>
      <c r="AJ1544" s="50">
        <v>46043</v>
      </c>
      <c r="AK15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44" s="30"/>
      <c r="AN1544" s="20" t="s">
        <v>99</v>
      </c>
      <c r="AP1544" s="20" t="s">
        <v>84</v>
      </c>
      <c r="AQ1544" s="20" t="s">
        <v>100</v>
      </c>
    </row>
    <row r="1545" spans="1:43" ht="16">
      <c r="A1545" s="146">
        <v>8135515218</v>
      </c>
      <c r="B1545" s="276">
        <v>1037897</v>
      </c>
      <c r="C1545" s="20" t="s">
        <v>1764</v>
      </c>
      <c r="D1545" s="20" t="s">
        <v>6991</v>
      </c>
      <c r="E1545" s="20" t="s">
        <v>6992</v>
      </c>
      <c r="F1545" s="20" t="s">
        <v>6993</v>
      </c>
      <c r="G1545" s="20" t="s">
        <v>6993</v>
      </c>
      <c r="H1545" s="20" t="s">
        <v>199</v>
      </c>
      <c r="I1545" s="20" t="s">
        <v>6993</v>
      </c>
      <c r="J1545" s="250" t="s">
        <v>6994</v>
      </c>
      <c r="K1545" s="250" t="s">
        <v>6994</v>
      </c>
      <c r="L1545" s="23" t="s">
        <v>92</v>
      </c>
      <c r="M1545" s="24" t="s">
        <v>7738</v>
      </c>
      <c r="N1545" s="23">
        <v>18848097</v>
      </c>
      <c r="O1545" s="25" t="s">
        <v>74</v>
      </c>
      <c r="P1545" s="25" t="s">
        <v>53</v>
      </c>
      <c r="Q1545" s="20" t="s">
        <v>6995</v>
      </c>
      <c r="R1545" s="20">
        <v>44918855</v>
      </c>
      <c r="S1545" s="25" t="s">
        <v>6996</v>
      </c>
      <c r="T1545" s="251" t="s">
        <v>57</v>
      </c>
      <c r="U1545" s="23" t="s">
        <v>193</v>
      </c>
      <c r="V1545" s="252" t="s">
        <v>57</v>
      </c>
      <c r="W1545" s="20" t="s">
        <v>194</v>
      </c>
      <c r="X1545" s="20" t="s">
        <v>194</v>
      </c>
      <c r="Y1545" s="20" t="s">
        <v>194</v>
      </c>
      <c r="Z1545" s="20" t="s">
        <v>167</v>
      </c>
      <c r="AA1545" s="20" t="s">
        <v>168</v>
      </c>
      <c r="AB1545" s="20" t="s">
        <v>96</v>
      </c>
      <c r="AC1545" s="28">
        <v>369.83</v>
      </c>
      <c r="AD1545" s="28">
        <f>SUM(BASE[[#This Row],[MONTO DE RENTA ]]*1.16)</f>
        <v>429.00279999999998</v>
      </c>
      <c r="AE1545" s="28" t="s">
        <v>63</v>
      </c>
      <c r="AF1545" s="28">
        <v>369.82758620689657</v>
      </c>
      <c r="AG1545" s="28">
        <v>429</v>
      </c>
      <c r="AH1545" s="250"/>
      <c r="AI1545" s="29">
        <v>44937</v>
      </c>
      <c r="AJ1545" s="46">
        <v>46681</v>
      </c>
      <c r="AK1545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545" s="146"/>
      <c r="AM1545" s="253"/>
      <c r="AN1545" s="20" t="s">
        <v>65</v>
      </c>
      <c r="AP1545" s="20" t="s">
        <v>84</v>
      </c>
    </row>
    <row r="1546" spans="1:43" ht="16">
      <c r="A1546" s="20">
        <v>8187998313</v>
      </c>
      <c r="B1546" s="49">
        <v>1006640</v>
      </c>
      <c r="C1546" s="20" t="s">
        <v>1764</v>
      </c>
      <c r="D1546" s="20" t="s">
        <v>1000</v>
      </c>
      <c r="E1546" s="20" t="s">
        <v>1587</v>
      </c>
      <c r="F1546" s="20" t="s">
        <v>6997</v>
      </c>
      <c r="G1546" s="20" t="s">
        <v>6997</v>
      </c>
      <c r="H1546" s="20" t="s">
        <v>5381</v>
      </c>
      <c r="I1546" s="20" t="s">
        <v>6997</v>
      </c>
      <c r="J1546" s="54" t="s">
        <v>6998</v>
      </c>
      <c r="K1546" s="54" t="s">
        <v>6998</v>
      </c>
      <c r="L1546" s="23" t="s">
        <v>92</v>
      </c>
      <c r="M1546" s="24" t="s">
        <v>7738</v>
      </c>
      <c r="N1546" s="23">
        <v>18848012</v>
      </c>
      <c r="O1546" s="25" t="s">
        <v>74</v>
      </c>
      <c r="P1546" s="25" t="s">
        <v>53</v>
      </c>
      <c r="Q1546" s="20" t="s">
        <v>6999</v>
      </c>
      <c r="R1546" s="20">
        <v>44114345</v>
      </c>
      <c r="S1546" s="25" t="s">
        <v>55</v>
      </c>
      <c r="T1546" s="65" t="s">
        <v>56</v>
      </c>
      <c r="U1546" s="23">
        <v>357654176732439</v>
      </c>
      <c r="V1546" s="27" t="s">
        <v>78</v>
      </c>
      <c r="W1546" s="20" t="s">
        <v>95</v>
      </c>
      <c r="X1546" s="20" t="s">
        <v>95</v>
      </c>
      <c r="Y1546" s="20" t="s">
        <v>95</v>
      </c>
      <c r="Z1546" s="20" t="s">
        <v>60</v>
      </c>
      <c r="AA1546" s="20" t="s">
        <v>61</v>
      </c>
      <c r="AB1546" s="20" t="s">
        <v>82</v>
      </c>
      <c r="AC1546" s="28">
        <v>559.48</v>
      </c>
      <c r="AD1546" s="28">
        <f>SUM(BASE[[#This Row],[MONTO DE RENTA ]]*1.16)</f>
        <v>648.99680000000001</v>
      </c>
      <c r="AE1546" s="28" t="s">
        <v>83</v>
      </c>
      <c r="AF1546" s="28">
        <v>559.48275862068965</v>
      </c>
      <c r="AG1546" s="28">
        <v>649</v>
      </c>
      <c r="AH1546" s="22" t="s">
        <v>116</v>
      </c>
      <c r="AI1546" s="63">
        <v>45545</v>
      </c>
      <c r="AJ1546" s="63">
        <v>46275</v>
      </c>
      <c r="AK1546" s="30">
        <f ca="1">IFERROR(IF(BASE[[#This Row],[FECHA DE RENOVACION ]]&gt;TODAY(), DATEDIF(TODAY(),BASE[[#This Row],[FECHA DE RENOVACION ]],"M"), -DATEDIF(BASE[[#This Row],[FECHA DE RENOVACION ]],TODAY(),"M")), "Sin fecha")</f>
        <v>6</v>
      </c>
      <c r="AL1546" s="24">
        <v>18848012</v>
      </c>
      <c r="AM1546" s="30" t="s">
        <v>7000</v>
      </c>
      <c r="AN1546" s="20" t="s">
        <v>65</v>
      </c>
      <c r="AP1546" s="20" t="s">
        <v>84</v>
      </c>
    </row>
    <row r="1547" spans="1:43" ht="16">
      <c r="A1547" s="20">
        <v>8135515232</v>
      </c>
      <c r="B1547" s="21">
        <v>1065922</v>
      </c>
      <c r="C1547" s="20" t="s">
        <v>7001</v>
      </c>
      <c r="D1547" s="20" t="s">
        <v>7002</v>
      </c>
      <c r="E1547" s="20" t="s">
        <v>7003</v>
      </c>
      <c r="F1547" s="20" t="s">
        <v>5326</v>
      </c>
      <c r="G1547" s="20" t="s">
        <v>5326</v>
      </c>
      <c r="H1547" s="20" t="s">
        <v>155</v>
      </c>
      <c r="I1547" s="20" t="s">
        <v>5326</v>
      </c>
      <c r="J1547" s="32" t="s">
        <v>7004</v>
      </c>
      <c r="K1547" s="32" t="s">
        <v>7005</v>
      </c>
      <c r="L1547" s="23" t="s">
        <v>92</v>
      </c>
      <c r="M1547" s="24" t="s">
        <v>7738</v>
      </c>
      <c r="N1547" s="23">
        <v>18848002</v>
      </c>
      <c r="O1547" s="25" t="s">
        <v>74</v>
      </c>
      <c r="P1547" s="25" t="s">
        <v>53</v>
      </c>
      <c r="Q1547" s="20" t="s">
        <v>7006</v>
      </c>
      <c r="R1547" s="20">
        <v>44918827</v>
      </c>
      <c r="S1547" s="25" t="s">
        <v>7007</v>
      </c>
      <c r="T1547" s="26" t="s">
        <v>57</v>
      </c>
      <c r="U1547" s="23">
        <v>860900062337779</v>
      </c>
      <c r="V1547" s="27" t="s">
        <v>57</v>
      </c>
      <c r="W1547" s="20" t="s">
        <v>58</v>
      </c>
      <c r="X1547" s="20" t="s">
        <v>59</v>
      </c>
      <c r="Y1547" s="20" t="s">
        <v>59</v>
      </c>
      <c r="Z1547" s="20" t="s">
        <v>167</v>
      </c>
      <c r="AA1547" s="20" t="s">
        <v>168</v>
      </c>
      <c r="AB1547" s="20" t="s">
        <v>96</v>
      </c>
      <c r="AC1547" s="28">
        <v>369.83</v>
      </c>
      <c r="AD1547" s="28">
        <f>SUM(BASE[[#This Row],[MONTO DE RENTA ]]*1.16)</f>
        <v>429.00279999999998</v>
      </c>
      <c r="AE1547" s="28" t="s">
        <v>63</v>
      </c>
      <c r="AF1547" s="28">
        <v>369.82758620689657</v>
      </c>
      <c r="AG1547" s="28">
        <v>429</v>
      </c>
      <c r="AH1547" s="22" t="s">
        <v>98</v>
      </c>
      <c r="AI1547" s="63">
        <v>45847</v>
      </c>
      <c r="AJ1547" s="63">
        <v>46577</v>
      </c>
      <c r="AK1547" s="30">
        <f ca="1">IFERROR(IF(BASE[[#This Row],[FECHA DE RENOVACION ]]&gt;TODAY(), DATEDIF(TODAY(),BASE[[#This Row],[FECHA DE RENOVACION ]],"M"), -DATEDIF(BASE[[#This Row],[FECHA DE RENOVACION ]],TODAY(),"M")), "Sin fecha")</f>
        <v>16</v>
      </c>
      <c r="AL1547" s="63">
        <v>46577</v>
      </c>
      <c r="AM1547" s="30"/>
      <c r="AN1547" s="20" t="s">
        <v>65</v>
      </c>
      <c r="AP1547" s="20" t="s">
        <v>84</v>
      </c>
    </row>
    <row r="1548" spans="1:43" ht="16">
      <c r="A1548" s="20">
        <v>5538174558</v>
      </c>
      <c r="B1548" s="49">
        <v>490039</v>
      </c>
      <c r="C1548" s="20" t="s">
        <v>67</v>
      </c>
      <c r="D1548" s="20" t="s">
        <v>442</v>
      </c>
      <c r="E1548" s="20" t="s">
        <v>657</v>
      </c>
      <c r="F1548" s="20" t="s">
        <v>7008</v>
      </c>
      <c r="G1548" s="20" t="s">
        <v>7008</v>
      </c>
      <c r="H1548" s="20" t="s">
        <v>5381</v>
      </c>
      <c r="I1548" s="20" t="s">
        <v>7008</v>
      </c>
      <c r="J1548" s="22" t="s">
        <v>7009</v>
      </c>
      <c r="K1548" s="22" t="s">
        <v>7010</v>
      </c>
      <c r="L1548" s="23" t="s">
        <v>92</v>
      </c>
      <c r="M1548" s="24" t="s">
        <v>7738</v>
      </c>
      <c r="N1548" s="23">
        <v>18848074</v>
      </c>
      <c r="O1548" s="25" t="s">
        <v>52</v>
      </c>
      <c r="P1548" s="25" t="s">
        <v>53</v>
      </c>
      <c r="Q1548" s="20" t="s">
        <v>7011</v>
      </c>
      <c r="R1548" s="20">
        <v>9606135</v>
      </c>
      <c r="S1548" s="25" t="s">
        <v>55</v>
      </c>
      <c r="T1548" s="26" t="s">
        <v>56</v>
      </c>
      <c r="U1548" s="23">
        <v>357654179196012</v>
      </c>
      <c r="V1548" s="27" t="s">
        <v>78</v>
      </c>
      <c r="W1548" s="20" t="s">
        <v>5299</v>
      </c>
      <c r="X1548" s="20" t="s">
        <v>5299</v>
      </c>
      <c r="Y1548" s="20" t="s">
        <v>5299</v>
      </c>
      <c r="Z1548" s="20" t="s">
        <v>60</v>
      </c>
      <c r="AA1548" s="20" t="s">
        <v>61</v>
      </c>
      <c r="AB1548" s="20" t="s">
        <v>82</v>
      </c>
      <c r="AC1548" s="28">
        <v>559.48</v>
      </c>
      <c r="AD1548" s="28">
        <f>SUM(BASE[[#This Row],[MONTO DE RENTA ]]*1.16)</f>
        <v>648.99680000000001</v>
      </c>
      <c r="AE1548" s="28" t="s">
        <v>83</v>
      </c>
      <c r="AF1548" s="28">
        <v>559.48275862068965</v>
      </c>
      <c r="AG1548" s="28">
        <v>649</v>
      </c>
      <c r="AI1548" s="63">
        <v>44937</v>
      </c>
      <c r="AJ1548" s="73">
        <v>46043</v>
      </c>
      <c r="AK15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48" s="30"/>
      <c r="AN1548" s="20" t="s">
        <v>99</v>
      </c>
      <c r="AP1548" s="20" t="s">
        <v>84</v>
      </c>
      <c r="AQ1548" s="20" t="s">
        <v>100</v>
      </c>
    </row>
    <row r="1549" spans="1:43" ht="16">
      <c r="A1549" s="20">
        <v>8112652182</v>
      </c>
      <c r="B1549" s="49">
        <v>10313</v>
      </c>
      <c r="C1549" s="20" t="s">
        <v>67</v>
      </c>
      <c r="D1549" s="20" t="s">
        <v>1017</v>
      </c>
      <c r="E1549" s="20" t="s">
        <v>6707</v>
      </c>
      <c r="F1549" s="20" t="s">
        <v>154</v>
      </c>
      <c r="G1549" s="20" t="s">
        <v>154</v>
      </c>
      <c r="H1549" s="20" t="s">
        <v>155</v>
      </c>
      <c r="I1549" s="20" t="s">
        <v>154</v>
      </c>
      <c r="J1549" s="22" t="s">
        <v>7012</v>
      </c>
      <c r="K1549" s="22" t="s">
        <v>7013</v>
      </c>
      <c r="L1549" s="23" t="s">
        <v>92</v>
      </c>
      <c r="M1549" s="24" t="s">
        <v>7738</v>
      </c>
      <c r="N1549" s="23">
        <v>18848003</v>
      </c>
      <c r="O1549" s="25" t="s">
        <v>74</v>
      </c>
      <c r="P1549" s="25" t="s">
        <v>53</v>
      </c>
      <c r="Q1549" s="20" t="s">
        <v>7014</v>
      </c>
      <c r="R1549" s="20">
        <v>42960158</v>
      </c>
      <c r="S1549" s="25" t="s">
        <v>55</v>
      </c>
      <c r="T1549" s="26" t="s">
        <v>56</v>
      </c>
      <c r="U1549" s="23">
        <v>351835921263996</v>
      </c>
      <c r="V1549" s="27" t="s">
        <v>183</v>
      </c>
      <c r="W1549" s="20" t="s">
        <v>95</v>
      </c>
      <c r="X1549" s="20" t="s">
        <v>95</v>
      </c>
      <c r="Y1549" s="20" t="s">
        <v>95</v>
      </c>
      <c r="Z1549" s="20" t="s">
        <v>60</v>
      </c>
      <c r="AA1549" s="20" t="s">
        <v>61</v>
      </c>
      <c r="AB1549" s="20" t="s">
        <v>96</v>
      </c>
      <c r="AC1549" s="28">
        <v>369.83</v>
      </c>
      <c r="AD1549" s="28">
        <f>SUM(BASE[[#This Row],[MONTO DE RENTA ]]*1.16)</f>
        <v>429.00279999999998</v>
      </c>
      <c r="AE1549" s="28" t="s">
        <v>63</v>
      </c>
      <c r="AF1549" s="28">
        <v>369.82758620689657</v>
      </c>
      <c r="AG1549" s="28">
        <v>429</v>
      </c>
      <c r="AI1549" s="63">
        <v>44937</v>
      </c>
      <c r="AJ1549" s="73">
        <v>46043</v>
      </c>
      <c r="AK154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49" s="30"/>
      <c r="AN1549" s="20" t="s">
        <v>99</v>
      </c>
      <c r="AP1549" s="20" t="s">
        <v>84</v>
      </c>
      <c r="AQ1549" s="20" t="s">
        <v>100</v>
      </c>
    </row>
    <row r="1550" spans="1:43" ht="16">
      <c r="A1550" s="20">
        <v>8110814555</v>
      </c>
      <c r="B1550" s="49">
        <v>1009698</v>
      </c>
      <c r="C1550" s="20" t="s">
        <v>7015</v>
      </c>
      <c r="D1550" s="20" t="s">
        <v>45</v>
      </c>
      <c r="E1550" s="20" t="s">
        <v>45</v>
      </c>
      <c r="F1550" s="20" t="s">
        <v>7016</v>
      </c>
      <c r="G1550" s="20" t="s">
        <v>7016</v>
      </c>
      <c r="H1550" s="20" t="s">
        <v>5414</v>
      </c>
      <c r="I1550" s="20" t="s">
        <v>7016</v>
      </c>
      <c r="J1550" s="22" t="s">
        <v>7017</v>
      </c>
      <c r="K1550" s="32" t="s">
        <v>7018</v>
      </c>
      <c r="L1550" s="23" t="s">
        <v>92</v>
      </c>
      <c r="M1550" s="24" t="s">
        <v>7738</v>
      </c>
      <c r="N1550" s="23">
        <v>18848113</v>
      </c>
      <c r="O1550" s="25" t="s">
        <v>74</v>
      </c>
      <c r="P1550" s="25" t="s">
        <v>53</v>
      </c>
      <c r="Q1550" s="20" t="s">
        <v>7019</v>
      </c>
      <c r="R1550" s="20">
        <v>42888685</v>
      </c>
      <c r="S1550" s="25" t="s">
        <v>7020</v>
      </c>
      <c r="T1550" s="26" t="s">
        <v>57</v>
      </c>
      <c r="U1550" s="23">
        <v>865356065671018</v>
      </c>
      <c r="V1550" s="27" t="s">
        <v>183</v>
      </c>
      <c r="W1550" s="20" t="s">
        <v>129</v>
      </c>
      <c r="X1550" s="20" t="s">
        <v>130</v>
      </c>
      <c r="Y1550" s="20" t="s">
        <v>130</v>
      </c>
      <c r="Z1550" s="20" t="s">
        <v>60</v>
      </c>
      <c r="AA1550" s="20" t="s">
        <v>61</v>
      </c>
      <c r="AB1550" s="20" t="s">
        <v>96</v>
      </c>
      <c r="AC1550" s="28">
        <v>369.83</v>
      </c>
      <c r="AD1550" s="28">
        <f>SUM(BASE[[#This Row],[MONTO DE RENTA ]]*1.16)</f>
        <v>429.00279999999998</v>
      </c>
      <c r="AE1550" s="28" t="s">
        <v>63</v>
      </c>
      <c r="AF1550" s="28">
        <v>369.82758620689657</v>
      </c>
      <c r="AG1550" s="28">
        <v>429</v>
      </c>
      <c r="AI1550" s="63">
        <v>44937</v>
      </c>
      <c r="AJ1550" s="73">
        <v>46043</v>
      </c>
      <c r="AK155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50" s="30"/>
      <c r="AN1550" s="20" t="s">
        <v>99</v>
      </c>
      <c r="AP1550" s="20" t="s">
        <v>84</v>
      </c>
      <c r="AQ1550" s="20" t="s">
        <v>100</v>
      </c>
    </row>
    <row r="1551" spans="1:43" ht="16">
      <c r="A1551" s="20">
        <v>8120275565</v>
      </c>
      <c r="B1551" s="311">
        <v>1048541</v>
      </c>
      <c r="C1551" s="20" t="s">
        <v>7021</v>
      </c>
      <c r="D1551" s="20" t="s">
        <v>152</v>
      </c>
      <c r="E1551" s="20" t="s">
        <v>206</v>
      </c>
      <c r="F1551" s="20" t="s">
        <v>6953</v>
      </c>
      <c r="G1551" s="20" t="s">
        <v>6953</v>
      </c>
      <c r="H1551" s="20" t="s">
        <v>208</v>
      </c>
      <c r="I1551" s="20" t="s">
        <v>6953</v>
      </c>
      <c r="J1551" s="32" t="s">
        <v>7022</v>
      </c>
      <c r="K1551" s="32" t="s">
        <v>7023</v>
      </c>
      <c r="L1551" s="23" t="s">
        <v>92</v>
      </c>
      <c r="M1551" s="24" t="s">
        <v>7738</v>
      </c>
      <c r="N1551" s="23">
        <v>18848087</v>
      </c>
      <c r="O1551" s="25" t="s">
        <v>74</v>
      </c>
      <c r="P1551" s="25" t="s">
        <v>53</v>
      </c>
      <c r="Q1551" s="20" t="s">
        <v>7024</v>
      </c>
      <c r="R1551" s="20">
        <v>45142614</v>
      </c>
      <c r="S1551" s="25" t="s">
        <v>7025</v>
      </c>
      <c r="T1551" s="26" t="s">
        <v>57</v>
      </c>
      <c r="U1551" s="23">
        <v>860478063772245</v>
      </c>
      <c r="V1551" s="27" t="s">
        <v>57</v>
      </c>
      <c r="W1551" s="20" t="s">
        <v>302</v>
      </c>
      <c r="X1551" s="20" t="s">
        <v>303</v>
      </c>
      <c r="Y1551" s="20" t="s">
        <v>303</v>
      </c>
      <c r="Z1551" s="20" t="s">
        <v>167</v>
      </c>
      <c r="AA1551" s="20" t="s">
        <v>168</v>
      </c>
      <c r="AB1551" s="20" t="s">
        <v>96</v>
      </c>
      <c r="AC1551" s="28">
        <v>369.83</v>
      </c>
      <c r="AD1551" s="28">
        <f>SUM(BASE[[#This Row],[MONTO DE RENTA ]]*1.16)</f>
        <v>429.00279999999998</v>
      </c>
      <c r="AE1551" s="28" t="s">
        <v>63</v>
      </c>
      <c r="AF1551" s="28">
        <v>369.82758620689657</v>
      </c>
      <c r="AG1551" s="28">
        <v>429</v>
      </c>
      <c r="AH1551" s="22" t="s">
        <v>64</v>
      </c>
      <c r="AI1551" s="29">
        <v>45703</v>
      </c>
      <c r="AJ1551" s="29">
        <v>46433</v>
      </c>
      <c r="AK155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51" s="30"/>
      <c r="AN1551" s="20" t="s">
        <v>65</v>
      </c>
      <c r="AP1551" s="20" t="s">
        <v>84</v>
      </c>
    </row>
    <row r="1552" spans="1:43" ht="16">
      <c r="A1552" s="20">
        <v>8117810896</v>
      </c>
      <c r="B1552" s="49">
        <v>6369</v>
      </c>
      <c r="C1552" s="20" t="s">
        <v>1921</v>
      </c>
      <c r="D1552" s="20" t="s">
        <v>357</v>
      </c>
      <c r="E1552" s="20" t="s">
        <v>411</v>
      </c>
      <c r="F1552" s="20" t="s">
        <v>7026</v>
      </c>
      <c r="G1552" s="20" t="s">
        <v>7026</v>
      </c>
      <c r="H1552" s="20" t="s">
        <v>5289</v>
      </c>
      <c r="I1552" s="20" t="s">
        <v>7026</v>
      </c>
      <c r="J1552" s="22" t="s">
        <v>7027</v>
      </c>
      <c r="K1552" s="22" t="s">
        <v>7027</v>
      </c>
      <c r="L1552" s="23" t="s">
        <v>92</v>
      </c>
      <c r="M1552" s="24" t="s">
        <v>7738</v>
      </c>
      <c r="N1552" s="23">
        <v>18848027</v>
      </c>
      <c r="O1552" s="25" t="s">
        <v>74</v>
      </c>
      <c r="P1552" s="25" t="s">
        <v>53</v>
      </c>
      <c r="Q1552" s="20" t="s">
        <v>7028</v>
      </c>
      <c r="R1552" s="20">
        <v>42862149</v>
      </c>
      <c r="S1552" s="25" t="s">
        <v>55</v>
      </c>
      <c r="T1552" s="26" t="s">
        <v>56</v>
      </c>
      <c r="U1552" s="23">
        <v>350739823726160</v>
      </c>
      <c r="V1552" s="27" t="s">
        <v>78</v>
      </c>
      <c r="W1552" s="20" t="s">
        <v>5347</v>
      </c>
      <c r="X1552" s="20" t="s">
        <v>5347</v>
      </c>
      <c r="Y1552" s="20" t="s">
        <v>5347</v>
      </c>
      <c r="Z1552" s="20" t="s">
        <v>60</v>
      </c>
      <c r="AA1552" s="20" t="s">
        <v>61</v>
      </c>
      <c r="AB1552" s="20" t="s">
        <v>5878</v>
      </c>
      <c r="AC1552" s="28">
        <v>516.38</v>
      </c>
      <c r="AD1552" s="28">
        <f>SUM(BASE[[#This Row],[MONTO DE RENTA ]]*1.16)</f>
        <v>599.00079999999991</v>
      </c>
      <c r="AE1552" s="28" t="s">
        <v>83</v>
      </c>
      <c r="AF1552" s="28">
        <v>559.48275862068965</v>
      </c>
      <c r="AG1552" s="28">
        <v>649</v>
      </c>
      <c r="AI1552" s="63">
        <v>44937</v>
      </c>
      <c r="AJ1552" s="73">
        <v>46043</v>
      </c>
      <c r="AK155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52" s="30" t="s">
        <v>5952</v>
      </c>
      <c r="AN1552" s="20" t="s">
        <v>99</v>
      </c>
      <c r="AP1552" s="20" t="s">
        <v>66</v>
      </c>
      <c r="AQ1552" s="20" t="s">
        <v>100</v>
      </c>
    </row>
    <row r="1553" spans="1:43" ht="13.5" customHeight="1">
      <c r="A1553" s="20">
        <v>8116318980</v>
      </c>
      <c r="B1553" s="21">
        <v>997970</v>
      </c>
      <c r="C1553" s="20" t="s">
        <v>7029</v>
      </c>
      <c r="D1553" s="20" t="s">
        <v>186</v>
      </c>
      <c r="E1553" s="20" t="s">
        <v>2538</v>
      </c>
      <c r="F1553" s="20" t="s">
        <v>5329</v>
      </c>
      <c r="G1553" s="20" t="s">
        <v>5329</v>
      </c>
      <c r="H1553" s="20" t="s">
        <v>155</v>
      </c>
      <c r="I1553" s="20" t="s">
        <v>5329</v>
      </c>
      <c r="J1553" s="22" t="s">
        <v>7030</v>
      </c>
      <c r="K1553" s="32" t="s">
        <v>7031</v>
      </c>
      <c r="L1553" s="23" t="s">
        <v>92</v>
      </c>
      <c r="M1553" s="24" t="s">
        <v>7738</v>
      </c>
      <c r="N1553" s="23">
        <v>18848002</v>
      </c>
      <c r="O1553" s="25" t="s">
        <v>74</v>
      </c>
      <c r="P1553" s="25" t="s">
        <v>53</v>
      </c>
      <c r="Q1553" s="20" t="s">
        <v>7032</v>
      </c>
      <c r="R1553" s="20">
        <v>44508863</v>
      </c>
      <c r="S1553" s="25" t="s">
        <v>7033</v>
      </c>
      <c r="T1553" s="26" t="s">
        <v>57</v>
      </c>
      <c r="U1553" s="23">
        <v>860900062257670</v>
      </c>
      <c r="V1553" s="27" t="s">
        <v>57</v>
      </c>
      <c r="W1553" s="20" t="s">
        <v>58</v>
      </c>
      <c r="X1553" s="20" t="s">
        <v>59</v>
      </c>
      <c r="Y1553" s="20" t="s">
        <v>59</v>
      </c>
      <c r="Z1553" s="20" t="s">
        <v>131</v>
      </c>
      <c r="AA1553" s="20" t="s">
        <v>132</v>
      </c>
      <c r="AB1553" s="20" t="s">
        <v>96</v>
      </c>
      <c r="AC1553" s="28">
        <v>369.83</v>
      </c>
      <c r="AD1553" s="28">
        <f>SUM(BASE[[#This Row],[MONTO DE RENTA ]]*1.16)</f>
        <v>429.00279999999998</v>
      </c>
      <c r="AE1553" s="28" t="s">
        <v>63</v>
      </c>
      <c r="AF1553" s="28">
        <v>369.82758620689657</v>
      </c>
      <c r="AG1553" s="28">
        <v>429</v>
      </c>
      <c r="AH1553" s="22" t="s">
        <v>64</v>
      </c>
      <c r="AI1553" s="63">
        <v>45703</v>
      </c>
      <c r="AJ1553" s="63">
        <v>46433</v>
      </c>
      <c r="AK155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53" s="30"/>
      <c r="AN1553" s="20" t="s">
        <v>65</v>
      </c>
      <c r="AP1553" s="20" t="s">
        <v>84</v>
      </c>
    </row>
    <row r="1554" spans="1:43" ht="13.5" customHeight="1">
      <c r="A1554" s="20">
        <v>3311537788</v>
      </c>
      <c r="B1554" s="21">
        <v>270543</v>
      </c>
      <c r="C1554" s="20" t="s">
        <v>7034</v>
      </c>
      <c r="D1554" s="20" t="s">
        <v>2275</v>
      </c>
      <c r="E1554" s="20" t="s">
        <v>187</v>
      </c>
      <c r="F1554" s="20" t="s">
        <v>3245</v>
      </c>
      <c r="G1554" s="20" t="s">
        <v>3245</v>
      </c>
      <c r="H1554" s="20" t="s">
        <v>48</v>
      </c>
      <c r="I1554" s="20" t="s">
        <v>3245</v>
      </c>
      <c r="J1554" s="22" t="s">
        <v>7035</v>
      </c>
      <c r="K1554" s="22" t="s">
        <v>7036</v>
      </c>
      <c r="L1554" s="23" t="s">
        <v>3429</v>
      </c>
      <c r="M1554" s="24" t="s">
        <v>7746</v>
      </c>
      <c r="N1554" s="23">
        <v>18727000</v>
      </c>
      <c r="O1554" s="25" t="s">
        <v>677</v>
      </c>
      <c r="P1554" s="25" t="s">
        <v>53</v>
      </c>
      <c r="Q1554" s="20" t="s">
        <v>7037</v>
      </c>
      <c r="R1554" s="20">
        <v>53345821</v>
      </c>
      <c r="S1554" s="25" t="s">
        <v>7038</v>
      </c>
      <c r="T1554" s="26" t="s">
        <v>57</v>
      </c>
      <c r="U1554" s="23">
        <v>860900062254099</v>
      </c>
      <c r="V1554" s="27" t="s">
        <v>57</v>
      </c>
      <c r="W1554" s="20" t="s">
        <v>58</v>
      </c>
      <c r="X1554" s="20" t="s">
        <v>59</v>
      </c>
      <c r="Y1554" s="20" t="s">
        <v>59</v>
      </c>
      <c r="Z1554" s="20" t="s">
        <v>80</v>
      </c>
      <c r="AA1554" s="20" t="s">
        <v>81</v>
      </c>
      <c r="AB1554" s="20" t="s">
        <v>96</v>
      </c>
      <c r="AC1554" s="28">
        <v>369.83</v>
      </c>
      <c r="AD1554" s="28">
        <f>SUM(BASE[[#This Row],[MONTO DE RENTA ]]*1.16)</f>
        <v>429.00279999999998</v>
      </c>
      <c r="AE1554" s="28" t="s">
        <v>63</v>
      </c>
      <c r="AF1554" s="28">
        <v>369.82758620689657</v>
      </c>
      <c r="AG1554" s="28">
        <v>429</v>
      </c>
      <c r="AH1554" s="22" t="s">
        <v>64</v>
      </c>
      <c r="AI1554" s="63">
        <v>45703</v>
      </c>
      <c r="AJ1554" s="63">
        <v>46433</v>
      </c>
      <c r="AK155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54" s="30"/>
      <c r="AN1554" s="20" t="s">
        <v>65</v>
      </c>
      <c r="AP1554" s="20" t="s">
        <v>84</v>
      </c>
    </row>
    <row r="1555" spans="1:43" ht="13.5" customHeight="1">
      <c r="A1555" s="20">
        <v>7774296306</v>
      </c>
      <c r="B1555" s="49">
        <v>80014</v>
      </c>
      <c r="C1555" s="20" t="s">
        <v>7039</v>
      </c>
      <c r="D1555" s="20" t="s">
        <v>7040</v>
      </c>
      <c r="E1555" s="20" t="s">
        <v>1789</v>
      </c>
      <c r="F1555" s="20" t="s">
        <v>5587</v>
      </c>
      <c r="G1555" s="20" t="s">
        <v>5587</v>
      </c>
      <c r="H1555" s="20" t="s">
        <v>5320</v>
      </c>
      <c r="I1555" s="20" t="s">
        <v>5587</v>
      </c>
      <c r="J1555" s="22" t="s">
        <v>7041</v>
      </c>
      <c r="K1555" s="22" t="s">
        <v>7041</v>
      </c>
      <c r="L1555" s="23" t="s">
        <v>92</v>
      </c>
      <c r="M1555" s="24" t="s">
        <v>7738</v>
      </c>
      <c r="N1555" s="23">
        <v>18848044</v>
      </c>
      <c r="O1555" s="25" t="s">
        <v>52</v>
      </c>
      <c r="P1555" s="25" t="s">
        <v>53</v>
      </c>
      <c r="Q1555" s="20" t="s">
        <v>7042</v>
      </c>
      <c r="R1555" s="20">
        <v>9815102</v>
      </c>
      <c r="S1555" s="25" t="s">
        <v>55</v>
      </c>
      <c r="T1555" s="26" t="s">
        <v>56</v>
      </c>
      <c r="U1555" s="23">
        <v>357654179026169</v>
      </c>
      <c r="V1555" s="27" t="s">
        <v>78</v>
      </c>
      <c r="W1555" s="20" t="s">
        <v>5299</v>
      </c>
      <c r="X1555" s="20" t="s">
        <v>5299</v>
      </c>
      <c r="Y1555" s="20" t="s">
        <v>5299</v>
      </c>
      <c r="Z1555" s="20" t="s">
        <v>60</v>
      </c>
      <c r="AA1555" s="20" t="s">
        <v>61</v>
      </c>
      <c r="AB1555" s="20" t="s">
        <v>82</v>
      </c>
      <c r="AC1555" s="28">
        <v>559.48</v>
      </c>
      <c r="AD1555" s="28">
        <f>SUM(BASE[[#This Row],[MONTO DE RENTA ]]*1.16)</f>
        <v>648.99680000000001</v>
      </c>
      <c r="AE1555" s="28" t="s">
        <v>83</v>
      </c>
      <c r="AF1555" s="28">
        <v>559.48275862068965</v>
      </c>
      <c r="AG1555" s="28">
        <v>649</v>
      </c>
      <c r="AI1555" s="29">
        <v>44937</v>
      </c>
      <c r="AJ1555" s="50">
        <v>46043</v>
      </c>
      <c r="AK155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55" s="30"/>
      <c r="AN1555" s="20" t="s">
        <v>99</v>
      </c>
      <c r="AP1555" s="20" t="s">
        <v>84</v>
      </c>
      <c r="AQ1555" s="20" t="s">
        <v>100</v>
      </c>
    </row>
    <row r="1556" spans="1:43" ht="16">
      <c r="A1556" s="20">
        <v>8135512885</v>
      </c>
      <c r="B1556" s="21">
        <v>1005177</v>
      </c>
      <c r="C1556" s="20" t="s">
        <v>6732</v>
      </c>
      <c r="D1556" s="20" t="s">
        <v>1067</v>
      </c>
      <c r="E1556" s="20" t="s">
        <v>6733</v>
      </c>
      <c r="F1556" s="20" t="s">
        <v>6734</v>
      </c>
      <c r="G1556" s="20" t="s">
        <v>6734</v>
      </c>
      <c r="H1556" s="20" t="s">
        <v>5289</v>
      </c>
      <c r="I1556" s="20" t="s">
        <v>6734</v>
      </c>
      <c r="J1556" s="32" t="s">
        <v>7043</v>
      </c>
      <c r="K1556" s="32" t="s">
        <v>7043</v>
      </c>
      <c r="L1556" s="23" t="s">
        <v>92</v>
      </c>
      <c r="M1556" s="24" t="s">
        <v>7738</v>
      </c>
      <c r="N1556" s="23">
        <v>18848027</v>
      </c>
      <c r="O1556" s="25" t="s">
        <v>74</v>
      </c>
      <c r="P1556" s="25" t="s">
        <v>53</v>
      </c>
      <c r="Q1556" s="20" t="s">
        <v>7044</v>
      </c>
      <c r="R1556" s="20">
        <v>42781934</v>
      </c>
      <c r="S1556" s="25" t="s">
        <v>7045</v>
      </c>
      <c r="T1556" s="26" t="s">
        <v>77</v>
      </c>
      <c r="U1556" s="23">
        <v>0</v>
      </c>
      <c r="V1556" s="27" t="s">
        <v>78</v>
      </c>
      <c r="W1556" s="20" t="s">
        <v>5456</v>
      </c>
      <c r="X1556" s="20" t="s">
        <v>5456</v>
      </c>
      <c r="Y1556" s="20" t="s">
        <v>5456</v>
      </c>
      <c r="Z1556" s="20" t="s">
        <v>167</v>
      </c>
      <c r="AA1556" s="20" t="s">
        <v>168</v>
      </c>
      <c r="AB1556" s="20" t="s">
        <v>82</v>
      </c>
      <c r="AC1556" s="28">
        <v>559.48</v>
      </c>
      <c r="AD1556" s="28">
        <f>SUM(BASE[[#This Row],[MONTO DE RENTA ]]*1.16)</f>
        <v>648.99680000000001</v>
      </c>
      <c r="AE1556" s="28" t="s">
        <v>83</v>
      </c>
      <c r="AF1556" s="28">
        <v>559.48275862068965</v>
      </c>
      <c r="AG1556" s="28">
        <v>649</v>
      </c>
      <c r="AH1556" s="22" t="s">
        <v>116</v>
      </c>
      <c r="AI1556" s="29">
        <v>46007</v>
      </c>
      <c r="AJ1556" s="46">
        <v>46681</v>
      </c>
      <c r="AK1556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556" s="30" t="s">
        <v>7046</v>
      </c>
      <c r="AN1556" s="20" t="s">
        <v>65</v>
      </c>
      <c r="AP1556" s="20" t="s">
        <v>84</v>
      </c>
    </row>
    <row r="1557" spans="1:43" ht="16">
      <c r="A1557" s="20">
        <v>8119086809</v>
      </c>
      <c r="B1557" s="49">
        <v>1054762</v>
      </c>
      <c r="C1557" s="20" t="s">
        <v>1308</v>
      </c>
      <c r="D1557" s="20" t="s">
        <v>187</v>
      </c>
      <c r="E1557" s="20" t="s">
        <v>347</v>
      </c>
      <c r="F1557" s="20" t="s">
        <v>7047</v>
      </c>
      <c r="G1557" s="20" t="s">
        <v>7047</v>
      </c>
      <c r="H1557" s="20" t="s">
        <v>199</v>
      </c>
      <c r="I1557" s="20" t="s">
        <v>7047</v>
      </c>
      <c r="J1557" s="32" t="s">
        <v>7048</v>
      </c>
      <c r="K1557" s="32" t="s">
        <v>7048</v>
      </c>
      <c r="L1557" s="23" t="s">
        <v>92</v>
      </c>
      <c r="M1557" s="24" t="s">
        <v>7738</v>
      </c>
      <c r="N1557" s="23">
        <v>18848097</v>
      </c>
      <c r="O1557" s="25" t="s">
        <v>74</v>
      </c>
      <c r="P1557" s="25" t="s">
        <v>53</v>
      </c>
      <c r="Q1557" s="20" t="s">
        <v>7049</v>
      </c>
      <c r="R1557" s="20">
        <v>43611078</v>
      </c>
      <c r="S1557" s="25" t="s">
        <v>7050</v>
      </c>
      <c r="T1557" s="26" t="s">
        <v>77</v>
      </c>
      <c r="U1557" s="23">
        <v>357654179881449</v>
      </c>
      <c r="V1557" s="27" t="s">
        <v>78</v>
      </c>
      <c r="W1557" s="20" t="s">
        <v>6506</v>
      </c>
      <c r="X1557" s="20" t="s">
        <v>6506</v>
      </c>
      <c r="Y1557" s="20" t="s">
        <v>6506</v>
      </c>
      <c r="Z1557" s="20" t="s">
        <v>167</v>
      </c>
      <c r="AA1557" s="20" t="s">
        <v>168</v>
      </c>
      <c r="AB1557" s="20" t="s">
        <v>82</v>
      </c>
      <c r="AC1557" s="28">
        <v>559.48</v>
      </c>
      <c r="AD1557" s="28">
        <f>SUM(BASE[[#This Row],[MONTO DE RENTA ]]*1.16)</f>
        <v>648.99680000000001</v>
      </c>
      <c r="AE1557" s="28" t="s">
        <v>83</v>
      </c>
      <c r="AF1557" s="28">
        <v>559.48275862068965</v>
      </c>
      <c r="AG1557" s="28">
        <v>649</v>
      </c>
      <c r="AI1557" s="29">
        <v>44937</v>
      </c>
      <c r="AJ1557" s="46">
        <v>46054</v>
      </c>
      <c r="AK15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57" s="30"/>
      <c r="AN1557" s="20" t="s">
        <v>99</v>
      </c>
      <c r="AP1557" s="20" t="s">
        <v>84</v>
      </c>
      <c r="AQ1557" s="20" t="s">
        <v>100</v>
      </c>
    </row>
    <row r="1558" spans="1:43" ht="16">
      <c r="A1558" s="312">
        <v>8110224140</v>
      </c>
      <c r="B1558" s="49">
        <v>1018707</v>
      </c>
      <c r="C1558" s="20" t="s">
        <v>7051</v>
      </c>
      <c r="D1558" s="20" t="s">
        <v>229</v>
      </c>
      <c r="E1558" s="20" t="s">
        <v>1524</v>
      </c>
      <c r="F1558" s="20" t="s">
        <v>5689</v>
      </c>
      <c r="G1558" s="20" t="s">
        <v>5689</v>
      </c>
      <c r="H1558" s="20" t="s">
        <v>5437</v>
      </c>
      <c r="I1558" s="20" t="s">
        <v>5689</v>
      </c>
      <c r="J1558" s="32" t="s">
        <v>7052</v>
      </c>
      <c r="K1558" s="32" t="s">
        <v>7052</v>
      </c>
      <c r="L1558" s="23" t="s">
        <v>92</v>
      </c>
      <c r="M1558" s="24" t="s">
        <v>7738</v>
      </c>
      <c r="N1558" s="23">
        <v>18848063</v>
      </c>
      <c r="O1558" s="25" t="s">
        <v>74</v>
      </c>
      <c r="P1558" s="25" t="s">
        <v>53</v>
      </c>
      <c r="Q1558" s="20" t="s">
        <v>7053</v>
      </c>
      <c r="R1558" s="20">
        <v>45142577</v>
      </c>
      <c r="S1558" s="25" t="s">
        <v>7054</v>
      </c>
      <c r="T1558" s="199" t="s">
        <v>77</v>
      </c>
      <c r="U1558" s="23">
        <v>351307359639527</v>
      </c>
      <c r="V1558" s="27" t="s">
        <v>78</v>
      </c>
      <c r="W1558" s="20" t="s">
        <v>79</v>
      </c>
      <c r="X1558" s="20" t="s">
        <v>79</v>
      </c>
      <c r="Y1558" s="20" t="s">
        <v>79</v>
      </c>
      <c r="Z1558" s="20" t="s">
        <v>167</v>
      </c>
      <c r="AA1558" s="20" t="s">
        <v>168</v>
      </c>
      <c r="AB1558" s="20" t="s">
        <v>82</v>
      </c>
      <c r="AC1558" s="28">
        <v>559.48</v>
      </c>
      <c r="AD1558" s="28">
        <f>SUM(BASE[[#This Row],[MONTO DE RENTA ]]*1.16)</f>
        <v>648.99680000000001</v>
      </c>
      <c r="AE1558" s="28" t="s">
        <v>83</v>
      </c>
      <c r="AF1558" s="28">
        <v>559.48275862068965</v>
      </c>
      <c r="AG1558" s="28">
        <v>649</v>
      </c>
      <c r="AH1558" s="22" t="s">
        <v>64</v>
      </c>
      <c r="AI1558" s="63">
        <v>45713</v>
      </c>
      <c r="AJ1558" s="63">
        <v>46433</v>
      </c>
      <c r="AK155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558" s="51"/>
      <c r="AM1558" s="58"/>
      <c r="AN1558" s="20" t="s">
        <v>65</v>
      </c>
      <c r="AP1558" s="20" t="s">
        <v>84</v>
      </c>
    </row>
    <row r="1559" spans="1:43" ht="16">
      <c r="A1559" s="20">
        <v>8135515216</v>
      </c>
      <c r="B1559" s="59">
        <v>1006541</v>
      </c>
      <c r="C1559" s="20" t="s">
        <v>7055</v>
      </c>
      <c r="D1559" s="20" t="s">
        <v>187</v>
      </c>
      <c r="E1559" s="20" t="s">
        <v>1346</v>
      </c>
      <c r="F1559" s="20" t="s">
        <v>7056</v>
      </c>
      <c r="G1559" s="20" t="s">
        <v>7056</v>
      </c>
      <c r="H1559" s="20" t="s">
        <v>199</v>
      </c>
      <c r="I1559" s="20" t="s">
        <v>7056</v>
      </c>
      <c r="J1559" s="22" t="s">
        <v>7057</v>
      </c>
      <c r="K1559" s="32" t="s">
        <v>7058</v>
      </c>
      <c r="L1559" s="23" t="s">
        <v>6637</v>
      </c>
      <c r="M1559" s="24" t="s">
        <v>7738</v>
      </c>
      <c r="N1559" s="23">
        <v>11313000</v>
      </c>
      <c r="O1559" s="25" t="s">
        <v>74</v>
      </c>
      <c r="P1559" s="25" t="s">
        <v>53</v>
      </c>
      <c r="Q1559" s="20" t="s">
        <v>7059</v>
      </c>
      <c r="R1559" s="20">
        <v>44918850</v>
      </c>
      <c r="S1559" s="25" t="s">
        <v>7060</v>
      </c>
      <c r="T1559" s="26" t="s">
        <v>57</v>
      </c>
      <c r="U1559" s="23">
        <v>860900062338272</v>
      </c>
      <c r="V1559" s="27" t="s">
        <v>57</v>
      </c>
      <c r="W1559" s="20" t="s">
        <v>58</v>
      </c>
      <c r="X1559" s="20" t="s">
        <v>59</v>
      </c>
      <c r="Y1559" s="20" t="s">
        <v>59</v>
      </c>
      <c r="Z1559" s="20" t="s">
        <v>167</v>
      </c>
      <c r="AA1559" s="20" t="s">
        <v>168</v>
      </c>
      <c r="AB1559" s="20" t="s">
        <v>96</v>
      </c>
      <c r="AC1559" s="28">
        <v>369.83</v>
      </c>
      <c r="AD1559" s="28">
        <f>SUM(BASE[[#This Row],[MONTO DE RENTA ]]*1.16)</f>
        <v>429.00279999999998</v>
      </c>
      <c r="AE1559" s="28" t="s">
        <v>63</v>
      </c>
      <c r="AF1559" s="28">
        <v>369.82758620689657</v>
      </c>
      <c r="AG1559" s="28">
        <v>429</v>
      </c>
      <c r="AH1559" s="22" t="s">
        <v>64</v>
      </c>
      <c r="AI1559" s="313">
        <v>45713</v>
      </c>
      <c r="AJ1559" s="313">
        <v>46433</v>
      </c>
      <c r="AK155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59" s="30"/>
      <c r="AN1559" s="20" t="s">
        <v>65</v>
      </c>
      <c r="AP1559" s="20" t="s">
        <v>84</v>
      </c>
    </row>
    <row r="1560" spans="1:43" ht="16">
      <c r="A1560" s="20">
        <v>8135515311</v>
      </c>
      <c r="B1560" s="49">
        <v>1045285</v>
      </c>
      <c r="C1560" s="20" t="s">
        <v>7061</v>
      </c>
      <c r="D1560" s="20" t="s">
        <v>1598</v>
      </c>
      <c r="E1560" s="20" t="s">
        <v>7062</v>
      </c>
      <c r="F1560" s="20" t="s">
        <v>5436</v>
      </c>
      <c r="G1560" s="20" t="s">
        <v>5436</v>
      </c>
      <c r="H1560" s="20" t="s">
        <v>5437</v>
      </c>
      <c r="I1560" s="20" t="s">
        <v>5436</v>
      </c>
      <c r="J1560" s="22" t="s">
        <v>7063</v>
      </c>
      <c r="K1560" s="32" t="s">
        <v>7064</v>
      </c>
      <c r="L1560" s="23" t="s">
        <v>92</v>
      </c>
      <c r="M1560" s="24" t="s">
        <v>7738</v>
      </c>
      <c r="N1560" s="23">
        <v>18848063</v>
      </c>
      <c r="O1560" s="25" t="s">
        <v>74</v>
      </c>
      <c r="P1560" s="25" t="s">
        <v>53</v>
      </c>
      <c r="Q1560" s="20" t="s">
        <v>7065</v>
      </c>
      <c r="R1560" s="20">
        <v>44918937</v>
      </c>
      <c r="S1560" s="25" t="s">
        <v>55</v>
      </c>
      <c r="T1560" s="26" t="s">
        <v>56</v>
      </c>
      <c r="U1560" s="23">
        <v>865356065730277</v>
      </c>
      <c r="V1560" s="27" t="s">
        <v>183</v>
      </c>
      <c r="W1560" s="20" t="s">
        <v>129</v>
      </c>
      <c r="X1560" s="20" t="s">
        <v>130</v>
      </c>
      <c r="Y1560" s="20" t="s">
        <v>130</v>
      </c>
      <c r="Z1560" s="20" t="s">
        <v>60</v>
      </c>
      <c r="AA1560" s="20" t="s">
        <v>61</v>
      </c>
      <c r="AB1560" s="20" t="s">
        <v>96</v>
      </c>
      <c r="AC1560" s="28">
        <v>369.83</v>
      </c>
      <c r="AD1560" s="28">
        <f>SUM(BASE[[#This Row],[MONTO DE RENTA ]]*1.16)</f>
        <v>429.00279999999998</v>
      </c>
      <c r="AE1560" s="28" t="s">
        <v>63</v>
      </c>
      <c r="AF1560" s="28">
        <v>369.82758620689657</v>
      </c>
      <c r="AG1560" s="28">
        <v>429</v>
      </c>
      <c r="AI1560" s="29">
        <v>44937</v>
      </c>
      <c r="AJ1560" s="50">
        <v>46043</v>
      </c>
      <c r="AK156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60" s="30"/>
      <c r="AN1560" s="20" t="s">
        <v>99</v>
      </c>
      <c r="AP1560" s="20" t="s">
        <v>84</v>
      </c>
      <c r="AQ1560" s="20" t="s">
        <v>100</v>
      </c>
    </row>
    <row r="1561" spans="1:43" ht="16">
      <c r="A1561" s="20">
        <v>8120016888</v>
      </c>
      <c r="B1561" s="49">
        <v>1034510</v>
      </c>
      <c r="C1561" s="20" t="s">
        <v>733</v>
      </c>
      <c r="D1561" s="20" t="s">
        <v>3062</v>
      </c>
      <c r="E1561" s="20" t="s">
        <v>657</v>
      </c>
      <c r="F1561" s="20" t="s">
        <v>7066</v>
      </c>
      <c r="G1561" s="20" t="s">
        <v>7066</v>
      </c>
      <c r="H1561" s="20" t="s">
        <v>5320</v>
      </c>
      <c r="I1561" s="20" t="s">
        <v>7066</v>
      </c>
      <c r="J1561" s="22" t="s">
        <v>7067</v>
      </c>
      <c r="K1561" s="32" t="s">
        <v>7068</v>
      </c>
      <c r="L1561" s="23" t="s">
        <v>92</v>
      </c>
      <c r="M1561" s="24" t="s">
        <v>7738</v>
      </c>
      <c r="N1561" s="23">
        <v>18848107</v>
      </c>
      <c r="O1561" s="25" t="s">
        <v>74</v>
      </c>
      <c r="P1561" s="25" t="s">
        <v>53</v>
      </c>
      <c r="Q1561" s="20" t="s">
        <v>7069</v>
      </c>
      <c r="R1561" s="20">
        <v>43625184</v>
      </c>
      <c r="S1561" s="25" t="s">
        <v>55</v>
      </c>
      <c r="T1561" s="26" t="s">
        <v>56</v>
      </c>
      <c r="U1561" s="23">
        <v>865356065720849</v>
      </c>
      <c r="V1561" s="27" t="s">
        <v>183</v>
      </c>
      <c r="W1561" s="20" t="s">
        <v>129</v>
      </c>
      <c r="X1561" s="20" t="s">
        <v>130</v>
      </c>
      <c r="Y1561" s="20" t="s">
        <v>130</v>
      </c>
      <c r="Z1561" s="20" t="s">
        <v>60</v>
      </c>
      <c r="AA1561" s="20" t="s">
        <v>61</v>
      </c>
      <c r="AB1561" s="20" t="s">
        <v>96</v>
      </c>
      <c r="AC1561" s="28">
        <v>369.83</v>
      </c>
      <c r="AD1561" s="28">
        <f>SUM(BASE[[#This Row],[MONTO DE RENTA ]]*1.16)</f>
        <v>429.00279999999998</v>
      </c>
      <c r="AE1561" s="28" t="s">
        <v>63</v>
      </c>
      <c r="AF1561" s="28">
        <v>369.82758620689657</v>
      </c>
      <c r="AG1561" s="28">
        <v>429</v>
      </c>
      <c r="AI1561" s="29">
        <v>44937</v>
      </c>
      <c r="AJ1561" s="50">
        <v>46043</v>
      </c>
      <c r="AK15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61" s="30"/>
      <c r="AN1561" s="20" t="s">
        <v>99</v>
      </c>
      <c r="AP1561" s="20" t="s">
        <v>84</v>
      </c>
      <c r="AQ1561" s="20" t="s">
        <v>100</v>
      </c>
    </row>
    <row r="1562" spans="1:43" ht="16">
      <c r="A1562" s="20">
        <v>8110115930</v>
      </c>
      <c r="B1562" s="70">
        <v>1083356</v>
      </c>
      <c r="C1562" s="20" t="s">
        <v>7070</v>
      </c>
      <c r="D1562" s="20" t="s">
        <v>45</v>
      </c>
      <c r="E1562" s="20" t="s">
        <v>187</v>
      </c>
      <c r="F1562" s="20" t="s">
        <v>5612</v>
      </c>
      <c r="G1562" s="20" t="s">
        <v>5612</v>
      </c>
      <c r="H1562" s="20" t="s">
        <v>199</v>
      </c>
      <c r="I1562" s="20" t="s">
        <v>5612</v>
      </c>
      <c r="J1562" s="32" t="s">
        <v>7071</v>
      </c>
      <c r="K1562" s="54" t="s">
        <v>7071</v>
      </c>
      <c r="L1562" s="23" t="s">
        <v>92</v>
      </c>
      <c r="M1562" s="24" t="s">
        <v>7738</v>
      </c>
      <c r="N1562" s="23">
        <v>18848076</v>
      </c>
      <c r="O1562" s="25" t="s">
        <v>74</v>
      </c>
      <c r="P1562" s="25" t="s">
        <v>53</v>
      </c>
      <c r="Q1562" s="20" t="s">
        <v>7072</v>
      </c>
      <c r="R1562" s="20">
        <v>45542957</v>
      </c>
      <c r="S1562" s="25" t="s">
        <v>55</v>
      </c>
      <c r="T1562" s="39" t="s">
        <v>56</v>
      </c>
      <c r="U1562" s="23">
        <v>860900062337217</v>
      </c>
      <c r="V1562" s="27" t="s">
        <v>183</v>
      </c>
      <c r="W1562" s="20" t="s">
        <v>58</v>
      </c>
      <c r="X1562" s="20" t="s">
        <v>59</v>
      </c>
      <c r="Y1562" s="20" t="s">
        <v>59</v>
      </c>
      <c r="Z1562" s="20" t="s">
        <v>5527</v>
      </c>
      <c r="AA1562" s="20" t="s">
        <v>5528</v>
      </c>
      <c r="AB1562" s="20" t="s">
        <v>244</v>
      </c>
      <c r="AC1562" s="28">
        <v>473.28</v>
      </c>
      <c r="AD1562" s="28">
        <f>SUM(BASE[[#This Row],[MONTO DE RENTA ]]*1.16)</f>
        <v>549.00479999999993</v>
      </c>
      <c r="AE1562" s="28" t="s">
        <v>63</v>
      </c>
      <c r="AF1562" s="28">
        <v>369.82758620689657</v>
      </c>
      <c r="AG1562" s="28">
        <v>429</v>
      </c>
      <c r="AH1562" s="22" t="s">
        <v>64</v>
      </c>
      <c r="AI1562" s="29">
        <v>45972</v>
      </c>
      <c r="AJ1562" s="29">
        <v>46753</v>
      </c>
      <c r="AK1562" s="30">
        <f ca="1">IFERROR(IF(BASE[[#This Row],[FECHA DE RENOVACION ]]&gt;TODAY(), DATEDIF(TODAY(),BASE[[#This Row],[FECHA DE RENOVACION ]],"M"), -DATEDIF(BASE[[#This Row],[FECHA DE RENOVACION ]],TODAY(),"M")), "Sin fecha")</f>
        <v>21</v>
      </c>
      <c r="AM1562" s="30"/>
      <c r="AN1562" s="20" t="s">
        <v>65</v>
      </c>
      <c r="AP1562" s="20" t="s">
        <v>118</v>
      </c>
    </row>
    <row r="1563" spans="1:43" ht="16">
      <c r="A1563" s="34">
        <v>8112763454</v>
      </c>
      <c r="B1563" s="79">
        <v>1085742</v>
      </c>
      <c r="C1563" s="34" t="s">
        <v>733</v>
      </c>
      <c r="D1563" s="34" t="s">
        <v>1931</v>
      </c>
      <c r="E1563" s="34" t="s">
        <v>177</v>
      </c>
      <c r="F1563" s="34" t="s">
        <v>7073</v>
      </c>
      <c r="G1563" s="34" t="s">
        <v>7073</v>
      </c>
      <c r="H1563" s="34" t="s">
        <v>89</v>
      </c>
      <c r="I1563" s="34" t="s">
        <v>7073</v>
      </c>
      <c r="J1563" s="37" t="s">
        <v>7074</v>
      </c>
      <c r="K1563" s="37" t="s">
        <v>7074</v>
      </c>
      <c r="L1563" s="38" t="s">
        <v>92</v>
      </c>
      <c r="M1563" s="77" t="s">
        <v>7738</v>
      </c>
      <c r="N1563" s="38">
        <v>18848041</v>
      </c>
      <c r="O1563" s="110" t="s">
        <v>74</v>
      </c>
      <c r="P1563" s="25" t="s">
        <v>53</v>
      </c>
      <c r="Q1563" s="34" t="s">
        <v>7075</v>
      </c>
      <c r="R1563" s="34">
        <v>43394885</v>
      </c>
      <c r="S1563" s="110" t="s">
        <v>7076</v>
      </c>
      <c r="T1563" s="39" t="s">
        <v>57</v>
      </c>
      <c r="U1563" s="38">
        <v>860478060660419</v>
      </c>
      <c r="V1563" s="314" t="s">
        <v>110</v>
      </c>
      <c r="W1563" s="34" t="s">
        <v>302</v>
      </c>
      <c r="X1563" s="20" t="s">
        <v>303</v>
      </c>
      <c r="Y1563" s="20" t="s">
        <v>303</v>
      </c>
      <c r="Z1563" s="20" t="s">
        <v>7077</v>
      </c>
      <c r="AA1563" s="20" t="s">
        <v>7078</v>
      </c>
      <c r="AB1563" s="34" t="s">
        <v>1755</v>
      </c>
      <c r="AC1563" s="111">
        <v>369.83</v>
      </c>
      <c r="AD1563" s="111">
        <f>SUM(BASE[[#This Row],[MONTO DE RENTA ]]*1.16)</f>
        <v>429.00279999999998</v>
      </c>
      <c r="AE1563" s="28" t="s">
        <v>83</v>
      </c>
      <c r="AF1563" s="111">
        <v>559.48275862068965</v>
      </c>
      <c r="AG1563" s="111">
        <v>649</v>
      </c>
      <c r="AH1563" s="36" t="s">
        <v>64</v>
      </c>
      <c r="AI1563" s="46">
        <v>45703</v>
      </c>
      <c r="AJ1563" s="46">
        <v>46433</v>
      </c>
      <c r="AK1563" s="42">
        <f ca="1">IFERROR(IF(BASE[[#This Row],[FECHA DE RENOVACION ]]&gt;TODAY(), DATEDIF(TODAY(),BASE[[#This Row],[FECHA DE RENOVACION ]],"M"), -DATEDIF(BASE[[#This Row],[FECHA DE RENOVACION ]],TODAY(),"M")), "Sin fecha")</f>
        <v>11</v>
      </c>
      <c r="AL1563" s="34"/>
      <c r="AM1563" s="42"/>
      <c r="AN1563" s="20" t="s">
        <v>65</v>
      </c>
      <c r="AP1563" s="20" t="s">
        <v>66</v>
      </c>
    </row>
    <row r="1564" spans="1:43" ht="16">
      <c r="A1564" s="20">
        <v>8118015969</v>
      </c>
      <c r="B1564" s="49">
        <v>1084558</v>
      </c>
      <c r="C1564" s="20" t="s">
        <v>7079</v>
      </c>
      <c r="D1564" s="20" t="s">
        <v>3703</v>
      </c>
      <c r="E1564" s="20" t="s">
        <v>5055</v>
      </c>
      <c r="F1564" s="20" t="s">
        <v>7080</v>
      </c>
      <c r="G1564" s="20" t="s">
        <v>7080</v>
      </c>
      <c r="H1564" s="20" t="s">
        <v>231</v>
      </c>
      <c r="I1564" s="20" t="s">
        <v>7080</v>
      </c>
      <c r="J1564" s="54" t="s">
        <v>7081</v>
      </c>
      <c r="K1564" s="54" t="s">
        <v>7081</v>
      </c>
      <c r="L1564" s="23" t="s">
        <v>92</v>
      </c>
      <c r="M1564" s="24" t="s">
        <v>7738</v>
      </c>
      <c r="N1564" s="23">
        <v>18848062</v>
      </c>
      <c r="O1564" s="25" t="s">
        <v>74</v>
      </c>
      <c r="P1564" s="25" t="s">
        <v>53</v>
      </c>
      <c r="Q1564" s="20" t="s">
        <v>7082</v>
      </c>
      <c r="R1564" s="20">
        <v>43648014</v>
      </c>
      <c r="S1564" s="25" t="s">
        <v>55</v>
      </c>
      <c r="T1564" s="44" t="s">
        <v>56</v>
      </c>
      <c r="U1564" s="23">
        <v>860900062269592</v>
      </c>
      <c r="V1564" s="27" t="s">
        <v>57</v>
      </c>
      <c r="W1564" s="20" t="s">
        <v>58</v>
      </c>
      <c r="X1564" s="20" t="s">
        <v>59</v>
      </c>
      <c r="Y1564" s="20" t="s">
        <v>59</v>
      </c>
      <c r="Z1564" s="20" t="s">
        <v>60</v>
      </c>
      <c r="AA1564" s="20" t="s">
        <v>61</v>
      </c>
      <c r="AB1564" s="20" t="s">
        <v>96</v>
      </c>
      <c r="AC1564" s="28">
        <v>369.83</v>
      </c>
      <c r="AD1564" s="28">
        <f>SUM(BASE[[#This Row],[MONTO DE RENTA ]]*1.16)</f>
        <v>429.00279999999998</v>
      </c>
      <c r="AE1564" s="28" t="s">
        <v>63</v>
      </c>
      <c r="AF1564" s="28">
        <v>369.82758620689657</v>
      </c>
      <c r="AG1564" s="28">
        <v>429</v>
      </c>
      <c r="AH1564" s="22" t="s">
        <v>116</v>
      </c>
      <c r="AI1564" s="63">
        <v>45973</v>
      </c>
      <c r="AJ1564" s="63">
        <v>46419</v>
      </c>
      <c r="AK156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64" s="30"/>
      <c r="AN1564" s="20" t="s">
        <v>65</v>
      </c>
      <c r="AP1564" s="20" t="s">
        <v>84</v>
      </c>
    </row>
    <row r="1565" spans="1:43" ht="16">
      <c r="A1565" s="20">
        <v>8111994839</v>
      </c>
      <c r="B1565" s="86">
        <v>6375</v>
      </c>
      <c r="C1565" s="20" t="s">
        <v>7083</v>
      </c>
      <c r="D1565" s="20" t="s">
        <v>7084</v>
      </c>
      <c r="E1565" s="20" t="s">
        <v>376</v>
      </c>
      <c r="F1565" s="20" t="s">
        <v>6102</v>
      </c>
      <c r="G1565" s="20" t="s">
        <v>6102</v>
      </c>
      <c r="H1565" s="20" t="s">
        <v>5320</v>
      </c>
      <c r="I1565" s="20" t="s">
        <v>6102</v>
      </c>
      <c r="J1565" s="22" t="s">
        <v>7085</v>
      </c>
      <c r="K1565" s="32" t="s">
        <v>7086</v>
      </c>
      <c r="L1565" s="23" t="s">
        <v>92</v>
      </c>
      <c r="M1565" s="24" t="s">
        <v>7738</v>
      </c>
      <c r="N1565" s="23">
        <v>18848107</v>
      </c>
      <c r="O1565" s="25" t="s">
        <v>74</v>
      </c>
      <c r="P1565" s="25" t="s">
        <v>53</v>
      </c>
      <c r="Q1565" s="20" t="s">
        <v>7087</v>
      </c>
      <c r="R1565" s="20">
        <v>42852698</v>
      </c>
      <c r="S1565" s="25" t="s">
        <v>55</v>
      </c>
      <c r="T1565" s="26" t="s">
        <v>56</v>
      </c>
      <c r="U1565" s="23">
        <v>860478064799841</v>
      </c>
      <c r="V1565" s="45" t="s">
        <v>110</v>
      </c>
      <c r="W1565" s="20" t="s">
        <v>302</v>
      </c>
      <c r="X1565" s="20" t="s">
        <v>303</v>
      </c>
      <c r="Y1565" s="20" t="s">
        <v>303</v>
      </c>
      <c r="Z1565" s="20" t="s">
        <v>60</v>
      </c>
      <c r="AA1565" s="20" t="s">
        <v>61</v>
      </c>
      <c r="AB1565" s="20" t="s">
        <v>96</v>
      </c>
      <c r="AC1565" s="28">
        <v>369.83</v>
      </c>
      <c r="AD1565" s="28">
        <f>SUM(BASE[[#This Row],[MONTO DE RENTA ]]*1.16)</f>
        <v>429.00279999999998</v>
      </c>
      <c r="AE1565" s="28" t="s">
        <v>83</v>
      </c>
      <c r="AF1565" s="28">
        <v>559.48275862068965</v>
      </c>
      <c r="AG1565" s="28">
        <v>649</v>
      </c>
      <c r="AH1565" s="22" t="s">
        <v>253</v>
      </c>
      <c r="AI1565" s="63">
        <v>45798</v>
      </c>
      <c r="AJ1565" s="63">
        <v>46413</v>
      </c>
      <c r="AK1565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565" s="24">
        <v>38641</v>
      </c>
      <c r="AM1565" s="30"/>
      <c r="AN1565" s="20" t="s">
        <v>65</v>
      </c>
      <c r="AP1565" s="20" t="s">
        <v>66</v>
      </c>
    </row>
    <row r="1566" spans="1:43" s="230" customFormat="1" ht="16">
      <c r="A1566" s="20">
        <v>8115445523</v>
      </c>
      <c r="B1566" s="49">
        <v>6498</v>
      </c>
      <c r="C1566" s="20" t="s">
        <v>1308</v>
      </c>
      <c r="D1566" s="20" t="s">
        <v>462</v>
      </c>
      <c r="E1566" s="20" t="s">
        <v>187</v>
      </c>
      <c r="F1566" s="20" t="s">
        <v>1427</v>
      </c>
      <c r="G1566" s="20" t="s">
        <v>1427</v>
      </c>
      <c r="H1566" s="20" t="s">
        <v>48</v>
      </c>
      <c r="I1566" s="20" t="s">
        <v>1427</v>
      </c>
      <c r="J1566" s="22" t="s">
        <v>7088</v>
      </c>
      <c r="K1566" s="32" t="s">
        <v>7089</v>
      </c>
      <c r="L1566" s="23" t="s">
        <v>1298</v>
      </c>
      <c r="M1566" s="24" t="s">
        <v>7752</v>
      </c>
      <c r="N1566" s="23">
        <v>18061000</v>
      </c>
      <c r="O1566" s="25" t="s">
        <v>74</v>
      </c>
      <c r="P1566" s="25" t="s">
        <v>53</v>
      </c>
      <c r="Q1566" s="20" t="s">
        <v>7090</v>
      </c>
      <c r="R1566" s="20">
        <v>42960821</v>
      </c>
      <c r="S1566" s="25" t="s">
        <v>55</v>
      </c>
      <c r="T1566" s="26" t="s">
        <v>56</v>
      </c>
      <c r="U1566" s="23">
        <v>865356065670333</v>
      </c>
      <c r="V1566" s="27" t="s">
        <v>183</v>
      </c>
      <c r="W1566" s="20" t="s">
        <v>129</v>
      </c>
      <c r="X1566" s="20" t="s">
        <v>130</v>
      </c>
      <c r="Y1566" s="20" t="s">
        <v>130</v>
      </c>
      <c r="Z1566" s="20" t="s">
        <v>60</v>
      </c>
      <c r="AA1566" s="20" t="s">
        <v>61</v>
      </c>
      <c r="AB1566" s="20" t="s">
        <v>96</v>
      </c>
      <c r="AC1566" s="28">
        <v>369.83</v>
      </c>
      <c r="AD1566" s="28">
        <f>SUM(BASE[[#This Row],[MONTO DE RENTA ]]*1.16)</f>
        <v>429.00279999999998</v>
      </c>
      <c r="AE1566" s="28" t="s">
        <v>63</v>
      </c>
      <c r="AF1566" s="28">
        <v>369.82758620689657</v>
      </c>
      <c r="AG1566" s="28">
        <v>429</v>
      </c>
      <c r="AH1566" s="22"/>
      <c r="AI1566" s="63">
        <v>44937</v>
      </c>
      <c r="AJ1566" s="73">
        <v>46043</v>
      </c>
      <c r="AK156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66" s="20"/>
      <c r="AM1566" s="30"/>
      <c r="AN1566" s="20" t="s">
        <v>99</v>
      </c>
      <c r="AO1566" s="20"/>
      <c r="AP1566" s="20" t="s">
        <v>84</v>
      </c>
      <c r="AQ1566" s="20" t="s">
        <v>100</v>
      </c>
    </row>
    <row r="1567" spans="1:43" ht="16">
      <c r="A1567" s="20">
        <v>8180294946</v>
      </c>
      <c r="B1567" s="49">
        <v>10213</v>
      </c>
      <c r="C1567" s="20" t="s">
        <v>4866</v>
      </c>
      <c r="D1567" s="20" t="s">
        <v>3074</v>
      </c>
      <c r="E1567" s="20" t="s">
        <v>187</v>
      </c>
      <c r="F1567" s="20" t="s">
        <v>7091</v>
      </c>
      <c r="G1567" s="20" t="s">
        <v>7091</v>
      </c>
      <c r="H1567" s="20" t="s">
        <v>155</v>
      </c>
      <c r="I1567" s="20" t="s">
        <v>7091</v>
      </c>
      <c r="J1567" s="22" t="s">
        <v>7092</v>
      </c>
      <c r="K1567" s="32" t="s">
        <v>7093</v>
      </c>
      <c r="L1567" s="23" t="s">
        <v>92</v>
      </c>
      <c r="M1567" s="24" t="s">
        <v>7738</v>
      </c>
      <c r="N1567" s="23">
        <v>18848003</v>
      </c>
      <c r="O1567" s="25" t="s">
        <v>74</v>
      </c>
      <c r="P1567" s="25" t="s">
        <v>53</v>
      </c>
      <c r="Q1567" s="20" t="s">
        <v>7094</v>
      </c>
      <c r="R1567" s="20">
        <v>42813996</v>
      </c>
      <c r="S1567" s="25" t="s">
        <v>55</v>
      </c>
      <c r="T1567" s="26" t="s">
        <v>56</v>
      </c>
      <c r="U1567" s="23">
        <v>357654178088400</v>
      </c>
      <c r="V1567" s="27" t="s">
        <v>78</v>
      </c>
      <c r="W1567" s="20" t="s">
        <v>95</v>
      </c>
      <c r="X1567" s="20" t="s">
        <v>95</v>
      </c>
      <c r="Y1567" s="20" t="s">
        <v>95</v>
      </c>
      <c r="Z1567" s="20" t="s">
        <v>60</v>
      </c>
      <c r="AA1567" s="20" t="s">
        <v>61</v>
      </c>
      <c r="AB1567" s="20" t="s">
        <v>82</v>
      </c>
      <c r="AC1567" s="28">
        <v>559.48</v>
      </c>
      <c r="AD1567" s="28">
        <f>SUM(BASE[[#This Row],[MONTO DE RENTA ]]*1.16)</f>
        <v>648.99680000000001</v>
      </c>
      <c r="AE1567" s="28" t="s">
        <v>83</v>
      </c>
      <c r="AF1567" s="28">
        <v>559.48275862068965</v>
      </c>
      <c r="AG1567" s="28">
        <v>649</v>
      </c>
      <c r="AI1567" s="29">
        <v>44937</v>
      </c>
      <c r="AJ1567" s="50">
        <v>46043</v>
      </c>
      <c r="AK15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67" s="30"/>
      <c r="AN1567" s="20" t="s">
        <v>99</v>
      </c>
      <c r="AP1567" s="20" t="s">
        <v>84</v>
      </c>
      <c r="AQ1567" s="20" t="s">
        <v>100</v>
      </c>
    </row>
    <row r="1568" spans="1:43" ht="16">
      <c r="A1568" s="20">
        <v>8123502294</v>
      </c>
      <c r="B1568" s="49">
        <v>610023</v>
      </c>
      <c r="C1568" s="20" t="s">
        <v>7095</v>
      </c>
      <c r="D1568" s="20" t="s">
        <v>7096</v>
      </c>
      <c r="E1568" s="20" t="s">
        <v>2333</v>
      </c>
      <c r="F1568" s="20" t="s">
        <v>5385</v>
      </c>
      <c r="G1568" s="20" t="s">
        <v>5385</v>
      </c>
      <c r="H1568" s="20" t="s">
        <v>5381</v>
      </c>
      <c r="I1568" s="20" t="s">
        <v>5385</v>
      </c>
      <c r="J1568" s="22" t="s">
        <v>7097</v>
      </c>
      <c r="K1568" s="22" t="s">
        <v>7097</v>
      </c>
      <c r="L1568" s="23" t="s">
        <v>92</v>
      </c>
      <c r="M1568" s="24" t="s">
        <v>7738</v>
      </c>
      <c r="N1568" s="23">
        <v>18848073</v>
      </c>
      <c r="O1568" s="25" t="s">
        <v>74</v>
      </c>
      <c r="P1568" s="25" t="s">
        <v>53</v>
      </c>
      <c r="Q1568" s="20" t="s">
        <v>7098</v>
      </c>
      <c r="R1568" s="20">
        <v>45142579</v>
      </c>
      <c r="S1568" s="25" t="s">
        <v>7099</v>
      </c>
      <c r="T1568" s="26" t="s">
        <v>57</v>
      </c>
      <c r="U1568" s="23">
        <v>351307356097471</v>
      </c>
      <c r="V1568" s="27" t="s">
        <v>78</v>
      </c>
      <c r="W1568" s="20" t="s">
        <v>79</v>
      </c>
      <c r="X1568" s="20" t="s">
        <v>79</v>
      </c>
      <c r="Y1568" s="20" t="s">
        <v>79</v>
      </c>
      <c r="Z1568" s="20" t="s">
        <v>131</v>
      </c>
      <c r="AA1568" s="20" t="s">
        <v>132</v>
      </c>
      <c r="AB1568" s="20" t="s">
        <v>96</v>
      </c>
      <c r="AC1568" s="28">
        <v>369.83</v>
      </c>
      <c r="AD1568" s="28">
        <f>SUM(BASE[[#This Row],[MONTO DE RENTA ]]*1.16)</f>
        <v>429.00279999999998</v>
      </c>
      <c r="AE1568" s="28" t="s">
        <v>83</v>
      </c>
      <c r="AF1568" s="28">
        <v>559.48275862068965</v>
      </c>
      <c r="AG1568" s="28">
        <v>649</v>
      </c>
      <c r="AH1568" s="22" t="s">
        <v>64</v>
      </c>
      <c r="AI1568" s="29">
        <v>45703</v>
      </c>
      <c r="AJ1568" s="29">
        <v>46433</v>
      </c>
      <c r="AK156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68" s="30"/>
      <c r="AN1568" s="20" t="s">
        <v>65</v>
      </c>
      <c r="AO1568" s="20" t="s">
        <v>169</v>
      </c>
      <c r="AP1568" s="20" t="s">
        <v>66</v>
      </c>
      <c r="AQ1568" s="20" t="s">
        <v>100</v>
      </c>
    </row>
    <row r="1569" spans="1:43" ht="16">
      <c r="A1569" s="20">
        <v>8180294954</v>
      </c>
      <c r="B1569" s="21">
        <v>40480</v>
      </c>
      <c r="C1569" s="20" t="s">
        <v>7100</v>
      </c>
      <c r="D1569" s="20" t="s">
        <v>357</v>
      </c>
      <c r="E1569" s="20" t="s">
        <v>7101</v>
      </c>
      <c r="F1569" s="20" t="s">
        <v>7102</v>
      </c>
      <c r="G1569" s="20" t="s">
        <v>7102</v>
      </c>
      <c r="H1569" s="20" t="s">
        <v>5289</v>
      </c>
      <c r="I1569" s="20" t="s">
        <v>7102</v>
      </c>
      <c r="J1569" s="32" t="s">
        <v>7103</v>
      </c>
      <c r="K1569" s="32" t="s">
        <v>7103</v>
      </c>
      <c r="L1569" s="23" t="s">
        <v>92</v>
      </c>
      <c r="M1569" s="24" t="s">
        <v>7738</v>
      </c>
      <c r="N1569" s="23">
        <v>18848027</v>
      </c>
      <c r="O1569" s="25" t="s">
        <v>74</v>
      </c>
      <c r="P1569" s="25" t="s">
        <v>53</v>
      </c>
      <c r="Q1569" s="20" t="s">
        <v>7104</v>
      </c>
      <c r="R1569" s="20">
        <v>43163595</v>
      </c>
      <c r="S1569" s="25" t="s">
        <v>7105</v>
      </c>
      <c r="T1569" s="26" t="s">
        <v>57</v>
      </c>
      <c r="U1569" s="23">
        <v>860900062333893</v>
      </c>
      <c r="V1569" s="27" t="s">
        <v>57</v>
      </c>
      <c r="W1569" s="20" t="s">
        <v>58</v>
      </c>
      <c r="X1569" s="20" t="s">
        <v>59</v>
      </c>
      <c r="Y1569" s="20" t="s">
        <v>59</v>
      </c>
      <c r="Z1569" s="20" t="s">
        <v>167</v>
      </c>
      <c r="AA1569" s="20" t="s">
        <v>168</v>
      </c>
      <c r="AB1569" s="20" t="s">
        <v>96</v>
      </c>
      <c r="AC1569" s="28">
        <v>369.83</v>
      </c>
      <c r="AD1569" s="28">
        <f>SUM(BASE[[#This Row],[MONTO DE RENTA ]]*1.16)</f>
        <v>429.00279999999998</v>
      </c>
      <c r="AE1569" s="28" t="s">
        <v>63</v>
      </c>
      <c r="AF1569" s="28">
        <v>369.82758620689657</v>
      </c>
      <c r="AG1569" s="28">
        <v>429</v>
      </c>
      <c r="AH1569" s="22" t="s">
        <v>64</v>
      </c>
      <c r="AI1569" s="29">
        <v>45713</v>
      </c>
      <c r="AJ1569" s="29">
        <v>46433</v>
      </c>
      <c r="AK156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69" s="30"/>
      <c r="AN1569" s="20" t="s">
        <v>65</v>
      </c>
      <c r="AP1569" s="20" t="s">
        <v>84</v>
      </c>
    </row>
    <row r="1570" spans="1:43" s="230" customFormat="1" ht="16">
      <c r="A1570" s="230">
        <v>8126801171</v>
      </c>
      <c r="B1570" s="292">
        <v>0</v>
      </c>
      <c r="C1570" s="230" t="s">
        <v>1653</v>
      </c>
      <c r="D1570" s="230" t="s">
        <v>1654</v>
      </c>
      <c r="E1570" s="230" t="s">
        <v>1655</v>
      </c>
      <c r="F1570" s="230" t="s">
        <v>1656</v>
      </c>
      <c r="G1570" s="230" t="s">
        <v>1656</v>
      </c>
      <c r="H1570" s="20" t="s">
        <v>1657</v>
      </c>
      <c r="I1570" s="230" t="s">
        <v>1658</v>
      </c>
      <c r="J1570" s="263" t="s">
        <v>7106</v>
      </c>
      <c r="K1570" s="263" t="s">
        <v>7107</v>
      </c>
      <c r="L1570" s="266" t="s">
        <v>92</v>
      </c>
      <c r="M1570" s="265" t="s">
        <v>7738</v>
      </c>
      <c r="N1570" s="266" t="s">
        <v>1661</v>
      </c>
      <c r="O1570" s="267" t="s">
        <v>74</v>
      </c>
      <c r="P1570" s="25" t="s">
        <v>1662</v>
      </c>
      <c r="Q1570" s="230" t="s">
        <v>7108</v>
      </c>
      <c r="R1570" s="230">
        <v>44114348</v>
      </c>
      <c r="S1570" s="267" t="s">
        <v>55</v>
      </c>
      <c r="T1570" s="279" t="s">
        <v>56</v>
      </c>
      <c r="U1570" s="266" t="s">
        <v>193</v>
      </c>
      <c r="V1570" s="280" t="s">
        <v>183</v>
      </c>
      <c r="W1570" s="230" t="s">
        <v>194</v>
      </c>
      <c r="X1570" s="20" t="s">
        <v>194</v>
      </c>
      <c r="Y1570" s="20" t="s">
        <v>194</v>
      </c>
      <c r="Z1570" s="230" t="s">
        <v>60</v>
      </c>
      <c r="AA1570" s="230" t="s">
        <v>61</v>
      </c>
      <c r="AB1570" s="230" t="s">
        <v>96</v>
      </c>
      <c r="AC1570" s="270">
        <v>369.83</v>
      </c>
      <c r="AD1570" s="270">
        <f>SUM(BASE[[#This Row],[MONTO DE RENTA ]]*1.16)</f>
        <v>429.00279999999998</v>
      </c>
      <c r="AE1570" s="28" t="s">
        <v>63</v>
      </c>
      <c r="AF1570" s="270">
        <v>369.82758620689657</v>
      </c>
      <c r="AG1570" s="270">
        <v>429</v>
      </c>
      <c r="AH1570" s="271"/>
      <c r="AI1570" s="315">
        <v>44937</v>
      </c>
      <c r="AJ1570" s="316">
        <v>46043</v>
      </c>
      <c r="AK1570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M1570" s="273"/>
      <c r="AN1570" s="230" t="s">
        <v>99</v>
      </c>
      <c r="AP1570" s="20" t="s">
        <v>84</v>
      </c>
      <c r="AQ1570" s="20" t="s">
        <v>100</v>
      </c>
    </row>
    <row r="1571" spans="1:43" s="230" customFormat="1" ht="16">
      <c r="A1571" s="230">
        <v>8110225843</v>
      </c>
      <c r="B1571" s="237">
        <v>0</v>
      </c>
      <c r="C1571" s="230" t="s">
        <v>1653</v>
      </c>
      <c r="D1571" s="230" t="s">
        <v>1654</v>
      </c>
      <c r="E1571" s="230" t="s">
        <v>1655</v>
      </c>
      <c r="F1571" s="230" t="s">
        <v>1656</v>
      </c>
      <c r="G1571" s="230" t="s">
        <v>1656</v>
      </c>
      <c r="H1571" s="230" t="s">
        <v>1657</v>
      </c>
      <c r="I1571" s="230" t="s">
        <v>1658</v>
      </c>
      <c r="J1571" s="271" t="s">
        <v>7109</v>
      </c>
      <c r="K1571" s="271" t="s">
        <v>7109</v>
      </c>
      <c r="L1571" s="266" t="s">
        <v>92</v>
      </c>
      <c r="M1571" s="265" t="s">
        <v>7738</v>
      </c>
      <c r="N1571" s="266" t="s">
        <v>1661</v>
      </c>
      <c r="O1571" s="267" t="s">
        <v>74</v>
      </c>
      <c r="P1571" s="25" t="s">
        <v>1662</v>
      </c>
      <c r="Q1571" s="230" t="s">
        <v>7110</v>
      </c>
      <c r="R1571" s="230">
        <v>41979224</v>
      </c>
      <c r="S1571" s="267" t="s">
        <v>55</v>
      </c>
      <c r="T1571" s="279" t="s">
        <v>56</v>
      </c>
      <c r="U1571" s="266" t="s">
        <v>193</v>
      </c>
      <c r="V1571" s="280" t="s">
        <v>5634</v>
      </c>
      <c r="W1571" s="230" t="s">
        <v>194</v>
      </c>
      <c r="X1571" s="20" t="s">
        <v>194</v>
      </c>
      <c r="Y1571" s="20" t="s">
        <v>194</v>
      </c>
      <c r="Z1571" s="230" t="s">
        <v>60</v>
      </c>
      <c r="AA1571" s="230" t="s">
        <v>61</v>
      </c>
      <c r="AB1571" s="230" t="s">
        <v>7111</v>
      </c>
      <c r="AC1571" s="270">
        <v>602.59</v>
      </c>
      <c r="AD1571" s="270">
        <f>SUM(BASE[[#This Row],[MONTO DE RENTA ]]*1.16)</f>
        <v>699.00440000000003</v>
      </c>
      <c r="AE1571" s="270" t="s">
        <v>83</v>
      </c>
      <c r="AF1571" s="270">
        <v>559.48275862068965</v>
      </c>
      <c r="AG1571" s="270">
        <v>649</v>
      </c>
      <c r="AH1571" s="271"/>
      <c r="AI1571" s="272">
        <v>44937</v>
      </c>
      <c r="AJ1571" s="272">
        <v>46681</v>
      </c>
      <c r="AK1571" s="273">
        <f ca="1">IFERROR(IF(BASE[[#This Row],[FECHA DE RENOVACION ]]&gt;TODAY(), DATEDIF(TODAY(),BASE[[#This Row],[FECHA DE RENOVACION ]],"M"), -DATEDIF(BASE[[#This Row],[FECHA DE RENOVACION ]],TODAY(),"M")), "Sin fecha")</f>
        <v>19</v>
      </c>
      <c r="AM1571" s="273"/>
      <c r="AN1571" s="230" t="s">
        <v>65</v>
      </c>
      <c r="AP1571" s="230" t="s">
        <v>118</v>
      </c>
    </row>
    <row r="1572" spans="1:43" ht="16">
      <c r="A1572" s="20">
        <v>8120024015</v>
      </c>
      <c r="B1572" s="21">
        <v>1051398</v>
      </c>
      <c r="C1572" s="20" t="s">
        <v>7112</v>
      </c>
      <c r="D1572" s="20" t="s">
        <v>187</v>
      </c>
      <c r="E1572" s="20" t="s">
        <v>1067</v>
      </c>
      <c r="F1572" s="20" t="s">
        <v>7113</v>
      </c>
      <c r="G1572" s="20" t="s">
        <v>7113</v>
      </c>
      <c r="H1572" s="20" t="s">
        <v>5289</v>
      </c>
      <c r="I1572" s="20" t="s">
        <v>7113</v>
      </c>
      <c r="J1572" s="22" t="s">
        <v>7114</v>
      </c>
      <c r="K1572" s="22" t="s">
        <v>7114</v>
      </c>
      <c r="L1572" s="23" t="s">
        <v>92</v>
      </c>
      <c r="M1572" s="24" t="s">
        <v>7738</v>
      </c>
      <c r="N1572" s="23">
        <v>18848026</v>
      </c>
      <c r="O1572" s="25" t="s">
        <v>74</v>
      </c>
      <c r="P1572" s="25" t="s">
        <v>53</v>
      </c>
      <c r="Q1572" s="20" t="s">
        <v>7115</v>
      </c>
      <c r="R1572" s="20">
        <v>45017362</v>
      </c>
      <c r="S1572" s="25" t="s">
        <v>7116</v>
      </c>
      <c r="T1572" s="26" t="s">
        <v>57</v>
      </c>
      <c r="U1572" s="23">
        <v>860900062264346</v>
      </c>
      <c r="V1572" s="27" t="s">
        <v>57</v>
      </c>
      <c r="W1572" s="20" t="s">
        <v>58</v>
      </c>
      <c r="X1572" s="20" t="s">
        <v>59</v>
      </c>
      <c r="Y1572" s="20" t="s">
        <v>59</v>
      </c>
      <c r="Z1572" s="20" t="s">
        <v>131</v>
      </c>
      <c r="AA1572" s="20" t="s">
        <v>132</v>
      </c>
      <c r="AB1572" s="20" t="s">
        <v>96</v>
      </c>
      <c r="AC1572" s="28">
        <v>369.83</v>
      </c>
      <c r="AD1572" s="28">
        <f>SUM(BASE[[#This Row],[MONTO DE RENTA ]]*1.16)</f>
        <v>429.00279999999998</v>
      </c>
      <c r="AE1572" s="28" t="s">
        <v>63</v>
      </c>
      <c r="AF1572" s="28">
        <v>369.82758620689657</v>
      </c>
      <c r="AG1572" s="28">
        <v>429</v>
      </c>
      <c r="AH1572" s="22" t="s">
        <v>64</v>
      </c>
      <c r="AI1572" s="29">
        <v>45703</v>
      </c>
      <c r="AJ1572" s="29">
        <v>46433</v>
      </c>
      <c r="AK157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72" s="30"/>
      <c r="AN1572" s="20" t="s">
        <v>65</v>
      </c>
      <c r="AP1572" s="20" t="s">
        <v>84</v>
      </c>
    </row>
    <row r="1573" spans="1:43" ht="16">
      <c r="A1573" s="20">
        <v>8115638384</v>
      </c>
      <c r="B1573" s="49">
        <v>1004940</v>
      </c>
      <c r="C1573" s="20" t="s">
        <v>7117</v>
      </c>
      <c r="D1573" s="20" t="s">
        <v>160</v>
      </c>
      <c r="E1573" s="20" t="s">
        <v>1997</v>
      </c>
      <c r="F1573" s="20" t="s">
        <v>6903</v>
      </c>
      <c r="G1573" s="20" t="s">
        <v>6903</v>
      </c>
      <c r="H1573" s="20" t="s">
        <v>155</v>
      </c>
      <c r="I1573" s="20" t="s">
        <v>6903</v>
      </c>
      <c r="J1573" s="22" t="s">
        <v>7118</v>
      </c>
      <c r="K1573" s="32" t="s">
        <v>7119</v>
      </c>
      <c r="L1573" s="23" t="s">
        <v>92</v>
      </c>
      <c r="M1573" s="24" t="s">
        <v>7738</v>
      </c>
      <c r="N1573" s="23">
        <v>18848002</v>
      </c>
      <c r="O1573" s="25" t="s">
        <v>74</v>
      </c>
      <c r="P1573" s="25" t="s">
        <v>53</v>
      </c>
      <c r="Q1573" s="20" t="s">
        <v>7120</v>
      </c>
      <c r="R1573" s="20">
        <v>42888663</v>
      </c>
      <c r="S1573" s="25" t="s">
        <v>55</v>
      </c>
      <c r="T1573" s="26" t="s">
        <v>56</v>
      </c>
      <c r="U1573" s="23">
        <v>865356065672370</v>
      </c>
      <c r="V1573" s="27" t="s">
        <v>183</v>
      </c>
      <c r="W1573" s="20" t="s">
        <v>129</v>
      </c>
      <c r="X1573" s="20" t="s">
        <v>130</v>
      </c>
      <c r="Y1573" s="20" t="s">
        <v>130</v>
      </c>
      <c r="Z1573" s="20" t="s">
        <v>60</v>
      </c>
      <c r="AA1573" s="20" t="s">
        <v>61</v>
      </c>
      <c r="AB1573" s="20" t="s">
        <v>96</v>
      </c>
      <c r="AC1573" s="28">
        <v>369.83</v>
      </c>
      <c r="AD1573" s="28">
        <f>SUM(BASE[[#This Row],[MONTO DE RENTA ]]*1.16)</f>
        <v>429.00279999999998</v>
      </c>
      <c r="AE1573" s="28" t="s">
        <v>63</v>
      </c>
      <c r="AF1573" s="28">
        <v>369.82758620689657</v>
      </c>
      <c r="AG1573" s="28">
        <v>429</v>
      </c>
      <c r="AI1573" s="29">
        <v>44937</v>
      </c>
      <c r="AJ1573" s="50">
        <v>46043</v>
      </c>
      <c r="AK15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73" s="30"/>
      <c r="AN1573" s="20" t="s">
        <v>99</v>
      </c>
      <c r="AP1573" s="20" t="s">
        <v>84</v>
      </c>
      <c r="AQ1573" s="20" t="s">
        <v>100</v>
      </c>
    </row>
    <row r="1574" spans="1:43" s="87" customFormat="1" ht="16">
      <c r="A1574" s="20">
        <v>8135515217</v>
      </c>
      <c r="B1574" s="21">
        <v>6896</v>
      </c>
      <c r="C1574" s="20" t="s">
        <v>7121</v>
      </c>
      <c r="D1574" s="20" t="s">
        <v>86</v>
      </c>
      <c r="E1574" s="20" t="s">
        <v>1256</v>
      </c>
      <c r="F1574" s="20" t="s">
        <v>5390</v>
      </c>
      <c r="G1574" s="20" t="s">
        <v>5390</v>
      </c>
      <c r="H1574" s="20" t="s">
        <v>199</v>
      </c>
      <c r="I1574" s="20" t="s">
        <v>5390</v>
      </c>
      <c r="J1574" s="22" t="s">
        <v>7122</v>
      </c>
      <c r="K1574" s="32" t="s">
        <v>7123</v>
      </c>
      <c r="L1574" s="23" t="s">
        <v>6637</v>
      </c>
      <c r="M1574" s="24" t="s">
        <v>7738</v>
      </c>
      <c r="N1574" s="23">
        <v>11313000</v>
      </c>
      <c r="O1574" s="25" t="s">
        <v>74</v>
      </c>
      <c r="P1574" s="25" t="s">
        <v>53</v>
      </c>
      <c r="Q1574" s="20" t="s">
        <v>7124</v>
      </c>
      <c r="R1574" s="20">
        <v>44918897</v>
      </c>
      <c r="S1574" s="25" t="s">
        <v>7125</v>
      </c>
      <c r="T1574" s="26" t="s">
        <v>57</v>
      </c>
      <c r="U1574" s="23">
        <v>860900062337944</v>
      </c>
      <c r="V1574" s="27" t="s">
        <v>57</v>
      </c>
      <c r="W1574" s="20" t="s">
        <v>58</v>
      </c>
      <c r="X1574" s="20" t="s">
        <v>59</v>
      </c>
      <c r="Y1574" s="20" t="s">
        <v>59</v>
      </c>
      <c r="Z1574" s="20" t="s">
        <v>167</v>
      </c>
      <c r="AA1574" s="20" t="s">
        <v>168</v>
      </c>
      <c r="AB1574" s="20" t="s">
        <v>96</v>
      </c>
      <c r="AC1574" s="28">
        <v>369.83</v>
      </c>
      <c r="AD1574" s="28">
        <f>SUM(BASE[[#This Row],[MONTO DE RENTA ]]*1.16)</f>
        <v>429.00279999999998</v>
      </c>
      <c r="AE1574" s="28" t="s">
        <v>63</v>
      </c>
      <c r="AF1574" s="28">
        <v>369.82758620689657</v>
      </c>
      <c r="AG1574" s="28">
        <v>429</v>
      </c>
      <c r="AH1574" s="22" t="s">
        <v>64</v>
      </c>
      <c r="AI1574" s="29">
        <v>45713</v>
      </c>
      <c r="AJ1574" s="29">
        <v>46433</v>
      </c>
      <c r="AK157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574" s="20"/>
      <c r="AM1574" s="30"/>
      <c r="AN1574" s="20" t="s">
        <v>65</v>
      </c>
      <c r="AO1574" s="20"/>
      <c r="AP1574" s="20" t="s">
        <v>84</v>
      </c>
      <c r="AQ1574" s="20"/>
    </row>
    <row r="1575" spans="1:43" ht="16">
      <c r="A1575" s="20">
        <v>8117427264</v>
      </c>
      <c r="B1575" s="21">
        <v>1002645</v>
      </c>
      <c r="C1575" s="20" t="s">
        <v>7126</v>
      </c>
      <c r="D1575" s="20" t="s">
        <v>6077</v>
      </c>
      <c r="E1575" s="20" t="s">
        <v>187</v>
      </c>
      <c r="F1575" s="20" t="s">
        <v>7127</v>
      </c>
      <c r="G1575" s="20" t="s">
        <v>7127</v>
      </c>
      <c r="H1575" s="20" t="s">
        <v>5381</v>
      </c>
      <c r="I1575" s="20" t="s">
        <v>7127</v>
      </c>
      <c r="J1575" s="22" t="s">
        <v>7128</v>
      </c>
      <c r="K1575" s="32" t="s">
        <v>7129</v>
      </c>
      <c r="L1575" s="23" t="s">
        <v>92</v>
      </c>
      <c r="M1575" s="24" t="s">
        <v>7738</v>
      </c>
      <c r="N1575" s="23">
        <v>18848012</v>
      </c>
      <c r="O1575" s="25" t="s">
        <v>74</v>
      </c>
      <c r="P1575" s="25" t="s">
        <v>53</v>
      </c>
      <c r="Q1575" s="20" t="s">
        <v>7130</v>
      </c>
      <c r="R1575" s="20">
        <v>43149896</v>
      </c>
      <c r="S1575" s="25" t="s">
        <v>7131</v>
      </c>
      <c r="T1575" s="26" t="s">
        <v>57</v>
      </c>
      <c r="U1575" s="23">
        <v>860900062238654</v>
      </c>
      <c r="V1575" s="27" t="s">
        <v>57</v>
      </c>
      <c r="W1575" s="20" t="s">
        <v>58</v>
      </c>
      <c r="X1575" s="20" t="s">
        <v>59</v>
      </c>
      <c r="Y1575" s="20" t="s">
        <v>59</v>
      </c>
      <c r="Z1575" s="20" t="s">
        <v>131</v>
      </c>
      <c r="AA1575" s="20" t="s">
        <v>132</v>
      </c>
      <c r="AB1575" s="20" t="s">
        <v>96</v>
      </c>
      <c r="AC1575" s="28">
        <v>369.83</v>
      </c>
      <c r="AD1575" s="28">
        <f>SUM(BASE[[#This Row],[MONTO DE RENTA ]]*1.16)</f>
        <v>429.00279999999998</v>
      </c>
      <c r="AE1575" s="28" t="s">
        <v>63</v>
      </c>
      <c r="AF1575" s="28">
        <v>369.82758620689657</v>
      </c>
      <c r="AG1575" s="28">
        <v>429</v>
      </c>
      <c r="AH1575" s="22" t="s">
        <v>64</v>
      </c>
      <c r="AI1575" s="29">
        <v>45703</v>
      </c>
      <c r="AJ1575" s="29">
        <v>46433</v>
      </c>
      <c r="AK15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75" s="30"/>
      <c r="AN1575" s="20" t="s">
        <v>65</v>
      </c>
      <c r="AP1575" s="20" t="s">
        <v>84</v>
      </c>
    </row>
    <row r="1576" spans="1:43" ht="16">
      <c r="A1576" s="20">
        <v>8186894094</v>
      </c>
      <c r="B1576" s="21">
        <v>1031859</v>
      </c>
      <c r="C1576" s="20" t="s">
        <v>7132</v>
      </c>
      <c r="D1576" s="20" t="s">
        <v>357</v>
      </c>
      <c r="E1576" s="20" t="s">
        <v>45</v>
      </c>
      <c r="F1576" s="20" t="s">
        <v>5319</v>
      </c>
      <c r="G1576" s="20" t="s">
        <v>5319</v>
      </c>
      <c r="H1576" s="20" t="s">
        <v>5320</v>
      </c>
      <c r="I1576" s="20" t="s">
        <v>5319</v>
      </c>
      <c r="J1576" s="22" t="s">
        <v>7133</v>
      </c>
      <c r="K1576" s="22" t="s">
        <v>7133</v>
      </c>
      <c r="L1576" s="23" t="s">
        <v>92</v>
      </c>
      <c r="M1576" s="24" t="s">
        <v>7738</v>
      </c>
      <c r="N1576" s="23">
        <v>18848107</v>
      </c>
      <c r="O1576" s="25" t="s">
        <v>74</v>
      </c>
      <c r="P1576" s="25" t="s">
        <v>53</v>
      </c>
      <c r="Q1576" s="20" t="s">
        <v>7134</v>
      </c>
      <c r="R1576" s="20">
        <v>43374252</v>
      </c>
      <c r="S1576" s="25" t="s">
        <v>7135</v>
      </c>
      <c r="T1576" s="26" t="s">
        <v>57</v>
      </c>
      <c r="U1576" s="23">
        <v>860900062732425</v>
      </c>
      <c r="V1576" s="27" t="s">
        <v>57</v>
      </c>
      <c r="W1576" s="20" t="s">
        <v>58</v>
      </c>
      <c r="X1576" s="20" t="s">
        <v>59</v>
      </c>
      <c r="Y1576" s="20" t="s">
        <v>59</v>
      </c>
      <c r="Z1576" s="20" t="s">
        <v>167</v>
      </c>
      <c r="AA1576" s="20" t="s">
        <v>168</v>
      </c>
      <c r="AB1576" s="20" t="s">
        <v>96</v>
      </c>
      <c r="AC1576" s="28">
        <v>369.83</v>
      </c>
      <c r="AD1576" s="28">
        <f>SUM(BASE[[#This Row],[MONTO DE RENTA ]]*1.16)</f>
        <v>429.00279999999998</v>
      </c>
      <c r="AE1576" s="28" t="s">
        <v>63</v>
      </c>
      <c r="AF1576" s="28">
        <v>369.82758620689657</v>
      </c>
      <c r="AG1576" s="28">
        <v>429</v>
      </c>
      <c r="AH1576" s="22" t="s">
        <v>64</v>
      </c>
      <c r="AI1576" s="29">
        <v>45703</v>
      </c>
      <c r="AJ1576" s="29">
        <v>46433</v>
      </c>
      <c r="AK157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76" s="30"/>
      <c r="AN1576" s="20" t="s">
        <v>65</v>
      </c>
      <c r="AP1576" s="20" t="s">
        <v>84</v>
      </c>
    </row>
    <row r="1577" spans="1:43" ht="16">
      <c r="A1577" s="20">
        <v>8126810141</v>
      </c>
      <c r="B1577" s="49">
        <v>1018670</v>
      </c>
      <c r="C1577" s="20" t="s">
        <v>7136</v>
      </c>
      <c r="D1577" s="20" t="s">
        <v>6077</v>
      </c>
      <c r="E1577" s="20" t="s">
        <v>187</v>
      </c>
      <c r="F1577" s="20" t="s">
        <v>6953</v>
      </c>
      <c r="G1577" s="20" t="s">
        <v>6953</v>
      </c>
      <c r="H1577" s="20" t="s">
        <v>208</v>
      </c>
      <c r="I1577" s="20" t="s">
        <v>6953</v>
      </c>
      <c r="J1577" s="32" t="s">
        <v>7137</v>
      </c>
      <c r="K1577" s="22" t="s">
        <v>7137</v>
      </c>
      <c r="L1577" s="23" t="s">
        <v>92</v>
      </c>
      <c r="M1577" s="24" t="s">
        <v>7738</v>
      </c>
      <c r="N1577" s="23">
        <v>18848087</v>
      </c>
      <c r="O1577" s="25" t="s">
        <v>74</v>
      </c>
      <c r="P1577" s="25" t="s">
        <v>53</v>
      </c>
      <c r="Q1577" s="20" t="s">
        <v>7138</v>
      </c>
      <c r="R1577" s="20">
        <v>44114485</v>
      </c>
      <c r="S1577" s="25" t="s">
        <v>55</v>
      </c>
      <c r="T1577" s="26" t="s">
        <v>56</v>
      </c>
      <c r="U1577" s="23">
        <v>865356065671935</v>
      </c>
      <c r="V1577" s="27" t="s">
        <v>183</v>
      </c>
      <c r="W1577" s="20" t="s">
        <v>129</v>
      </c>
      <c r="X1577" s="20" t="s">
        <v>130</v>
      </c>
      <c r="Y1577" s="20" t="s">
        <v>130</v>
      </c>
      <c r="Z1577" s="20" t="s">
        <v>60</v>
      </c>
      <c r="AA1577" s="20" t="s">
        <v>61</v>
      </c>
      <c r="AB1577" s="20" t="s">
        <v>96</v>
      </c>
      <c r="AC1577" s="28">
        <v>369.83</v>
      </c>
      <c r="AD1577" s="28">
        <f>SUM(BASE[[#This Row],[MONTO DE RENTA ]]*1.16)</f>
        <v>429.00279999999998</v>
      </c>
      <c r="AE1577" s="28" t="s">
        <v>63</v>
      </c>
      <c r="AF1577" s="28">
        <v>369.82758620689657</v>
      </c>
      <c r="AG1577" s="28">
        <v>429</v>
      </c>
      <c r="AI1577" s="63">
        <v>44937</v>
      </c>
      <c r="AJ1577" s="73">
        <v>46043</v>
      </c>
      <c r="AK157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77" s="30"/>
      <c r="AN1577" s="20" t="s">
        <v>99</v>
      </c>
      <c r="AP1577" s="20" t="s">
        <v>84</v>
      </c>
      <c r="AQ1577" s="20" t="s">
        <v>100</v>
      </c>
    </row>
    <row r="1578" spans="1:43" ht="16">
      <c r="A1578" s="20">
        <v>8110162052</v>
      </c>
      <c r="B1578" s="21">
        <v>10960</v>
      </c>
      <c r="C1578" s="20" t="s">
        <v>7139</v>
      </c>
      <c r="D1578" s="20" t="s">
        <v>7140</v>
      </c>
      <c r="E1578" s="20" t="s">
        <v>172</v>
      </c>
      <c r="F1578" s="20" t="s">
        <v>223</v>
      </c>
      <c r="G1578" s="20" t="s">
        <v>223</v>
      </c>
      <c r="H1578" s="20" t="s">
        <v>155</v>
      </c>
      <c r="I1578" s="20" t="s">
        <v>223</v>
      </c>
      <c r="J1578" s="22" t="s">
        <v>7141</v>
      </c>
      <c r="K1578" s="32" t="s">
        <v>7142</v>
      </c>
      <c r="L1578" s="23" t="s">
        <v>92</v>
      </c>
      <c r="M1578" s="24" t="s">
        <v>7738</v>
      </c>
      <c r="N1578" s="23">
        <v>18848013</v>
      </c>
      <c r="O1578" s="25" t="s">
        <v>74</v>
      </c>
      <c r="P1578" s="25" t="s">
        <v>53</v>
      </c>
      <c r="Q1578" s="20" t="s">
        <v>7143</v>
      </c>
      <c r="R1578" s="20">
        <v>43382661</v>
      </c>
      <c r="S1578" s="25" t="s">
        <v>7144</v>
      </c>
      <c r="T1578" s="26" t="s">
        <v>57</v>
      </c>
      <c r="U1578" s="23">
        <v>860900062732441</v>
      </c>
      <c r="V1578" s="27" t="s">
        <v>57</v>
      </c>
      <c r="W1578" s="20" t="s">
        <v>58</v>
      </c>
      <c r="X1578" s="20" t="s">
        <v>59</v>
      </c>
      <c r="Y1578" s="20" t="s">
        <v>59</v>
      </c>
      <c r="Z1578" s="20" t="s">
        <v>167</v>
      </c>
      <c r="AA1578" s="20" t="s">
        <v>168</v>
      </c>
      <c r="AB1578" s="20" t="s">
        <v>96</v>
      </c>
      <c r="AC1578" s="28">
        <v>369.83</v>
      </c>
      <c r="AD1578" s="28">
        <f>SUM(BASE[[#This Row],[MONTO DE RENTA ]]*1.16)</f>
        <v>429.00279999999998</v>
      </c>
      <c r="AE1578" s="28" t="s">
        <v>63</v>
      </c>
      <c r="AF1578" s="28">
        <v>369.82758620689657</v>
      </c>
      <c r="AG1578" s="28">
        <v>429</v>
      </c>
      <c r="AH1578" s="22" t="s">
        <v>64</v>
      </c>
      <c r="AI1578" s="29">
        <v>45703</v>
      </c>
      <c r="AJ1578" s="29">
        <v>46433</v>
      </c>
      <c r="AK157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78" s="30"/>
      <c r="AN1578" s="20" t="s">
        <v>65</v>
      </c>
      <c r="AP1578" s="20" t="s">
        <v>84</v>
      </c>
    </row>
    <row r="1579" spans="1:43" ht="16">
      <c r="A1579" s="20">
        <v>8120399800</v>
      </c>
      <c r="B1579" s="21">
        <v>1032222</v>
      </c>
      <c r="C1579" s="20" t="s">
        <v>7145</v>
      </c>
      <c r="D1579" s="20" t="s">
        <v>7146</v>
      </c>
      <c r="E1579" s="20" t="s">
        <v>186</v>
      </c>
      <c r="F1579" s="20" t="s">
        <v>6064</v>
      </c>
      <c r="G1579" s="20" t="s">
        <v>6064</v>
      </c>
      <c r="H1579" s="20" t="s">
        <v>199</v>
      </c>
      <c r="I1579" s="20" t="s">
        <v>6064</v>
      </c>
      <c r="J1579" s="22" t="s">
        <v>7147</v>
      </c>
      <c r="K1579" s="22" t="s">
        <v>7147</v>
      </c>
      <c r="L1579" s="23" t="s">
        <v>92</v>
      </c>
      <c r="M1579" s="24" t="s">
        <v>7738</v>
      </c>
      <c r="N1579" s="23">
        <v>18848076</v>
      </c>
      <c r="O1579" s="25" t="s">
        <v>74</v>
      </c>
      <c r="P1579" s="25" t="s">
        <v>53</v>
      </c>
      <c r="Q1579" s="20" t="s">
        <v>7148</v>
      </c>
      <c r="R1579" s="20">
        <v>45132934</v>
      </c>
      <c r="S1579" s="25" t="s">
        <v>7149</v>
      </c>
      <c r="T1579" s="26" t="s">
        <v>57</v>
      </c>
      <c r="U1579" s="23">
        <v>860900062264403</v>
      </c>
      <c r="V1579" s="27" t="s">
        <v>57</v>
      </c>
      <c r="W1579" s="20" t="s">
        <v>58</v>
      </c>
      <c r="X1579" s="20" t="s">
        <v>59</v>
      </c>
      <c r="Y1579" s="20" t="s">
        <v>59</v>
      </c>
      <c r="Z1579" s="20" t="s">
        <v>131</v>
      </c>
      <c r="AA1579" s="20" t="s">
        <v>132</v>
      </c>
      <c r="AB1579" s="20" t="s">
        <v>96</v>
      </c>
      <c r="AC1579" s="28">
        <v>369.83</v>
      </c>
      <c r="AD1579" s="28">
        <f>SUM(BASE[[#This Row],[MONTO DE RENTA ]]*1.16)</f>
        <v>429.00279999999998</v>
      </c>
      <c r="AE1579" s="28" t="s">
        <v>63</v>
      </c>
      <c r="AF1579" s="28">
        <v>369.82758620689657</v>
      </c>
      <c r="AG1579" s="28">
        <v>429</v>
      </c>
      <c r="AH1579" s="22" t="s">
        <v>64</v>
      </c>
      <c r="AI1579" s="63">
        <v>45703</v>
      </c>
      <c r="AJ1579" s="63">
        <v>46433</v>
      </c>
      <c r="AK15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79" s="30"/>
      <c r="AN1579" s="20" t="s">
        <v>65</v>
      </c>
      <c r="AP1579" s="20" t="s">
        <v>84</v>
      </c>
    </row>
    <row r="1580" spans="1:43" s="69" customFormat="1" ht="16">
      <c r="A1580" s="20">
        <v>8126800548</v>
      </c>
      <c r="B1580" s="21">
        <v>1037562</v>
      </c>
      <c r="C1580" s="20" t="s">
        <v>7150</v>
      </c>
      <c r="D1580" s="20" t="s">
        <v>376</v>
      </c>
      <c r="E1580" s="20" t="s">
        <v>3074</v>
      </c>
      <c r="F1580" s="20" t="s">
        <v>7151</v>
      </c>
      <c r="G1580" s="20" t="s">
        <v>7151</v>
      </c>
      <c r="H1580" s="20" t="s">
        <v>199</v>
      </c>
      <c r="I1580" s="20" t="s">
        <v>7151</v>
      </c>
      <c r="J1580" s="32" t="s">
        <v>7152</v>
      </c>
      <c r="K1580" s="22" t="s">
        <v>7153</v>
      </c>
      <c r="L1580" s="23" t="s">
        <v>92</v>
      </c>
      <c r="M1580" s="24" t="s">
        <v>7738</v>
      </c>
      <c r="N1580" s="23">
        <v>18848078</v>
      </c>
      <c r="O1580" s="25" t="s">
        <v>74</v>
      </c>
      <c r="P1580" s="25" t="s">
        <v>53</v>
      </c>
      <c r="Q1580" s="20" t="s">
        <v>7154</v>
      </c>
      <c r="R1580" s="20">
        <v>44114353</v>
      </c>
      <c r="S1580" s="25" t="s">
        <v>7155</v>
      </c>
      <c r="T1580" s="26" t="s">
        <v>57</v>
      </c>
      <c r="U1580" s="23">
        <v>865356065689507</v>
      </c>
      <c r="V1580" s="27" t="s">
        <v>183</v>
      </c>
      <c r="W1580" s="20" t="s">
        <v>129</v>
      </c>
      <c r="X1580" s="20" t="s">
        <v>130</v>
      </c>
      <c r="Y1580" s="20" t="s">
        <v>130</v>
      </c>
      <c r="Z1580" s="20" t="s">
        <v>167</v>
      </c>
      <c r="AA1580" s="20" t="s">
        <v>168</v>
      </c>
      <c r="AB1580" s="20" t="s">
        <v>96</v>
      </c>
      <c r="AC1580" s="28">
        <v>369.83</v>
      </c>
      <c r="AD1580" s="28">
        <f>SUM(BASE[[#This Row],[MONTO DE RENTA ]]*1.16)</f>
        <v>429.00279999999998</v>
      </c>
      <c r="AE1580" s="28" t="s">
        <v>63</v>
      </c>
      <c r="AF1580" s="28">
        <v>369.82758620689657</v>
      </c>
      <c r="AG1580" s="28">
        <v>429</v>
      </c>
      <c r="AH1580" s="22"/>
      <c r="AI1580" s="29">
        <v>45333</v>
      </c>
      <c r="AJ1580" s="29">
        <v>45699</v>
      </c>
      <c r="AK1580" s="30">
        <f ca="1">IFERROR(IF(BASE[[#This Row],[FECHA DE RENOVACION ]]&gt;TODAY(), DATEDIF(TODAY(),BASE[[#This Row],[FECHA DE RENOVACION ]],"M"), -DATEDIF(BASE[[#This Row],[FECHA DE RENOVACION ]],TODAY(),"M")), "Sin fecha")</f>
        <v>-12</v>
      </c>
      <c r="AL1580" s="20"/>
      <c r="AM1580" s="30"/>
      <c r="AN1580" s="20" t="s">
        <v>99</v>
      </c>
      <c r="AO1580" s="20"/>
      <c r="AP1580" s="20" t="s">
        <v>84</v>
      </c>
      <c r="AQ1580" s="20" t="s">
        <v>100</v>
      </c>
    </row>
    <row r="1581" spans="1:43" ht="16">
      <c r="A1581" s="146">
        <v>8123207090</v>
      </c>
      <c r="B1581" s="249">
        <v>1024911</v>
      </c>
      <c r="C1581" s="20" t="s">
        <v>7156</v>
      </c>
      <c r="D1581" s="20" t="s">
        <v>1581</v>
      </c>
      <c r="E1581" s="20" t="s">
        <v>238</v>
      </c>
      <c r="F1581" s="20" t="s">
        <v>7157</v>
      </c>
      <c r="G1581" s="20" t="s">
        <v>7157</v>
      </c>
      <c r="H1581" s="20" t="s">
        <v>5320</v>
      </c>
      <c r="I1581" s="20" t="s">
        <v>7157</v>
      </c>
      <c r="J1581" s="250" t="s">
        <v>7158</v>
      </c>
      <c r="K1581" s="250" t="s">
        <v>7158</v>
      </c>
      <c r="L1581" s="23" t="s">
        <v>92</v>
      </c>
      <c r="M1581" s="24" t="s">
        <v>7738</v>
      </c>
      <c r="N1581" s="23">
        <v>18848107</v>
      </c>
      <c r="O1581" s="25" t="s">
        <v>74</v>
      </c>
      <c r="P1581" s="25" t="s">
        <v>53</v>
      </c>
      <c r="Q1581" s="20" t="s">
        <v>7159</v>
      </c>
      <c r="R1581" s="20">
        <v>43544591</v>
      </c>
      <c r="S1581" s="25" t="s">
        <v>55</v>
      </c>
      <c r="T1581" s="251" t="s">
        <v>56</v>
      </c>
      <c r="U1581" s="23" t="s">
        <v>193</v>
      </c>
      <c r="V1581" s="27" t="s">
        <v>183</v>
      </c>
      <c r="W1581" s="20" t="s">
        <v>194</v>
      </c>
      <c r="X1581" s="20" t="s">
        <v>194</v>
      </c>
      <c r="Y1581" s="20" t="s">
        <v>194</v>
      </c>
      <c r="Z1581" s="20" t="s">
        <v>60</v>
      </c>
      <c r="AA1581" s="20" t="s">
        <v>61</v>
      </c>
      <c r="AB1581" s="20" t="s">
        <v>96</v>
      </c>
      <c r="AC1581" s="28">
        <v>369.83</v>
      </c>
      <c r="AD1581" s="28">
        <f>SUM(BASE[[#This Row],[MONTO DE RENTA ]]*1.16)</f>
        <v>429.00279999999998</v>
      </c>
      <c r="AE1581" s="28" t="s">
        <v>63</v>
      </c>
      <c r="AF1581" s="28">
        <v>369.82758620689657</v>
      </c>
      <c r="AG1581" s="28">
        <v>429</v>
      </c>
      <c r="AH1581" s="36" t="s">
        <v>64</v>
      </c>
      <c r="AI1581" s="46">
        <v>45323</v>
      </c>
      <c r="AJ1581" s="46">
        <v>46054</v>
      </c>
      <c r="AK158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81" s="146"/>
      <c r="AM1581" s="253"/>
      <c r="AN1581" s="20" t="s">
        <v>99</v>
      </c>
      <c r="AP1581" s="20" t="s">
        <v>84</v>
      </c>
      <c r="AQ1581" s="20" t="s">
        <v>100</v>
      </c>
    </row>
    <row r="1582" spans="1:43" ht="16">
      <c r="A1582" s="20">
        <v>8115161622</v>
      </c>
      <c r="B1582" s="49">
        <v>1036829</v>
      </c>
      <c r="C1582" s="20" t="s">
        <v>5148</v>
      </c>
      <c r="D1582" s="20" t="s">
        <v>6381</v>
      </c>
      <c r="E1582" s="20" t="s">
        <v>619</v>
      </c>
      <c r="F1582" s="20" t="s">
        <v>5914</v>
      </c>
      <c r="G1582" s="20" t="s">
        <v>5914</v>
      </c>
      <c r="H1582" s="20" t="s">
        <v>208</v>
      </c>
      <c r="I1582" s="20" t="s">
        <v>5914</v>
      </c>
      <c r="J1582" s="22" t="s">
        <v>7160</v>
      </c>
      <c r="K1582" s="22" t="s">
        <v>7161</v>
      </c>
      <c r="L1582" s="23" t="s">
        <v>92</v>
      </c>
      <c r="M1582" s="24" t="s">
        <v>7738</v>
      </c>
      <c r="N1582" s="23">
        <v>18848053</v>
      </c>
      <c r="O1582" s="25" t="s">
        <v>74</v>
      </c>
      <c r="P1582" s="25" t="s">
        <v>53</v>
      </c>
      <c r="Q1582" s="20" t="s">
        <v>7162</v>
      </c>
      <c r="R1582" s="20">
        <v>42953612</v>
      </c>
      <c r="S1582" s="25" t="s">
        <v>55</v>
      </c>
      <c r="T1582" s="26" t="s">
        <v>56</v>
      </c>
      <c r="U1582" s="23">
        <v>865356065728271</v>
      </c>
      <c r="V1582" s="27" t="s">
        <v>183</v>
      </c>
      <c r="W1582" s="20" t="s">
        <v>129</v>
      </c>
      <c r="X1582" s="20" t="s">
        <v>130</v>
      </c>
      <c r="Y1582" s="20" t="s">
        <v>130</v>
      </c>
      <c r="Z1582" s="20" t="s">
        <v>584</v>
      </c>
      <c r="AA1582" s="20" t="s">
        <v>585</v>
      </c>
      <c r="AB1582" s="20" t="s">
        <v>82</v>
      </c>
      <c r="AC1582" s="28">
        <v>559.48</v>
      </c>
      <c r="AD1582" s="28">
        <f>SUM(BASE[[#This Row],[MONTO DE RENTA ]]*1.16)</f>
        <v>648.99680000000001</v>
      </c>
      <c r="AE1582" s="28" t="s">
        <v>83</v>
      </c>
      <c r="AF1582" s="28">
        <v>559.48275862068965</v>
      </c>
      <c r="AG1582" s="28">
        <v>649</v>
      </c>
      <c r="AI1582" s="29">
        <v>44937</v>
      </c>
      <c r="AJ1582" s="50">
        <v>46043</v>
      </c>
      <c r="AK158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82" s="30"/>
      <c r="AN1582" s="20" t="s">
        <v>99</v>
      </c>
      <c r="AP1582" s="20" t="s">
        <v>84</v>
      </c>
      <c r="AQ1582" s="20" t="s">
        <v>100</v>
      </c>
    </row>
    <row r="1583" spans="1:43" ht="16">
      <c r="A1583" s="146">
        <v>8123509663</v>
      </c>
      <c r="B1583" s="249">
        <v>340061</v>
      </c>
      <c r="C1583" s="20" t="s">
        <v>3244</v>
      </c>
      <c r="D1583" s="20" t="s">
        <v>1839</v>
      </c>
      <c r="E1583" s="20" t="s">
        <v>461</v>
      </c>
      <c r="F1583" s="20" t="s">
        <v>7163</v>
      </c>
      <c r="G1583" s="20" t="s">
        <v>7163</v>
      </c>
      <c r="H1583" s="20" t="s">
        <v>199</v>
      </c>
      <c r="I1583" s="20" t="s">
        <v>7163</v>
      </c>
      <c r="J1583" s="250" t="s">
        <v>7164</v>
      </c>
      <c r="K1583" s="277" t="s">
        <v>7165</v>
      </c>
      <c r="L1583" s="23" t="s">
        <v>92</v>
      </c>
      <c r="M1583" s="24" t="s">
        <v>7738</v>
      </c>
      <c r="N1583" s="23">
        <v>18848078</v>
      </c>
      <c r="O1583" s="25" t="s">
        <v>74</v>
      </c>
      <c r="P1583" s="25" t="s">
        <v>53</v>
      </c>
      <c r="Q1583" s="20" t="s">
        <v>7166</v>
      </c>
      <c r="R1583" s="20">
        <v>42835837</v>
      </c>
      <c r="S1583" s="25" t="s">
        <v>55</v>
      </c>
      <c r="T1583" s="251" t="s">
        <v>56</v>
      </c>
      <c r="U1583" s="23" t="s">
        <v>193</v>
      </c>
      <c r="V1583" s="27" t="s">
        <v>78</v>
      </c>
      <c r="W1583" s="20" t="s">
        <v>194</v>
      </c>
      <c r="X1583" s="20" t="s">
        <v>194</v>
      </c>
      <c r="Y1583" s="20" t="s">
        <v>194</v>
      </c>
      <c r="Z1583" s="20" t="s">
        <v>60</v>
      </c>
      <c r="AA1583" s="20" t="s">
        <v>61</v>
      </c>
      <c r="AB1583" s="20" t="s">
        <v>82</v>
      </c>
      <c r="AC1583" s="28">
        <v>559.48</v>
      </c>
      <c r="AD1583" s="28">
        <f>SUM(BASE[[#This Row],[MONTO DE RENTA ]]*1.16)</f>
        <v>648.99680000000001</v>
      </c>
      <c r="AE1583" s="28" t="s">
        <v>83</v>
      </c>
      <c r="AF1583" s="28">
        <v>559.48275862068965</v>
      </c>
      <c r="AG1583" s="28">
        <v>649</v>
      </c>
      <c r="AH1583" s="36" t="s">
        <v>64</v>
      </c>
      <c r="AI1583" s="46">
        <v>45323</v>
      </c>
      <c r="AJ1583" s="46">
        <v>46054</v>
      </c>
      <c r="AK15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83" s="146"/>
      <c r="AM1583" s="253"/>
      <c r="AN1583" s="20" t="s">
        <v>99</v>
      </c>
      <c r="AP1583" s="20" t="s">
        <v>84</v>
      </c>
      <c r="AQ1583" s="20" t="s">
        <v>100</v>
      </c>
    </row>
    <row r="1584" spans="1:43" ht="16">
      <c r="A1584" s="230">
        <v>8118001390</v>
      </c>
      <c r="B1584" s="237">
        <v>0</v>
      </c>
      <c r="C1584" s="230" t="s">
        <v>1653</v>
      </c>
      <c r="D1584" s="230" t="s">
        <v>1654</v>
      </c>
      <c r="E1584" s="230" t="s">
        <v>1655</v>
      </c>
      <c r="F1584" s="230" t="s">
        <v>1656</v>
      </c>
      <c r="G1584" s="230" t="s">
        <v>1656</v>
      </c>
      <c r="H1584" s="230" t="s">
        <v>1657</v>
      </c>
      <c r="I1584" s="230" t="s">
        <v>1658</v>
      </c>
      <c r="J1584" s="271" t="s">
        <v>7109</v>
      </c>
      <c r="K1584" s="271" t="s">
        <v>7109</v>
      </c>
      <c r="L1584" s="266" t="s">
        <v>92</v>
      </c>
      <c r="M1584" s="265" t="s">
        <v>7738</v>
      </c>
      <c r="N1584" s="266" t="s">
        <v>1661</v>
      </c>
      <c r="O1584" s="267" t="s">
        <v>74</v>
      </c>
      <c r="P1584" s="25" t="s">
        <v>1662</v>
      </c>
      <c r="Q1584" s="230" t="s">
        <v>7167</v>
      </c>
      <c r="R1584" s="230">
        <v>43625201</v>
      </c>
      <c r="S1584" s="267" t="s">
        <v>7168</v>
      </c>
      <c r="T1584" s="279" t="s">
        <v>7169</v>
      </c>
      <c r="U1584" s="266" t="s">
        <v>193</v>
      </c>
      <c r="V1584" s="280" t="s">
        <v>5634</v>
      </c>
      <c r="W1584" s="230" t="s">
        <v>194</v>
      </c>
      <c r="X1584" s="20" t="s">
        <v>194</v>
      </c>
      <c r="Y1584" s="20" t="s">
        <v>194</v>
      </c>
      <c r="Z1584" s="230" t="s">
        <v>261</v>
      </c>
      <c r="AA1584" s="230" t="s">
        <v>7170</v>
      </c>
      <c r="AB1584" s="230" t="s">
        <v>7171</v>
      </c>
      <c r="AC1584" s="270">
        <v>1447.41</v>
      </c>
      <c r="AD1584" s="270">
        <f>SUM(BASE[[#This Row],[MONTO DE RENTA ]]*1.16)</f>
        <v>1678.9956</v>
      </c>
      <c r="AE1584" s="270" t="s">
        <v>83</v>
      </c>
      <c r="AF1584" s="270">
        <v>559.48275862068965</v>
      </c>
      <c r="AG1584" s="270">
        <v>649</v>
      </c>
      <c r="AH1584" s="271" t="s">
        <v>64</v>
      </c>
      <c r="AI1584" s="272">
        <v>45323</v>
      </c>
      <c r="AJ1584" s="272">
        <v>46054</v>
      </c>
      <c r="AK1584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L1584" s="230"/>
      <c r="AM1584" s="273"/>
      <c r="AN1584" s="230" t="s">
        <v>99</v>
      </c>
      <c r="AO1584" s="230" t="s">
        <v>169</v>
      </c>
      <c r="AP1584" s="230" t="s">
        <v>118</v>
      </c>
      <c r="AQ1584" s="230" t="s">
        <v>100</v>
      </c>
    </row>
    <row r="1585" spans="1:43" s="87" customFormat="1" ht="16">
      <c r="A1585" s="87">
        <v>5620025321</v>
      </c>
      <c r="B1585" s="235">
        <v>460318</v>
      </c>
      <c r="C1585" s="87" t="s">
        <v>7172</v>
      </c>
      <c r="D1585" s="87" t="s">
        <v>7173</v>
      </c>
      <c r="E1585" s="87" t="s">
        <v>566</v>
      </c>
      <c r="F1585" s="87" t="s">
        <v>5443</v>
      </c>
      <c r="G1585" s="87" t="s">
        <v>5443</v>
      </c>
      <c r="H1585" s="87" t="s">
        <v>5320</v>
      </c>
      <c r="I1585" s="87" t="s">
        <v>5443</v>
      </c>
      <c r="J1585" s="216" t="s">
        <v>7174</v>
      </c>
      <c r="K1585" s="216" t="s">
        <v>7174</v>
      </c>
      <c r="L1585" s="218" t="s">
        <v>92</v>
      </c>
      <c r="M1585" s="219" t="s">
        <v>7738</v>
      </c>
      <c r="N1585" s="218">
        <v>18848067</v>
      </c>
      <c r="O1585" s="220" t="s">
        <v>52</v>
      </c>
      <c r="P1585" s="25" t="s">
        <v>3857</v>
      </c>
      <c r="Q1585" s="87" t="s">
        <v>7175</v>
      </c>
      <c r="R1585" s="87">
        <v>9513237</v>
      </c>
      <c r="S1585" s="220" t="s">
        <v>55</v>
      </c>
      <c r="T1585" s="221" t="s">
        <v>56</v>
      </c>
      <c r="U1585" s="218">
        <v>865356065728933</v>
      </c>
      <c r="V1585" s="222" t="s">
        <v>183</v>
      </c>
      <c r="W1585" s="87" t="s">
        <v>129</v>
      </c>
      <c r="X1585" s="20" t="s">
        <v>130</v>
      </c>
      <c r="Y1585" s="20" t="s">
        <v>130</v>
      </c>
      <c r="Z1585" s="87" t="s">
        <v>60</v>
      </c>
      <c r="AA1585" s="87" t="s">
        <v>61</v>
      </c>
      <c r="AB1585" s="87" t="s">
        <v>96</v>
      </c>
      <c r="AC1585" s="223">
        <v>369.83</v>
      </c>
      <c r="AD1585" s="223">
        <f>SUM(BASE[[#This Row],[MONTO DE RENTA ]]*1.16)</f>
        <v>429.00279999999998</v>
      </c>
      <c r="AE1585" s="223" t="s">
        <v>63</v>
      </c>
      <c r="AF1585" s="223">
        <v>369.82758620689657</v>
      </c>
      <c r="AG1585" s="223">
        <v>429</v>
      </c>
      <c r="AH1585" s="217" t="s">
        <v>98</v>
      </c>
      <c r="AI1585" s="224">
        <v>45383</v>
      </c>
      <c r="AJ1585" s="224">
        <v>46040</v>
      </c>
      <c r="AK1585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M1585" s="225">
        <v>147258</v>
      </c>
      <c r="AN1585" s="87" t="s">
        <v>99</v>
      </c>
      <c r="AP1585" s="87" t="s">
        <v>84</v>
      </c>
      <c r="AQ1585" s="87" t="s">
        <v>100</v>
      </c>
    </row>
    <row r="1586" spans="1:43" ht="16">
      <c r="A1586" s="20">
        <v>8138623299</v>
      </c>
      <c r="B1586" s="59">
        <v>1031999</v>
      </c>
      <c r="C1586" s="20" t="s">
        <v>3139</v>
      </c>
      <c r="D1586" s="20" t="s">
        <v>405</v>
      </c>
      <c r="E1586" s="20" t="s">
        <v>358</v>
      </c>
      <c r="F1586" s="20" t="s">
        <v>5693</v>
      </c>
      <c r="G1586" s="20" t="s">
        <v>7176</v>
      </c>
      <c r="H1586" s="20" t="s">
        <v>5289</v>
      </c>
      <c r="I1586" s="20" t="s">
        <v>5693</v>
      </c>
      <c r="J1586" s="22" t="s">
        <v>5694</v>
      </c>
      <c r="K1586" s="32" t="s">
        <v>5694</v>
      </c>
      <c r="L1586" s="23" t="s">
        <v>92</v>
      </c>
      <c r="M1586" s="24" t="s">
        <v>7738</v>
      </c>
      <c r="N1586" s="23">
        <v>18848027</v>
      </c>
      <c r="O1586" s="25" t="s">
        <v>74</v>
      </c>
      <c r="P1586" s="25" t="s">
        <v>53</v>
      </c>
      <c r="Q1586" s="20" t="s">
        <v>7177</v>
      </c>
      <c r="R1586" s="20">
        <v>43163625</v>
      </c>
      <c r="S1586" s="25" t="s">
        <v>7178</v>
      </c>
      <c r="T1586" s="26" t="s">
        <v>57</v>
      </c>
      <c r="U1586" s="23">
        <v>860900062238480</v>
      </c>
      <c r="V1586" s="27" t="s">
        <v>57</v>
      </c>
      <c r="W1586" s="20" t="s">
        <v>58</v>
      </c>
      <c r="X1586" s="20" t="s">
        <v>59</v>
      </c>
      <c r="Y1586" s="20" t="s">
        <v>59</v>
      </c>
      <c r="Z1586" s="20" t="s">
        <v>167</v>
      </c>
      <c r="AA1586" s="20" t="s">
        <v>168</v>
      </c>
      <c r="AB1586" s="20" t="s">
        <v>96</v>
      </c>
      <c r="AC1586" s="28">
        <v>369.83</v>
      </c>
      <c r="AD1586" s="28">
        <f>SUM(BASE[[#This Row],[MONTO DE RENTA ]]*1.16)</f>
        <v>429.00279999999998</v>
      </c>
      <c r="AE1586" s="28" t="s">
        <v>63</v>
      </c>
      <c r="AF1586" s="28">
        <v>369.82758620689657</v>
      </c>
      <c r="AG1586" s="28">
        <v>429</v>
      </c>
      <c r="AH1586" s="22" t="s">
        <v>448</v>
      </c>
      <c r="AI1586" s="29">
        <v>46034</v>
      </c>
      <c r="AJ1586" s="29">
        <v>46798</v>
      </c>
      <c r="AK1586" s="30">
        <f ca="1">IFERROR(IF(BASE[[#This Row],[FECHA DE RENOVACION ]]&gt;TODAY(), DATEDIF(TODAY(),BASE[[#This Row],[FECHA DE RENOVACION ]],"M"), -DATEDIF(BASE[[#This Row],[FECHA DE RENOVACION ]],TODAY(),"M")), "Sin fecha")</f>
        <v>23</v>
      </c>
      <c r="AM1586" s="30"/>
      <c r="AN1586" s="20" t="s">
        <v>65</v>
      </c>
      <c r="AP1586" s="20" t="s">
        <v>84</v>
      </c>
    </row>
    <row r="1587" spans="1:43" ht="16">
      <c r="A1587" s="20">
        <v>8113113076</v>
      </c>
      <c r="B1587" s="49">
        <v>6246</v>
      </c>
      <c r="C1587" s="20" t="s">
        <v>7179</v>
      </c>
      <c r="D1587" s="20" t="s">
        <v>1839</v>
      </c>
      <c r="E1587" s="20" t="s">
        <v>4034</v>
      </c>
      <c r="F1587" s="20" t="s">
        <v>7180</v>
      </c>
      <c r="G1587" s="20" t="s">
        <v>7180</v>
      </c>
      <c r="H1587" s="20" t="s">
        <v>208</v>
      </c>
      <c r="I1587" s="20" t="s">
        <v>7180</v>
      </c>
      <c r="J1587" s="22" t="s">
        <v>7181</v>
      </c>
      <c r="K1587" s="22" t="s">
        <v>7182</v>
      </c>
      <c r="L1587" s="23" t="s">
        <v>92</v>
      </c>
      <c r="M1587" s="24" t="s">
        <v>7738</v>
      </c>
      <c r="N1587" s="23">
        <v>18848052</v>
      </c>
      <c r="O1587" s="25" t="s">
        <v>74</v>
      </c>
      <c r="P1587" s="25" t="s">
        <v>53</v>
      </c>
      <c r="Q1587" s="20" t="s">
        <v>7183</v>
      </c>
      <c r="R1587" s="20">
        <v>42943905</v>
      </c>
      <c r="S1587" s="25" t="s">
        <v>55</v>
      </c>
      <c r="T1587" s="26" t="s">
        <v>56</v>
      </c>
      <c r="U1587" s="23">
        <v>357894929635725</v>
      </c>
      <c r="V1587" s="27" t="s">
        <v>78</v>
      </c>
      <c r="W1587" s="20" t="s">
        <v>95</v>
      </c>
      <c r="X1587" s="20" t="s">
        <v>95</v>
      </c>
      <c r="Y1587" s="20" t="s">
        <v>95</v>
      </c>
      <c r="Z1587" s="20" t="s">
        <v>60</v>
      </c>
      <c r="AA1587" s="20" t="s">
        <v>61</v>
      </c>
      <c r="AB1587" s="20" t="s">
        <v>82</v>
      </c>
      <c r="AC1587" s="28">
        <v>559.48</v>
      </c>
      <c r="AD1587" s="28">
        <f>SUM(BASE[[#This Row],[MONTO DE RENTA ]]*1.16)</f>
        <v>648.99680000000001</v>
      </c>
      <c r="AE1587" s="28" t="s">
        <v>83</v>
      </c>
      <c r="AF1587" s="28">
        <v>559.48275862068965</v>
      </c>
      <c r="AG1587" s="28">
        <v>649</v>
      </c>
      <c r="AI1587" s="29">
        <v>44937</v>
      </c>
      <c r="AJ1587" s="50">
        <v>46043</v>
      </c>
      <c r="AK158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87" s="30"/>
      <c r="AN1587" s="20" t="s">
        <v>99</v>
      </c>
      <c r="AP1587" s="20" t="s">
        <v>84</v>
      </c>
      <c r="AQ1587" s="20" t="s">
        <v>100</v>
      </c>
    </row>
    <row r="1588" spans="1:43" ht="16">
      <c r="A1588" s="20">
        <v>8118223189</v>
      </c>
      <c r="B1588" s="49">
        <v>1074157</v>
      </c>
      <c r="C1588" s="20" t="s">
        <v>7184</v>
      </c>
      <c r="D1588" s="20" t="s">
        <v>5463</v>
      </c>
      <c r="E1588" s="20" t="s">
        <v>598</v>
      </c>
      <c r="F1588" s="20" t="s">
        <v>7185</v>
      </c>
      <c r="G1588" s="20" t="s">
        <v>7185</v>
      </c>
      <c r="H1588" s="20" t="s">
        <v>208</v>
      </c>
      <c r="I1588" s="20" t="s">
        <v>7185</v>
      </c>
      <c r="J1588" s="54" t="s">
        <v>7186</v>
      </c>
      <c r="K1588" s="54" t="s">
        <v>7186</v>
      </c>
      <c r="L1588" s="23" t="s">
        <v>92</v>
      </c>
      <c r="M1588" s="24" t="s">
        <v>7738</v>
      </c>
      <c r="N1588" s="23">
        <v>18848053</v>
      </c>
      <c r="O1588" s="25" t="s">
        <v>74</v>
      </c>
      <c r="P1588" s="25" t="s">
        <v>53</v>
      </c>
      <c r="Q1588" s="20" t="s">
        <v>7187</v>
      </c>
      <c r="R1588" s="20">
        <v>44114430</v>
      </c>
      <c r="S1588" s="25" t="s">
        <v>55</v>
      </c>
      <c r="T1588" s="44" t="s">
        <v>56</v>
      </c>
      <c r="U1588" s="23">
        <v>352556229706952</v>
      </c>
      <c r="V1588" s="27" t="s">
        <v>78</v>
      </c>
      <c r="W1588" s="20" t="s">
        <v>5299</v>
      </c>
      <c r="X1588" s="20" t="s">
        <v>5299</v>
      </c>
      <c r="Y1588" s="20" t="s">
        <v>5299</v>
      </c>
      <c r="Z1588" s="20" t="s">
        <v>60</v>
      </c>
      <c r="AA1588" s="20" t="s">
        <v>61</v>
      </c>
      <c r="AB1588" s="20" t="s">
        <v>96</v>
      </c>
      <c r="AC1588" s="28">
        <v>369.83</v>
      </c>
      <c r="AD1588" s="28">
        <f>SUM(BASE[[#This Row],[MONTO DE RENTA ]]*1.16)</f>
        <v>429.00279999999998</v>
      </c>
      <c r="AE1588" s="28" t="s">
        <v>83</v>
      </c>
      <c r="AF1588" s="28">
        <v>559.48275862068965</v>
      </c>
      <c r="AG1588" s="28">
        <v>649</v>
      </c>
      <c r="AH1588" s="22" t="s">
        <v>98</v>
      </c>
      <c r="AI1588" s="29">
        <v>45622</v>
      </c>
      <c r="AJ1588" s="29">
        <v>46048</v>
      </c>
      <c r="AK158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588" s="82" t="s">
        <v>7188</v>
      </c>
      <c r="AM1588" s="30" t="s">
        <v>7189</v>
      </c>
      <c r="AN1588" s="20" t="s">
        <v>99</v>
      </c>
      <c r="AP1588" s="20" t="s">
        <v>66</v>
      </c>
      <c r="AQ1588" s="20" t="s">
        <v>100</v>
      </c>
    </row>
    <row r="1589" spans="1:43" ht="16">
      <c r="A1589" s="20">
        <v>8112642589</v>
      </c>
      <c r="B1589" s="21">
        <v>6957</v>
      </c>
      <c r="C1589" s="20" t="s">
        <v>7190</v>
      </c>
      <c r="D1589" s="20" t="s">
        <v>7191</v>
      </c>
      <c r="E1589" s="20" t="s">
        <v>143</v>
      </c>
      <c r="F1589" s="20" t="s">
        <v>6214</v>
      </c>
      <c r="G1589" s="20" t="s">
        <v>6214</v>
      </c>
      <c r="H1589" s="20" t="s">
        <v>208</v>
      </c>
      <c r="I1589" s="20" t="s">
        <v>6214</v>
      </c>
      <c r="J1589" s="22" t="s">
        <v>7192</v>
      </c>
      <c r="K1589" s="32" t="s">
        <v>7193</v>
      </c>
      <c r="L1589" s="23" t="s">
        <v>92</v>
      </c>
      <c r="M1589" s="24" t="s">
        <v>7738</v>
      </c>
      <c r="N1589" s="23">
        <v>18848052</v>
      </c>
      <c r="O1589" s="25" t="s">
        <v>74</v>
      </c>
      <c r="P1589" s="25" t="s">
        <v>53</v>
      </c>
      <c r="Q1589" s="20" t="s">
        <v>7194</v>
      </c>
      <c r="R1589" s="20">
        <v>43163518</v>
      </c>
      <c r="S1589" s="25" t="s">
        <v>7195</v>
      </c>
      <c r="T1589" s="26" t="s">
        <v>57</v>
      </c>
      <c r="U1589" s="23">
        <v>354076112490505</v>
      </c>
      <c r="V1589" s="27" t="s">
        <v>57</v>
      </c>
      <c r="W1589" s="20" t="s">
        <v>3900</v>
      </c>
      <c r="X1589" s="20" t="s">
        <v>3901</v>
      </c>
      <c r="Y1589" s="20" t="s">
        <v>3901</v>
      </c>
      <c r="Z1589" s="20" t="s">
        <v>167</v>
      </c>
      <c r="AA1589" s="20" t="s">
        <v>168</v>
      </c>
      <c r="AB1589" s="20" t="s">
        <v>96</v>
      </c>
      <c r="AC1589" s="28">
        <v>369.83</v>
      </c>
      <c r="AD1589" s="28">
        <f>SUM(BASE[[#This Row],[MONTO DE RENTA ]]*1.16)</f>
        <v>429.00279999999998</v>
      </c>
      <c r="AE1589" s="28" t="s">
        <v>63</v>
      </c>
      <c r="AF1589" s="28">
        <v>369.82758620689657</v>
      </c>
      <c r="AG1589" s="28">
        <v>429</v>
      </c>
      <c r="AH1589" s="22" t="s">
        <v>64</v>
      </c>
      <c r="AI1589" s="63">
        <v>45669</v>
      </c>
      <c r="AJ1589" s="63">
        <v>46399</v>
      </c>
      <c r="AK158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89" s="30"/>
      <c r="AN1589" s="20" t="s">
        <v>65</v>
      </c>
      <c r="AP1589" s="20" t="s">
        <v>84</v>
      </c>
    </row>
    <row r="1590" spans="1:43" ht="16">
      <c r="A1590" s="20">
        <v>3322557296</v>
      </c>
      <c r="B1590" s="49">
        <v>420331</v>
      </c>
      <c r="C1590" s="20" t="s">
        <v>254</v>
      </c>
      <c r="D1590" s="20" t="s">
        <v>7196</v>
      </c>
      <c r="E1590" s="20" t="s">
        <v>2289</v>
      </c>
      <c r="F1590" s="20" t="s">
        <v>5587</v>
      </c>
      <c r="G1590" s="20" t="s">
        <v>5587</v>
      </c>
      <c r="H1590" s="20" t="s">
        <v>5320</v>
      </c>
      <c r="I1590" s="20" t="s">
        <v>5587</v>
      </c>
      <c r="J1590" s="22" t="s">
        <v>7197</v>
      </c>
      <c r="K1590" s="22" t="s">
        <v>7198</v>
      </c>
      <c r="L1590" s="23" t="s">
        <v>92</v>
      </c>
      <c r="M1590" s="24" t="s">
        <v>7738</v>
      </c>
      <c r="N1590" s="23">
        <v>18848044</v>
      </c>
      <c r="O1590" s="25" t="s">
        <v>677</v>
      </c>
      <c r="P1590" s="25" t="s">
        <v>53</v>
      </c>
      <c r="Q1590" s="20" t="s">
        <v>7199</v>
      </c>
      <c r="R1590" s="20">
        <v>53676697</v>
      </c>
      <c r="S1590" s="25" t="s">
        <v>55</v>
      </c>
      <c r="T1590" s="26" t="s">
        <v>56</v>
      </c>
      <c r="U1590" s="23">
        <v>352556229389601</v>
      </c>
      <c r="V1590" s="27" t="s">
        <v>78</v>
      </c>
      <c r="W1590" s="20" t="s">
        <v>5299</v>
      </c>
      <c r="X1590" s="20" t="s">
        <v>5299</v>
      </c>
      <c r="Y1590" s="20" t="s">
        <v>5299</v>
      </c>
      <c r="Z1590" s="20" t="s">
        <v>60</v>
      </c>
      <c r="AA1590" s="20" t="s">
        <v>61</v>
      </c>
      <c r="AB1590" s="20" t="s">
        <v>82</v>
      </c>
      <c r="AC1590" s="28">
        <v>559.48</v>
      </c>
      <c r="AD1590" s="28">
        <f>SUM(BASE[[#This Row],[MONTO DE RENTA ]]*1.16)</f>
        <v>648.99680000000001</v>
      </c>
      <c r="AE1590" s="28" t="s">
        <v>83</v>
      </c>
      <c r="AF1590" s="28">
        <v>559.48275862068965</v>
      </c>
      <c r="AG1590" s="28">
        <v>649</v>
      </c>
      <c r="AI1590" s="29">
        <v>44937</v>
      </c>
      <c r="AJ1590" s="50">
        <v>46043</v>
      </c>
      <c r="AK1590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90" s="30"/>
      <c r="AN1590" s="20" t="s">
        <v>99</v>
      </c>
      <c r="AP1590" s="20" t="s">
        <v>84</v>
      </c>
      <c r="AQ1590" s="20" t="s">
        <v>100</v>
      </c>
    </row>
    <row r="1591" spans="1:43" ht="16">
      <c r="A1591" s="20">
        <v>8126810921</v>
      </c>
      <c r="B1591" s="49">
        <v>455002</v>
      </c>
      <c r="C1591" s="20" t="s">
        <v>7200</v>
      </c>
      <c r="D1591" s="20" t="s">
        <v>437</v>
      </c>
      <c r="E1591" s="20" t="s">
        <v>7201</v>
      </c>
      <c r="F1591" s="20" t="s">
        <v>5385</v>
      </c>
      <c r="G1591" s="20" t="s">
        <v>5385</v>
      </c>
      <c r="H1591" s="20" t="s">
        <v>5381</v>
      </c>
      <c r="I1591" s="20" t="s">
        <v>5385</v>
      </c>
      <c r="J1591" s="22" t="s">
        <v>7202</v>
      </c>
      <c r="K1591" s="32" t="s">
        <v>7203</v>
      </c>
      <c r="L1591" s="23" t="s">
        <v>92</v>
      </c>
      <c r="M1591" s="24" t="s">
        <v>7738</v>
      </c>
      <c r="N1591" s="23">
        <v>18848021</v>
      </c>
      <c r="O1591" s="25" t="s">
        <v>74</v>
      </c>
      <c r="P1591" s="25" t="s">
        <v>53</v>
      </c>
      <c r="Q1591" s="20" t="s">
        <v>7204</v>
      </c>
      <c r="R1591" s="20">
        <v>44114489</v>
      </c>
      <c r="S1591" s="25" t="s">
        <v>55</v>
      </c>
      <c r="T1591" s="26" t="s">
        <v>56</v>
      </c>
      <c r="U1591" s="23">
        <v>357894929194103</v>
      </c>
      <c r="V1591" s="27" t="s">
        <v>78</v>
      </c>
      <c r="W1591" s="20" t="s">
        <v>95</v>
      </c>
      <c r="X1591" s="20" t="s">
        <v>95</v>
      </c>
      <c r="Y1591" s="20" t="s">
        <v>95</v>
      </c>
      <c r="Z1591" s="20" t="s">
        <v>584</v>
      </c>
      <c r="AA1591" s="20" t="s">
        <v>585</v>
      </c>
      <c r="AB1591" s="20" t="s">
        <v>82</v>
      </c>
      <c r="AC1591" s="28">
        <v>559.48</v>
      </c>
      <c r="AD1591" s="28">
        <f>SUM(BASE[[#This Row],[MONTO DE RENTA ]]*1.16)</f>
        <v>648.99680000000001</v>
      </c>
      <c r="AE1591" s="28" t="s">
        <v>83</v>
      </c>
      <c r="AF1591" s="28">
        <v>559.48275862068965</v>
      </c>
      <c r="AG1591" s="28">
        <v>649</v>
      </c>
      <c r="AI1591" s="29">
        <v>44937</v>
      </c>
      <c r="AJ1591" s="50">
        <v>46043</v>
      </c>
      <c r="AK159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91" s="30"/>
      <c r="AN1591" s="20" t="s">
        <v>99</v>
      </c>
      <c r="AP1591" s="20" t="s">
        <v>84</v>
      </c>
      <c r="AQ1591" s="20" t="s">
        <v>100</v>
      </c>
    </row>
    <row r="1592" spans="1:43" ht="16">
      <c r="A1592" s="20">
        <v>8119177783</v>
      </c>
      <c r="B1592" s="21">
        <v>1044027</v>
      </c>
      <c r="C1592" s="20" t="s">
        <v>7205</v>
      </c>
      <c r="D1592" s="20" t="s">
        <v>7206</v>
      </c>
      <c r="E1592" s="20" t="s">
        <v>7207</v>
      </c>
      <c r="F1592" s="20" t="s">
        <v>7208</v>
      </c>
      <c r="G1592" s="20" t="s">
        <v>7208</v>
      </c>
      <c r="H1592" s="20" t="s">
        <v>231</v>
      </c>
      <c r="I1592" s="20" t="s">
        <v>7208</v>
      </c>
      <c r="J1592" s="22" t="s">
        <v>7209</v>
      </c>
      <c r="K1592" s="32" t="s">
        <v>7210</v>
      </c>
      <c r="L1592" s="23" t="s">
        <v>92</v>
      </c>
      <c r="M1592" s="24" t="s">
        <v>7738</v>
      </c>
      <c r="N1592" s="23">
        <v>18848062</v>
      </c>
      <c r="O1592" s="25" t="s">
        <v>74</v>
      </c>
      <c r="P1592" s="25" t="s">
        <v>53</v>
      </c>
      <c r="Q1592" s="20" t="s">
        <v>7211</v>
      </c>
      <c r="R1592" s="20">
        <v>43163591</v>
      </c>
      <c r="S1592" s="25" t="s">
        <v>7212</v>
      </c>
      <c r="T1592" s="26" t="s">
        <v>57</v>
      </c>
      <c r="U1592" s="23">
        <v>867827052841374</v>
      </c>
      <c r="V1592" s="27" t="s">
        <v>57</v>
      </c>
      <c r="W1592" s="20" t="s">
        <v>7213</v>
      </c>
      <c r="X1592" s="20" t="s">
        <v>7214</v>
      </c>
      <c r="Y1592" s="20" t="s">
        <v>7214</v>
      </c>
      <c r="Z1592" s="20" t="s">
        <v>131</v>
      </c>
      <c r="AA1592" s="20" t="s">
        <v>132</v>
      </c>
      <c r="AB1592" s="20" t="s">
        <v>96</v>
      </c>
      <c r="AC1592" s="28">
        <v>369.83</v>
      </c>
      <c r="AD1592" s="28">
        <f>SUM(BASE[[#This Row],[MONTO DE RENTA ]]*1.16)</f>
        <v>429.00279999999998</v>
      </c>
      <c r="AE1592" s="28" t="s">
        <v>63</v>
      </c>
      <c r="AF1592" s="28">
        <v>369.82758620689657</v>
      </c>
      <c r="AG1592" s="28">
        <v>429</v>
      </c>
      <c r="AH1592" s="22" t="s">
        <v>64</v>
      </c>
      <c r="AI1592" s="29">
        <v>45669</v>
      </c>
      <c r="AJ1592" s="29">
        <v>46399</v>
      </c>
      <c r="AK1592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92" s="30"/>
      <c r="AN1592" s="20" t="s">
        <v>65</v>
      </c>
      <c r="AP1592" s="20" t="s">
        <v>84</v>
      </c>
    </row>
    <row r="1593" spans="1:43" ht="16">
      <c r="A1593" s="20">
        <v>8115311349</v>
      </c>
      <c r="B1593" s="21">
        <v>615010</v>
      </c>
      <c r="C1593" s="20" t="s">
        <v>279</v>
      </c>
      <c r="D1593" s="20" t="s">
        <v>3074</v>
      </c>
      <c r="E1593" s="20" t="s">
        <v>187</v>
      </c>
      <c r="F1593" s="20" t="s">
        <v>7215</v>
      </c>
      <c r="G1593" s="20" t="s">
        <v>7215</v>
      </c>
      <c r="H1593" s="20" t="s">
        <v>199</v>
      </c>
      <c r="I1593" s="20" t="s">
        <v>7215</v>
      </c>
      <c r="J1593" s="22" t="s">
        <v>7216</v>
      </c>
      <c r="K1593" s="32" t="s">
        <v>7217</v>
      </c>
      <c r="L1593" s="23" t="s">
        <v>92</v>
      </c>
      <c r="M1593" s="24" t="s">
        <v>7738</v>
      </c>
      <c r="N1593" s="23">
        <v>18848078</v>
      </c>
      <c r="O1593" s="25" t="s">
        <v>74</v>
      </c>
      <c r="P1593" s="25" t="s">
        <v>53</v>
      </c>
      <c r="Q1593" s="20" t="s">
        <v>7218</v>
      </c>
      <c r="R1593" s="20">
        <v>43412297</v>
      </c>
      <c r="S1593" s="25" t="s">
        <v>7219</v>
      </c>
      <c r="T1593" s="26" t="s">
        <v>57</v>
      </c>
      <c r="U1593" s="23">
        <v>860900062732458</v>
      </c>
      <c r="V1593" s="27" t="s">
        <v>57</v>
      </c>
      <c r="W1593" s="20" t="s">
        <v>58</v>
      </c>
      <c r="X1593" s="20" t="s">
        <v>59</v>
      </c>
      <c r="Y1593" s="20" t="s">
        <v>59</v>
      </c>
      <c r="Z1593" s="20" t="s">
        <v>167</v>
      </c>
      <c r="AA1593" s="20" t="s">
        <v>168</v>
      </c>
      <c r="AB1593" s="20" t="s">
        <v>96</v>
      </c>
      <c r="AC1593" s="28">
        <v>369.83</v>
      </c>
      <c r="AD1593" s="28">
        <f>SUM(BASE[[#This Row],[MONTO DE RENTA ]]*1.16)</f>
        <v>429.00279999999998</v>
      </c>
      <c r="AE1593" s="28" t="s">
        <v>63</v>
      </c>
      <c r="AF1593" s="28">
        <v>369.82758620689657</v>
      </c>
      <c r="AG1593" s="28">
        <v>429</v>
      </c>
      <c r="AH1593" s="22" t="s">
        <v>64</v>
      </c>
      <c r="AI1593" s="63">
        <v>45703</v>
      </c>
      <c r="AJ1593" s="63">
        <v>46433</v>
      </c>
      <c r="AK15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93" s="30"/>
      <c r="AN1593" s="20" t="s">
        <v>65</v>
      </c>
      <c r="AP1593" s="20" t="s">
        <v>84</v>
      </c>
    </row>
    <row r="1594" spans="1:43" ht="16">
      <c r="A1594" s="20">
        <v>8112200229</v>
      </c>
      <c r="B1594" s="49">
        <v>270378</v>
      </c>
      <c r="C1594" s="20" t="s">
        <v>7220</v>
      </c>
      <c r="D1594" s="20" t="s">
        <v>1109</v>
      </c>
      <c r="E1594" s="20" t="s">
        <v>1221</v>
      </c>
      <c r="F1594" s="20" t="s">
        <v>5385</v>
      </c>
      <c r="G1594" s="20" t="s">
        <v>5385</v>
      </c>
      <c r="H1594" s="20" t="s">
        <v>5381</v>
      </c>
      <c r="I1594" s="20" t="s">
        <v>5385</v>
      </c>
      <c r="J1594" s="22" t="s">
        <v>7221</v>
      </c>
      <c r="K1594" s="22" t="s">
        <v>7222</v>
      </c>
      <c r="L1594" s="23" t="s">
        <v>92</v>
      </c>
      <c r="M1594" s="24" t="s">
        <v>7738</v>
      </c>
      <c r="N1594" s="23">
        <v>18848020</v>
      </c>
      <c r="O1594" s="25" t="s">
        <v>74</v>
      </c>
      <c r="P1594" s="25" t="s">
        <v>53</v>
      </c>
      <c r="Q1594" s="20" t="s">
        <v>7223</v>
      </c>
      <c r="R1594" s="20">
        <v>42888651</v>
      </c>
      <c r="S1594" s="25" t="s">
        <v>55</v>
      </c>
      <c r="T1594" s="26" t="s">
        <v>56</v>
      </c>
      <c r="U1594" s="23">
        <v>357654179538353</v>
      </c>
      <c r="V1594" s="27" t="s">
        <v>78</v>
      </c>
      <c r="W1594" s="20" t="s">
        <v>95</v>
      </c>
      <c r="X1594" s="20" t="s">
        <v>95</v>
      </c>
      <c r="Y1594" s="20" t="s">
        <v>95</v>
      </c>
      <c r="Z1594" s="20" t="s">
        <v>60</v>
      </c>
      <c r="AA1594" s="20" t="s">
        <v>61</v>
      </c>
      <c r="AB1594" s="20" t="s">
        <v>82</v>
      </c>
      <c r="AC1594" s="28">
        <v>559.48</v>
      </c>
      <c r="AD1594" s="28">
        <f>SUM(BASE[[#This Row],[MONTO DE RENTA ]]*1.16)</f>
        <v>648.99680000000001</v>
      </c>
      <c r="AE1594" s="28" t="s">
        <v>83</v>
      </c>
      <c r="AF1594" s="28">
        <v>559.48275862068965</v>
      </c>
      <c r="AG1594" s="28">
        <v>649</v>
      </c>
      <c r="AI1594" s="63">
        <v>44937</v>
      </c>
      <c r="AJ1594" s="73">
        <v>46043</v>
      </c>
      <c r="AK159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94" s="30"/>
      <c r="AN1594" s="20" t="s">
        <v>99</v>
      </c>
      <c r="AP1594" s="20" t="s">
        <v>84</v>
      </c>
      <c r="AQ1594" s="20" t="s">
        <v>100</v>
      </c>
    </row>
    <row r="1595" spans="1:43" ht="16">
      <c r="A1595" s="20">
        <v>6671554446</v>
      </c>
      <c r="B1595" s="21">
        <v>330011</v>
      </c>
      <c r="C1595" s="20" t="s">
        <v>3878</v>
      </c>
      <c r="D1595" s="20" t="s">
        <v>1104</v>
      </c>
      <c r="E1595" s="20" t="s">
        <v>153</v>
      </c>
      <c r="F1595" s="20" t="s">
        <v>3245</v>
      </c>
      <c r="G1595" s="20" t="s">
        <v>3245</v>
      </c>
      <c r="H1595" s="20" t="s">
        <v>48</v>
      </c>
      <c r="I1595" s="20" t="s">
        <v>3245</v>
      </c>
      <c r="J1595" s="22" t="s">
        <v>7224</v>
      </c>
      <c r="K1595" s="32" t="s">
        <v>7225</v>
      </c>
      <c r="L1595" s="23" t="s">
        <v>2934</v>
      </c>
      <c r="M1595" s="24" t="s">
        <v>7740</v>
      </c>
      <c r="N1595" s="23">
        <v>18708000</v>
      </c>
      <c r="O1595" s="25" t="s">
        <v>866</v>
      </c>
      <c r="P1595" s="25" t="s">
        <v>53</v>
      </c>
      <c r="Q1595" s="20" t="s">
        <v>7226</v>
      </c>
      <c r="R1595" s="20">
        <v>22026188</v>
      </c>
      <c r="S1595" s="25" t="s">
        <v>7227</v>
      </c>
      <c r="T1595" s="26" t="s">
        <v>57</v>
      </c>
      <c r="U1595" s="23">
        <v>860900062735782</v>
      </c>
      <c r="V1595" s="27" t="s">
        <v>57</v>
      </c>
      <c r="W1595" s="20" t="s">
        <v>58</v>
      </c>
      <c r="X1595" s="20" t="s">
        <v>59</v>
      </c>
      <c r="Y1595" s="20" t="s">
        <v>59</v>
      </c>
      <c r="Z1595" s="20" t="s">
        <v>131</v>
      </c>
      <c r="AA1595" s="20" t="s">
        <v>132</v>
      </c>
      <c r="AB1595" s="20" t="s">
        <v>96</v>
      </c>
      <c r="AC1595" s="28">
        <v>369.83</v>
      </c>
      <c r="AD1595" s="95">
        <f>SUM(BASE[[#This Row],[MONTO DE RENTA ]]*1.16)</f>
        <v>429.00279999999998</v>
      </c>
      <c r="AE1595" s="28" t="s">
        <v>63</v>
      </c>
      <c r="AF1595" s="95">
        <v>369.82758620689657</v>
      </c>
      <c r="AG1595" s="95">
        <v>429</v>
      </c>
      <c r="AH1595" s="96" t="s">
        <v>64</v>
      </c>
      <c r="AI1595" s="313">
        <v>45703</v>
      </c>
      <c r="AJ1595" s="313">
        <v>46433</v>
      </c>
      <c r="AK159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95" s="30"/>
      <c r="AN1595" s="20" t="s">
        <v>65</v>
      </c>
      <c r="AP1595" s="20" t="s">
        <v>84</v>
      </c>
    </row>
    <row r="1596" spans="1:43" ht="16">
      <c r="A1596" s="20">
        <v>8112772920</v>
      </c>
      <c r="B1596" s="49">
        <v>4008</v>
      </c>
      <c r="C1596" s="20" t="s">
        <v>7228</v>
      </c>
      <c r="D1596" s="20" t="s">
        <v>1000</v>
      </c>
      <c r="E1596" s="20" t="s">
        <v>152</v>
      </c>
      <c r="F1596" s="20" t="s">
        <v>6113</v>
      </c>
      <c r="G1596" s="20" t="s">
        <v>6113</v>
      </c>
      <c r="H1596" s="20" t="s">
        <v>155</v>
      </c>
      <c r="I1596" s="20" t="s">
        <v>6113</v>
      </c>
      <c r="J1596" s="22" t="s">
        <v>7229</v>
      </c>
      <c r="K1596" s="32" t="s">
        <v>7230</v>
      </c>
      <c r="L1596" s="23" t="s">
        <v>92</v>
      </c>
      <c r="M1596" s="24" t="s">
        <v>7738</v>
      </c>
      <c r="N1596" s="23">
        <v>18848002</v>
      </c>
      <c r="O1596" s="25" t="s">
        <v>74</v>
      </c>
      <c r="P1596" s="25" t="s">
        <v>53</v>
      </c>
      <c r="Q1596" s="20" t="s">
        <v>7231</v>
      </c>
      <c r="R1596" s="20">
        <v>42862152</v>
      </c>
      <c r="S1596" s="25" t="s">
        <v>55</v>
      </c>
      <c r="T1596" s="26" t="s">
        <v>56</v>
      </c>
      <c r="U1596" s="23">
        <v>350888749722363</v>
      </c>
      <c r="V1596" s="27" t="s">
        <v>78</v>
      </c>
      <c r="W1596" s="20" t="s">
        <v>6116</v>
      </c>
      <c r="X1596" s="20" t="s">
        <v>6116</v>
      </c>
      <c r="Y1596" s="20" t="s">
        <v>6116</v>
      </c>
      <c r="Z1596" s="20" t="s">
        <v>584</v>
      </c>
      <c r="AA1596" s="20" t="s">
        <v>585</v>
      </c>
      <c r="AB1596" s="20" t="s">
        <v>82</v>
      </c>
      <c r="AC1596" s="28">
        <v>559.48</v>
      </c>
      <c r="AD1596" s="28">
        <f>SUM(BASE[[#This Row],[MONTO DE RENTA ]]*1.16)</f>
        <v>648.99680000000001</v>
      </c>
      <c r="AE1596" s="28" t="s">
        <v>83</v>
      </c>
      <c r="AF1596" s="28">
        <v>559.48275862068965</v>
      </c>
      <c r="AG1596" s="28">
        <v>649</v>
      </c>
      <c r="AI1596" s="313">
        <v>44937</v>
      </c>
      <c r="AJ1596" s="317">
        <v>46043</v>
      </c>
      <c r="AK159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596" s="30"/>
      <c r="AN1596" s="20" t="s">
        <v>99</v>
      </c>
      <c r="AP1596" s="20" t="s">
        <v>84</v>
      </c>
      <c r="AQ1596" s="20" t="s">
        <v>100</v>
      </c>
    </row>
    <row r="1597" spans="1:43" ht="16">
      <c r="A1597" s="20">
        <v>7771033158</v>
      </c>
      <c r="B1597" s="318">
        <v>650176</v>
      </c>
      <c r="C1597" s="20" t="s">
        <v>7232</v>
      </c>
      <c r="D1597" s="20" t="s">
        <v>186</v>
      </c>
      <c r="E1597" s="20" t="s">
        <v>1598</v>
      </c>
      <c r="F1597" s="20" t="s">
        <v>3245</v>
      </c>
      <c r="G1597" s="20" t="s">
        <v>3245</v>
      </c>
      <c r="H1597" s="20" t="s">
        <v>48</v>
      </c>
      <c r="I1597" s="20" t="s">
        <v>3245</v>
      </c>
      <c r="J1597" s="22" t="s">
        <v>7233</v>
      </c>
      <c r="K1597" s="22" t="s">
        <v>7234</v>
      </c>
      <c r="L1597" s="23" t="s">
        <v>3388</v>
      </c>
      <c r="M1597" s="24" t="s">
        <v>7742</v>
      </c>
      <c r="N1597" s="23">
        <v>18726000</v>
      </c>
      <c r="O1597" s="25" t="s">
        <v>52</v>
      </c>
      <c r="P1597" s="25" t="s">
        <v>53</v>
      </c>
      <c r="Q1597" s="20" t="s">
        <v>7235</v>
      </c>
      <c r="R1597" s="20">
        <v>90390000</v>
      </c>
      <c r="S1597" s="25" t="s">
        <v>7236</v>
      </c>
      <c r="T1597" s="26" t="s">
        <v>57</v>
      </c>
      <c r="U1597" s="23">
        <v>860900062256664</v>
      </c>
      <c r="V1597" s="27" t="s">
        <v>57</v>
      </c>
      <c r="W1597" s="20" t="s">
        <v>58</v>
      </c>
      <c r="X1597" s="20" t="s">
        <v>59</v>
      </c>
      <c r="Y1597" s="20" t="s">
        <v>59</v>
      </c>
      <c r="Z1597" s="20" t="s">
        <v>131</v>
      </c>
      <c r="AA1597" s="20" t="s">
        <v>132</v>
      </c>
      <c r="AB1597" s="20" t="s">
        <v>96</v>
      </c>
      <c r="AC1597" s="28">
        <v>369.83</v>
      </c>
      <c r="AD1597" s="28">
        <f>SUM(BASE[[#This Row],[MONTO DE RENTA ]]*1.16)</f>
        <v>429.00279999999998</v>
      </c>
      <c r="AE1597" s="28" t="s">
        <v>63</v>
      </c>
      <c r="AF1597" s="28">
        <v>369.82758620689657</v>
      </c>
      <c r="AG1597" s="28">
        <v>429</v>
      </c>
      <c r="AH1597" s="22" t="s">
        <v>64</v>
      </c>
      <c r="AI1597" s="63">
        <v>45703</v>
      </c>
      <c r="AJ1597" s="63">
        <v>46433</v>
      </c>
      <c r="AK15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97" s="30"/>
      <c r="AN1597" s="20" t="s">
        <v>65</v>
      </c>
      <c r="AP1597" s="20" t="s">
        <v>84</v>
      </c>
    </row>
    <row r="1598" spans="1:43" ht="16">
      <c r="A1598" s="20">
        <v>8120295680</v>
      </c>
      <c r="B1598" s="21">
        <v>1000488</v>
      </c>
      <c r="C1598" s="20" t="s">
        <v>1653</v>
      </c>
      <c r="D1598" s="20" t="s">
        <v>1654</v>
      </c>
      <c r="E1598" s="20" t="s">
        <v>1655</v>
      </c>
      <c r="F1598" s="20" t="s">
        <v>1656</v>
      </c>
      <c r="G1598" s="20" t="s">
        <v>1656</v>
      </c>
      <c r="H1598" s="20" t="s">
        <v>1657</v>
      </c>
      <c r="I1598" s="20" t="s">
        <v>1658</v>
      </c>
      <c r="J1598" s="22" t="s">
        <v>7237</v>
      </c>
      <c r="K1598" s="32" t="s">
        <v>7238</v>
      </c>
      <c r="L1598" s="23" t="s">
        <v>92</v>
      </c>
      <c r="M1598" s="24" t="s">
        <v>7738</v>
      </c>
      <c r="N1598" s="23" t="s">
        <v>1661</v>
      </c>
      <c r="O1598" s="25" t="s">
        <v>74</v>
      </c>
      <c r="P1598" s="25" t="s">
        <v>53</v>
      </c>
      <c r="Q1598" s="20" t="s">
        <v>7239</v>
      </c>
      <c r="R1598" s="20">
        <v>43514478</v>
      </c>
      <c r="S1598" s="25" t="s">
        <v>7240</v>
      </c>
      <c r="T1598" s="26" t="s">
        <v>57</v>
      </c>
      <c r="U1598" s="23">
        <v>860900062257571</v>
      </c>
      <c r="V1598" s="27" t="s">
        <v>57</v>
      </c>
      <c r="W1598" s="20" t="s">
        <v>58</v>
      </c>
      <c r="X1598" s="20" t="s">
        <v>59</v>
      </c>
      <c r="Y1598" s="20" t="s">
        <v>59</v>
      </c>
      <c r="Z1598" s="20" t="s">
        <v>131</v>
      </c>
      <c r="AA1598" s="20" t="s">
        <v>132</v>
      </c>
      <c r="AB1598" s="20" t="s">
        <v>96</v>
      </c>
      <c r="AC1598" s="28">
        <v>369.83</v>
      </c>
      <c r="AD1598" s="28">
        <f>SUM(BASE[[#This Row],[MONTO DE RENTA ]]*1.16)</f>
        <v>429.00279999999998</v>
      </c>
      <c r="AE1598" s="28" t="s">
        <v>63</v>
      </c>
      <c r="AF1598" s="28">
        <v>369.82758620689657</v>
      </c>
      <c r="AG1598" s="28">
        <v>429</v>
      </c>
      <c r="AH1598" s="22" t="s">
        <v>64</v>
      </c>
      <c r="AI1598" s="313">
        <v>45703</v>
      </c>
      <c r="AJ1598" s="313">
        <v>46433</v>
      </c>
      <c r="AK15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598" s="30"/>
      <c r="AN1598" s="20" t="s">
        <v>65</v>
      </c>
      <c r="AP1598" s="20" t="s">
        <v>84</v>
      </c>
    </row>
    <row r="1599" spans="1:43" ht="16">
      <c r="A1599" s="20">
        <v>8112448797</v>
      </c>
      <c r="B1599" s="21">
        <v>6630</v>
      </c>
      <c r="C1599" s="20" t="s">
        <v>7241</v>
      </c>
      <c r="D1599" s="20" t="s">
        <v>405</v>
      </c>
      <c r="E1599" s="20" t="s">
        <v>152</v>
      </c>
      <c r="F1599" s="20" t="s">
        <v>7242</v>
      </c>
      <c r="G1599" s="20" t="s">
        <v>7242</v>
      </c>
      <c r="H1599" s="20" t="s">
        <v>155</v>
      </c>
      <c r="I1599" s="20" t="s">
        <v>7242</v>
      </c>
      <c r="J1599" s="22" t="s">
        <v>7243</v>
      </c>
      <c r="K1599" s="32" t="s">
        <v>7244</v>
      </c>
      <c r="L1599" s="23" t="s">
        <v>92</v>
      </c>
      <c r="M1599" s="24" t="s">
        <v>7738</v>
      </c>
      <c r="N1599" s="23">
        <v>18848002</v>
      </c>
      <c r="O1599" s="25" t="s">
        <v>74</v>
      </c>
      <c r="P1599" s="25" t="s">
        <v>53</v>
      </c>
      <c r="Q1599" s="20" t="s">
        <v>7245</v>
      </c>
      <c r="R1599" s="20">
        <v>43163555</v>
      </c>
      <c r="S1599" s="25" t="s">
        <v>7246</v>
      </c>
      <c r="T1599" s="26" t="s">
        <v>57</v>
      </c>
      <c r="U1599" s="23">
        <v>866223056233936</v>
      </c>
      <c r="V1599" s="27" t="s">
        <v>57</v>
      </c>
      <c r="W1599" s="20" t="s">
        <v>649</v>
      </c>
      <c r="X1599" s="20" t="s">
        <v>650</v>
      </c>
      <c r="Y1599" s="20" t="s">
        <v>650</v>
      </c>
      <c r="Z1599" s="20" t="s">
        <v>167</v>
      </c>
      <c r="AA1599" s="20" t="s">
        <v>168</v>
      </c>
      <c r="AB1599" s="20" t="s">
        <v>96</v>
      </c>
      <c r="AC1599" s="28">
        <v>369.83</v>
      </c>
      <c r="AD1599" s="28">
        <f>SUM(BASE[[#This Row],[MONTO DE RENTA ]]*1.16)</f>
        <v>429.00279999999998</v>
      </c>
      <c r="AE1599" s="28" t="s">
        <v>63</v>
      </c>
      <c r="AF1599" s="28">
        <v>369.82758620689657</v>
      </c>
      <c r="AG1599" s="28">
        <v>429</v>
      </c>
      <c r="AH1599" s="22" t="s">
        <v>64</v>
      </c>
      <c r="AI1599" s="29">
        <v>45669</v>
      </c>
      <c r="AJ1599" s="29">
        <v>46399</v>
      </c>
      <c r="AK159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599" s="30" t="s">
        <v>7247</v>
      </c>
      <c r="AN1599" s="20" t="s">
        <v>65</v>
      </c>
      <c r="AP1599" s="20" t="s">
        <v>84</v>
      </c>
    </row>
    <row r="1600" spans="1:43" ht="16">
      <c r="A1600" s="20">
        <v>8115168873</v>
      </c>
      <c r="B1600" s="49">
        <v>1025436</v>
      </c>
      <c r="C1600" s="20" t="s">
        <v>7248</v>
      </c>
      <c r="D1600" s="20" t="s">
        <v>7249</v>
      </c>
      <c r="E1600" s="20" t="s">
        <v>818</v>
      </c>
      <c r="F1600" s="20" t="s">
        <v>7250</v>
      </c>
      <c r="G1600" s="20" t="s">
        <v>7250</v>
      </c>
      <c r="H1600" s="20" t="s">
        <v>5381</v>
      </c>
      <c r="I1600" s="20" t="s">
        <v>7250</v>
      </c>
      <c r="J1600" s="54" t="s">
        <v>7251</v>
      </c>
      <c r="K1600" s="54" t="s">
        <v>7251</v>
      </c>
      <c r="L1600" s="23" t="s">
        <v>92</v>
      </c>
      <c r="M1600" s="24" t="s">
        <v>7738</v>
      </c>
      <c r="N1600" s="23">
        <v>18848014</v>
      </c>
      <c r="O1600" s="25" t="s">
        <v>74</v>
      </c>
      <c r="P1600" s="25" t="s">
        <v>53</v>
      </c>
      <c r="Q1600" s="20" t="s">
        <v>7252</v>
      </c>
      <c r="R1600" s="20">
        <v>45017369</v>
      </c>
      <c r="S1600" s="25" t="s">
        <v>7253</v>
      </c>
      <c r="T1600" s="44" t="s">
        <v>77</v>
      </c>
      <c r="U1600" s="23">
        <v>356638832340191</v>
      </c>
      <c r="V1600" s="27" t="s">
        <v>78</v>
      </c>
      <c r="W1600" s="20" t="s">
        <v>214</v>
      </c>
      <c r="X1600" s="20" t="s">
        <v>214</v>
      </c>
      <c r="Y1600" s="20" t="s">
        <v>214</v>
      </c>
      <c r="Z1600" s="20" t="s">
        <v>167</v>
      </c>
      <c r="AA1600" s="20" t="s">
        <v>168</v>
      </c>
      <c r="AB1600" s="20" t="s">
        <v>96</v>
      </c>
      <c r="AC1600" s="28">
        <v>369.83</v>
      </c>
      <c r="AD1600" s="28">
        <f>SUM(BASE[[#This Row],[MONTO DE RENTA ]]*1.16)</f>
        <v>429.00279999999998</v>
      </c>
      <c r="AE1600" s="28" t="s">
        <v>83</v>
      </c>
      <c r="AF1600" s="28">
        <v>559.48275862068965</v>
      </c>
      <c r="AG1600" s="28">
        <v>649</v>
      </c>
      <c r="AH1600" s="22" t="s">
        <v>116</v>
      </c>
      <c r="AI1600" s="313">
        <v>45813</v>
      </c>
      <c r="AJ1600" s="313">
        <v>46543</v>
      </c>
      <c r="AK1600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600" s="319">
        <v>18848014</v>
      </c>
      <c r="AM1600" s="30"/>
      <c r="AN1600" s="20" t="s">
        <v>65</v>
      </c>
      <c r="AO1600" s="20" t="s">
        <v>169</v>
      </c>
      <c r="AP1600" s="20" t="s">
        <v>66</v>
      </c>
      <c r="AQ1600" s="20" t="s">
        <v>100</v>
      </c>
    </row>
    <row r="1601" spans="1:43" s="230" customFormat="1" ht="16">
      <c r="A1601" s="20">
        <v>6567065848</v>
      </c>
      <c r="B1601" s="21">
        <v>113292</v>
      </c>
      <c r="C1601" s="20" t="s">
        <v>3244</v>
      </c>
      <c r="D1601" s="20" t="s">
        <v>627</v>
      </c>
      <c r="E1601" s="20" t="s">
        <v>3215</v>
      </c>
      <c r="F1601" s="20" t="s">
        <v>3245</v>
      </c>
      <c r="G1601" s="20" t="s">
        <v>3245</v>
      </c>
      <c r="H1601" s="20" t="s">
        <v>48</v>
      </c>
      <c r="I1601" s="20" t="s">
        <v>3245</v>
      </c>
      <c r="J1601" s="22" t="s">
        <v>7254</v>
      </c>
      <c r="K1601" s="22" t="s">
        <v>7254</v>
      </c>
      <c r="L1601" s="23" t="s">
        <v>3247</v>
      </c>
      <c r="M1601" s="24" t="s">
        <v>7744</v>
      </c>
      <c r="N1601" s="23">
        <v>18723000</v>
      </c>
      <c r="O1601" s="25" t="s">
        <v>362</v>
      </c>
      <c r="P1601" s="25" t="s">
        <v>53</v>
      </c>
      <c r="Q1601" s="20" t="s">
        <v>7255</v>
      </c>
      <c r="R1601" s="20">
        <v>31854563</v>
      </c>
      <c r="S1601" s="25" t="s">
        <v>7256</v>
      </c>
      <c r="T1601" s="26" t="s">
        <v>57</v>
      </c>
      <c r="U1601" s="23">
        <v>860900062257373</v>
      </c>
      <c r="V1601" s="27" t="s">
        <v>57</v>
      </c>
      <c r="W1601" s="20" t="s">
        <v>58</v>
      </c>
      <c r="X1601" s="20" t="s">
        <v>59</v>
      </c>
      <c r="Y1601" s="20" t="s">
        <v>59</v>
      </c>
      <c r="Z1601" s="20" t="s">
        <v>80</v>
      </c>
      <c r="AA1601" s="20" t="s">
        <v>81</v>
      </c>
      <c r="AB1601" s="20" t="s">
        <v>96</v>
      </c>
      <c r="AC1601" s="28">
        <v>369.83</v>
      </c>
      <c r="AD1601" s="28">
        <f>SUM(BASE[[#This Row],[MONTO DE RENTA ]]*1.16)</f>
        <v>429.00279999999998</v>
      </c>
      <c r="AE1601" s="28" t="s">
        <v>63</v>
      </c>
      <c r="AF1601" s="28">
        <v>369.82758620689657</v>
      </c>
      <c r="AG1601" s="28">
        <v>429</v>
      </c>
      <c r="AH1601" s="22"/>
      <c r="AI1601" s="29">
        <v>45940</v>
      </c>
      <c r="AJ1601" s="29">
        <v>46438</v>
      </c>
      <c r="AK16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01" s="20"/>
      <c r="AM1601" s="30"/>
      <c r="AN1601" s="20" t="s">
        <v>65</v>
      </c>
      <c r="AO1601" s="20"/>
      <c r="AP1601" s="20" t="s">
        <v>84</v>
      </c>
      <c r="AQ1601" s="20"/>
    </row>
    <row r="1602" spans="1:43" ht="16">
      <c r="A1602" s="20">
        <v>8115638190</v>
      </c>
      <c r="B1602" s="49">
        <v>6877</v>
      </c>
      <c r="C1602" s="20" t="s">
        <v>7257</v>
      </c>
      <c r="D1602" s="20" t="s">
        <v>7258</v>
      </c>
      <c r="E1602" s="20" t="s">
        <v>4061</v>
      </c>
      <c r="F1602" s="20" t="s">
        <v>7259</v>
      </c>
      <c r="G1602" s="20" t="s">
        <v>7259</v>
      </c>
      <c r="H1602" s="20" t="s">
        <v>5414</v>
      </c>
      <c r="I1602" s="20" t="s">
        <v>7259</v>
      </c>
      <c r="J1602" s="22" t="s">
        <v>7260</v>
      </c>
      <c r="K1602" s="32" t="s">
        <v>7261</v>
      </c>
      <c r="L1602" s="23" t="s">
        <v>92</v>
      </c>
      <c r="M1602" s="24" t="s">
        <v>7738</v>
      </c>
      <c r="N1602" s="23">
        <v>18848061</v>
      </c>
      <c r="O1602" s="25" t="s">
        <v>74</v>
      </c>
      <c r="P1602" s="25" t="s">
        <v>53</v>
      </c>
      <c r="Q1602" s="20" t="s">
        <v>7262</v>
      </c>
      <c r="R1602" s="20">
        <v>42888668</v>
      </c>
      <c r="S1602" s="25" t="s">
        <v>55</v>
      </c>
      <c r="T1602" s="26" t="s">
        <v>56</v>
      </c>
      <c r="U1602" s="23">
        <v>865356065671679</v>
      </c>
      <c r="V1602" s="27" t="s">
        <v>183</v>
      </c>
      <c r="W1602" s="20" t="s">
        <v>129</v>
      </c>
      <c r="X1602" s="20" t="s">
        <v>130</v>
      </c>
      <c r="Y1602" s="20" t="s">
        <v>130</v>
      </c>
      <c r="Z1602" s="20" t="s">
        <v>60</v>
      </c>
      <c r="AA1602" s="20" t="s">
        <v>61</v>
      </c>
      <c r="AB1602" s="20" t="s">
        <v>96</v>
      </c>
      <c r="AC1602" s="28">
        <v>369.83</v>
      </c>
      <c r="AD1602" s="28">
        <f>SUM(BASE[[#This Row],[MONTO DE RENTA ]]*1.16)</f>
        <v>429.00279999999998</v>
      </c>
      <c r="AE1602" s="28" t="s">
        <v>63</v>
      </c>
      <c r="AF1602" s="28">
        <v>369.82758620689657</v>
      </c>
      <c r="AG1602" s="28">
        <v>429</v>
      </c>
      <c r="AI1602" s="313">
        <v>44937</v>
      </c>
      <c r="AJ1602" s="317">
        <v>46043</v>
      </c>
      <c r="AK160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02" s="30"/>
      <c r="AN1602" s="20" t="s">
        <v>99</v>
      </c>
      <c r="AP1602" s="20" t="s">
        <v>84</v>
      </c>
      <c r="AQ1602" s="20" t="s">
        <v>100</v>
      </c>
    </row>
    <row r="1603" spans="1:43" ht="16">
      <c r="A1603" s="20">
        <v>7775005773</v>
      </c>
      <c r="B1603" s="21">
        <v>760247</v>
      </c>
      <c r="C1603" s="20" t="s">
        <v>7263</v>
      </c>
      <c r="D1603" s="20" t="s">
        <v>45</v>
      </c>
      <c r="E1603" s="20" t="s">
        <v>581</v>
      </c>
      <c r="F1603" s="20" t="s">
        <v>5288</v>
      </c>
      <c r="G1603" s="20" t="s">
        <v>5288</v>
      </c>
      <c r="H1603" s="20" t="s">
        <v>5289</v>
      </c>
      <c r="I1603" s="20" t="s">
        <v>5288</v>
      </c>
      <c r="J1603" s="22" t="s">
        <v>7264</v>
      </c>
      <c r="K1603" s="32" t="s">
        <v>7265</v>
      </c>
      <c r="L1603" s="23" t="s">
        <v>92</v>
      </c>
      <c r="M1603" s="24" t="s">
        <v>7738</v>
      </c>
      <c r="N1603" s="23">
        <v>18848028</v>
      </c>
      <c r="O1603" s="25" t="s">
        <v>52</v>
      </c>
      <c r="P1603" s="25" t="s">
        <v>53</v>
      </c>
      <c r="Q1603" s="20" t="s">
        <v>7266</v>
      </c>
      <c r="R1603" s="20">
        <v>92813357</v>
      </c>
      <c r="S1603" s="25" t="s">
        <v>7267</v>
      </c>
      <c r="T1603" s="26" t="s">
        <v>57</v>
      </c>
      <c r="U1603" s="23">
        <v>860900062337936</v>
      </c>
      <c r="V1603" s="27" t="s">
        <v>78</v>
      </c>
      <c r="W1603" s="20" t="s">
        <v>58</v>
      </c>
      <c r="X1603" s="20" t="s">
        <v>59</v>
      </c>
      <c r="Y1603" s="20" t="s">
        <v>59</v>
      </c>
      <c r="Z1603" s="20" t="s">
        <v>167</v>
      </c>
      <c r="AA1603" s="20" t="s">
        <v>168</v>
      </c>
      <c r="AB1603" s="20" t="s">
        <v>96</v>
      </c>
      <c r="AC1603" s="28">
        <v>369.83</v>
      </c>
      <c r="AD1603" s="28">
        <f>SUM(BASE[[#This Row],[MONTO DE RENTA ]]*1.16)</f>
        <v>429.00279999999998</v>
      </c>
      <c r="AE1603" s="28" t="s">
        <v>83</v>
      </c>
      <c r="AF1603" s="28">
        <v>559.48275862068965</v>
      </c>
      <c r="AG1603" s="28">
        <v>649</v>
      </c>
      <c r="AH1603" s="22" t="s">
        <v>64</v>
      </c>
      <c r="AI1603" s="313">
        <v>45703</v>
      </c>
      <c r="AJ1603" s="313">
        <v>46433</v>
      </c>
      <c r="AK160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03"/>
      <c r="AM1603" s="30"/>
      <c r="AN1603" s="20" t="s">
        <v>99</v>
      </c>
      <c r="AP1603" s="20" t="s">
        <v>66</v>
      </c>
      <c r="AQ1603" s="20" t="s">
        <v>100</v>
      </c>
    </row>
    <row r="1604" spans="1:43" ht="16">
      <c r="A1604" s="20">
        <v>8126801181</v>
      </c>
      <c r="B1604" s="21">
        <v>1037723</v>
      </c>
      <c r="C1604" s="20" t="s">
        <v>7268</v>
      </c>
      <c r="D1604" s="20" t="s">
        <v>657</v>
      </c>
      <c r="E1604" s="20" t="s">
        <v>45</v>
      </c>
      <c r="F1604" s="20" t="s">
        <v>7269</v>
      </c>
      <c r="G1604" s="20" t="s">
        <v>7269</v>
      </c>
      <c r="H1604" s="20" t="s">
        <v>5730</v>
      </c>
      <c r="I1604" s="20" t="s">
        <v>7269</v>
      </c>
      <c r="J1604" s="32" t="s">
        <v>7270</v>
      </c>
      <c r="K1604" s="22" t="s">
        <v>7271</v>
      </c>
      <c r="L1604" s="23" t="s">
        <v>92</v>
      </c>
      <c r="M1604" s="24" t="s">
        <v>7738</v>
      </c>
      <c r="N1604" s="23">
        <v>18848085</v>
      </c>
      <c r="O1604" s="25" t="s">
        <v>74</v>
      </c>
      <c r="P1604" s="25" t="s">
        <v>53</v>
      </c>
      <c r="Q1604" s="20" t="s">
        <v>7272</v>
      </c>
      <c r="R1604" s="20">
        <v>44114354</v>
      </c>
      <c r="S1604" s="25" t="s">
        <v>7273</v>
      </c>
      <c r="T1604" s="26" t="s">
        <v>57</v>
      </c>
      <c r="U1604" s="23">
        <v>865356065671919</v>
      </c>
      <c r="V1604" s="27" t="s">
        <v>183</v>
      </c>
      <c r="W1604" s="20" t="s">
        <v>129</v>
      </c>
      <c r="X1604" s="20" t="s">
        <v>130</v>
      </c>
      <c r="Y1604" s="20" t="s">
        <v>130</v>
      </c>
      <c r="Z1604" s="20" t="s">
        <v>167</v>
      </c>
      <c r="AA1604" s="20" t="s">
        <v>168</v>
      </c>
      <c r="AB1604" s="20" t="s">
        <v>96</v>
      </c>
      <c r="AC1604" s="28">
        <v>369.83</v>
      </c>
      <c r="AD1604" s="28">
        <f>SUM(BASE[[#This Row],[MONTO DE RENTA ]]*1.16)</f>
        <v>429.00279999999998</v>
      </c>
      <c r="AE1604" s="28" t="s">
        <v>63</v>
      </c>
      <c r="AF1604" s="28">
        <v>369.82758620689657</v>
      </c>
      <c r="AG1604" s="28">
        <v>429</v>
      </c>
      <c r="AI1604" s="313">
        <v>44937</v>
      </c>
      <c r="AJ1604" s="320">
        <v>46054</v>
      </c>
      <c r="AK160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04" s="30"/>
      <c r="AN1604" s="20" t="s">
        <v>99</v>
      </c>
      <c r="AP1604" s="20" t="s">
        <v>84</v>
      </c>
      <c r="AQ1604" s="20" t="s">
        <v>100</v>
      </c>
    </row>
    <row r="1605" spans="1:43" ht="16">
      <c r="A1605" s="20">
        <v>8135512875</v>
      </c>
      <c r="B1605" s="49">
        <v>1074387</v>
      </c>
      <c r="C1605" s="20" t="s">
        <v>7274</v>
      </c>
      <c r="D1605" s="20" t="s">
        <v>7275</v>
      </c>
      <c r="E1605" s="20" t="s">
        <v>7276</v>
      </c>
      <c r="F1605" s="20" t="s">
        <v>5612</v>
      </c>
      <c r="G1605" s="20" t="s">
        <v>5612</v>
      </c>
      <c r="H1605" s="20" t="s">
        <v>199</v>
      </c>
      <c r="I1605" s="20" t="s">
        <v>5612</v>
      </c>
      <c r="J1605" s="54" t="s">
        <v>7277</v>
      </c>
      <c r="K1605" s="54" t="s">
        <v>7277</v>
      </c>
      <c r="L1605" s="23" t="s">
        <v>92</v>
      </c>
      <c r="M1605" s="24" t="s">
        <v>7738</v>
      </c>
      <c r="N1605" s="23">
        <v>18848076</v>
      </c>
      <c r="O1605" s="25" t="s">
        <v>74</v>
      </c>
      <c r="P1605" s="25" t="s">
        <v>53</v>
      </c>
      <c r="Q1605" s="20" t="s">
        <v>7278</v>
      </c>
      <c r="R1605" s="20">
        <v>44114500</v>
      </c>
      <c r="S1605" s="25" t="s">
        <v>7279</v>
      </c>
      <c r="T1605" s="65" t="s">
        <v>57</v>
      </c>
      <c r="U1605" s="23">
        <v>860900062338553</v>
      </c>
      <c r="V1605" s="27" t="s">
        <v>183</v>
      </c>
      <c r="W1605" s="20" t="s">
        <v>58</v>
      </c>
      <c r="X1605" s="20" t="s">
        <v>59</v>
      </c>
      <c r="Y1605" s="20" t="s">
        <v>59</v>
      </c>
      <c r="Z1605" s="20" t="s">
        <v>167</v>
      </c>
      <c r="AA1605" s="20" t="s">
        <v>168</v>
      </c>
      <c r="AB1605" s="20" t="s">
        <v>96</v>
      </c>
      <c r="AC1605" s="28">
        <v>369.83</v>
      </c>
      <c r="AD1605" s="28">
        <f>SUM(BASE[[#This Row],[MONTO DE RENTA ]]*1.16)</f>
        <v>429.00279999999998</v>
      </c>
      <c r="AE1605" s="28" t="s">
        <v>63</v>
      </c>
      <c r="AF1605" s="28">
        <v>369.82758620689657</v>
      </c>
      <c r="AG1605" s="28">
        <v>429</v>
      </c>
      <c r="AH1605" s="22" t="s">
        <v>98</v>
      </c>
      <c r="AI1605" s="29">
        <v>45365</v>
      </c>
      <c r="AJ1605" s="29">
        <v>46770</v>
      </c>
      <c r="AK1605" s="30">
        <f ca="1">IFERROR(IF(BASE[[#This Row],[FECHA DE RENOVACION ]]&gt;TODAY(), DATEDIF(TODAY(),BASE[[#This Row],[FECHA DE RENOVACION ]],"M"), -DATEDIF(BASE[[#This Row],[FECHA DE RENOVACION ]],TODAY(),"M")), "Sin fecha")</f>
        <v>22</v>
      </c>
      <c r="AL1605" s="20">
        <v>18848076</v>
      </c>
      <c r="AM1605" s="30"/>
      <c r="AN1605" s="20" t="s">
        <v>99</v>
      </c>
      <c r="AP1605" s="20" t="s">
        <v>84</v>
      </c>
      <c r="AQ1605" s="20" t="s">
        <v>100</v>
      </c>
    </row>
    <row r="1606" spans="1:43" ht="16">
      <c r="A1606" s="171">
        <v>8118242604</v>
      </c>
      <c r="B1606" s="213">
        <v>1075329</v>
      </c>
      <c r="C1606" s="20" t="s">
        <v>7274</v>
      </c>
      <c r="D1606" s="20" t="s">
        <v>1768</v>
      </c>
      <c r="E1606" s="20" t="s">
        <v>187</v>
      </c>
      <c r="F1606" s="20" t="s">
        <v>5504</v>
      </c>
      <c r="G1606" s="20" t="s">
        <v>5504</v>
      </c>
      <c r="H1606" s="20" t="s">
        <v>231</v>
      </c>
      <c r="I1606" s="20" t="s">
        <v>5504</v>
      </c>
      <c r="J1606" s="172" t="s">
        <v>7280</v>
      </c>
      <c r="K1606" s="172" t="s">
        <v>7280</v>
      </c>
      <c r="L1606" s="23" t="s">
        <v>92</v>
      </c>
      <c r="M1606" s="24" t="s">
        <v>7738</v>
      </c>
      <c r="N1606" s="23">
        <v>18848062</v>
      </c>
      <c r="O1606" s="25" t="s">
        <v>74</v>
      </c>
      <c r="P1606" s="25" t="s">
        <v>53</v>
      </c>
      <c r="Q1606" s="20" t="s">
        <v>7281</v>
      </c>
      <c r="R1606" s="20">
        <v>45017345</v>
      </c>
      <c r="S1606" s="25" t="s">
        <v>6298</v>
      </c>
      <c r="T1606" s="173" t="s">
        <v>57</v>
      </c>
      <c r="U1606" s="23">
        <v>860900062264718</v>
      </c>
      <c r="V1606" s="174" t="s">
        <v>57</v>
      </c>
      <c r="W1606" s="20" t="s">
        <v>58</v>
      </c>
      <c r="X1606" s="20" t="s">
        <v>59</v>
      </c>
      <c r="Y1606" s="20" t="s">
        <v>59</v>
      </c>
      <c r="Z1606" s="20" t="s">
        <v>131</v>
      </c>
      <c r="AA1606" s="20" t="s">
        <v>132</v>
      </c>
      <c r="AB1606" s="20" t="s">
        <v>96</v>
      </c>
      <c r="AC1606" s="28">
        <v>369.83</v>
      </c>
      <c r="AD1606" s="28">
        <f>SUM(BASE[[#This Row],[MONTO DE RENTA ]]*1.16)</f>
        <v>429.00279999999998</v>
      </c>
      <c r="AE1606" s="28" t="s">
        <v>63</v>
      </c>
      <c r="AF1606" s="28">
        <v>369.82758620689657</v>
      </c>
      <c r="AG1606" s="28">
        <v>429</v>
      </c>
      <c r="AH1606" s="175" t="s">
        <v>98</v>
      </c>
      <c r="AI1606" s="321">
        <v>45680</v>
      </c>
      <c r="AJ1606" s="321">
        <v>46410</v>
      </c>
      <c r="AK1606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606" s="171">
        <v>18848062</v>
      </c>
      <c r="AM1606" s="177"/>
      <c r="AN1606" s="20" t="s">
        <v>65</v>
      </c>
      <c r="AP1606" s="20" t="s">
        <v>84</v>
      </c>
    </row>
    <row r="1607" spans="1:43" ht="16">
      <c r="A1607" s="20">
        <v>2294652733</v>
      </c>
      <c r="B1607" s="49">
        <v>460470</v>
      </c>
      <c r="C1607" s="20" t="s">
        <v>7274</v>
      </c>
      <c r="D1607" s="20" t="s">
        <v>1432</v>
      </c>
      <c r="E1607" s="20" t="s">
        <v>7282</v>
      </c>
      <c r="F1607" s="20" t="s">
        <v>5385</v>
      </c>
      <c r="G1607" s="20" t="s">
        <v>5385</v>
      </c>
      <c r="H1607" s="20" t="s">
        <v>5381</v>
      </c>
      <c r="I1607" s="20" t="s">
        <v>5385</v>
      </c>
      <c r="J1607" s="22" t="s">
        <v>7283</v>
      </c>
      <c r="K1607" s="22" t="s">
        <v>7283</v>
      </c>
      <c r="L1607" s="23" t="s">
        <v>92</v>
      </c>
      <c r="M1607" s="24" t="s">
        <v>7738</v>
      </c>
      <c r="N1607" s="23">
        <v>18848102</v>
      </c>
      <c r="O1607" s="25" t="s">
        <v>828</v>
      </c>
      <c r="P1607" s="25" t="s">
        <v>53</v>
      </c>
      <c r="Q1607" s="20" t="s">
        <v>7284</v>
      </c>
      <c r="R1607" s="20">
        <v>72828733</v>
      </c>
      <c r="S1607" s="25" t="s">
        <v>55</v>
      </c>
      <c r="T1607" s="26" t="s">
        <v>56</v>
      </c>
      <c r="U1607" s="23">
        <v>357654178662790</v>
      </c>
      <c r="V1607" s="27" t="s">
        <v>78</v>
      </c>
      <c r="W1607" s="20" t="s">
        <v>5299</v>
      </c>
      <c r="X1607" s="20" t="s">
        <v>5299</v>
      </c>
      <c r="Y1607" s="20" t="s">
        <v>5299</v>
      </c>
      <c r="Z1607" s="20" t="s">
        <v>60</v>
      </c>
      <c r="AA1607" s="20" t="s">
        <v>61</v>
      </c>
      <c r="AB1607" s="20" t="s">
        <v>82</v>
      </c>
      <c r="AC1607" s="28">
        <v>559.48</v>
      </c>
      <c r="AD1607" s="28">
        <f>SUM(BASE[[#This Row],[MONTO DE RENTA ]]*1.16)</f>
        <v>648.99680000000001</v>
      </c>
      <c r="AE1607" s="28" t="s">
        <v>83</v>
      </c>
      <c r="AF1607" s="28">
        <v>559.48275862068965</v>
      </c>
      <c r="AG1607" s="28">
        <v>649</v>
      </c>
      <c r="AI1607" s="29">
        <v>44937</v>
      </c>
      <c r="AJ1607" s="50">
        <v>46043</v>
      </c>
      <c r="AK160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07" s="30"/>
      <c r="AN1607" s="20" t="s">
        <v>99</v>
      </c>
      <c r="AP1607" s="20" t="s">
        <v>84</v>
      </c>
      <c r="AQ1607" s="20" t="s">
        <v>100</v>
      </c>
    </row>
    <row r="1608" spans="1:43" ht="16">
      <c r="A1608" s="20">
        <v>2211858802</v>
      </c>
      <c r="B1608" s="21">
        <v>690281</v>
      </c>
      <c r="C1608" s="20" t="s">
        <v>7285</v>
      </c>
      <c r="D1608" s="20" t="s">
        <v>5139</v>
      </c>
      <c r="E1608" s="20">
        <v>0</v>
      </c>
      <c r="F1608" s="20" t="s">
        <v>5282</v>
      </c>
      <c r="G1608" s="20" t="s">
        <v>5282</v>
      </c>
      <c r="H1608" s="20" t="s">
        <v>155</v>
      </c>
      <c r="I1608" s="20" t="s">
        <v>5282</v>
      </c>
      <c r="J1608" s="54" t="s">
        <v>7286</v>
      </c>
      <c r="K1608" s="54" t="s">
        <v>7287</v>
      </c>
      <c r="L1608" s="23" t="s">
        <v>92</v>
      </c>
      <c r="M1608" s="24" t="s">
        <v>7738</v>
      </c>
      <c r="N1608" s="23">
        <v>18848080</v>
      </c>
      <c r="O1608" s="25" t="s">
        <v>828</v>
      </c>
      <c r="P1608" s="25" t="s">
        <v>53</v>
      </c>
      <c r="Q1608" s="20" t="s">
        <v>7288</v>
      </c>
      <c r="R1608" s="20">
        <v>75034576</v>
      </c>
      <c r="S1608" s="25" t="s">
        <v>7289</v>
      </c>
      <c r="T1608" s="65" t="s">
        <v>57</v>
      </c>
      <c r="U1608" s="23">
        <v>865356065728586</v>
      </c>
      <c r="V1608" s="27" t="s">
        <v>183</v>
      </c>
      <c r="W1608" s="20" t="s">
        <v>129</v>
      </c>
      <c r="X1608" s="20" t="s">
        <v>130</v>
      </c>
      <c r="Y1608" s="20" t="s">
        <v>130</v>
      </c>
      <c r="Z1608" s="20" t="s">
        <v>167</v>
      </c>
      <c r="AA1608" s="20" t="s">
        <v>168</v>
      </c>
      <c r="AB1608" s="20" t="s">
        <v>96</v>
      </c>
      <c r="AC1608" s="28">
        <v>369.83</v>
      </c>
      <c r="AD1608" s="28">
        <f>SUM(BASE[[#This Row],[MONTO DE RENTA ]]*1.16)</f>
        <v>429.00279999999998</v>
      </c>
      <c r="AE1608" s="28" t="s">
        <v>63</v>
      </c>
      <c r="AF1608" s="28">
        <v>369.82758620689657</v>
      </c>
      <c r="AG1608" s="28">
        <v>429</v>
      </c>
      <c r="AH1608" s="22" t="s">
        <v>98</v>
      </c>
      <c r="AI1608" s="29">
        <v>45350</v>
      </c>
      <c r="AJ1608" s="29">
        <v>46040</v>
      </c>
      <c r="AK160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08" s="30"/>
      <c r="AN1608" s="20" t="s">
        <v>99</v>
      </c>
      <c r="AP1608" s="20" t="s">
        <v>84</v>
      </c>
      <c r="AQ1608" s="20" t="s">
        <v>100</v>
      </c>
    </row>
    <row r="1609" spans="1:43" ht="16">
      <c r="A1609" s="20">
        <v>8123529407</v>
      </c>
      <c r="B1609" s="49">
        <v>4088</v>
      </c>
      <c r="C1609" s="20" t="s">
        <v>964</v>
      </c>
      <c r="D1609" s="20" t="s">
        <v>376</v>
      </c>
      <c r="E1609" s="20" t="s">
        <v>3074</v>
      </c>
      <c r="F1609" s="20" t="s">
        <v>7290</v>
      </c>
      <c r="G1609" s="20" t="s">
        <v>7290</v>
      </c>
      <c r="H1609" s="20" t="s">
        <v>5671</v>
      </c>
      <c r="I1609" s="20" t="s">
        <v>7290</v>
      </c>
      <c r="J1609" s="22" t="s">
        <v>7291</v>
      </c>
      <c r="K1609" s="22" t="s">
        <v>7291</v>
      </c>
      <c r="L1609" s="23" t="s">
        <v>92</v>
      </c>
      <c r="M1609" s="24" t="s">
        <v>7738</v>
      </c>
      <c r="N1609" s="23">
        <v>18848001</v>
      </c>
      <c r="O1609" s="25" t="s">
        <v>74</v>
      </c>
      <c r="P1609" s="25" t="s">
        <v>53</v>
      </c>
      <c r="Q1609" s="20" t="s">
        <v>7292</v>
      </c>
      <c r="R1609" s="20">
        <v>43561350</v>
      </c>
      <c r="S1609" s="25" t="s">
        <v>7293</v>
      </c>
      <c r="T1609" s="26" t="s">
        <v>77</v>
      </c>
      <c r="U1609" s="23">
        <v>351584130371824</v>
      </c>
      <c r="V1609" s="27" t="s">
        <v>78</v>
      </c>
      <c r="W1609" s="20" t="s">
        <v>7294</v>
      </c>
      <c r="X1609" s="20" t="s">
        <v>7294</v>
      </c>
      <c r="Y1609" s="20" t="s">
        <v>7294</v>
      </c>
      <c r="Z1609" s="20" t="s">
        <v>7295</v>
      </c>
      <c r="AA1609" s="20" t="s">
        <v>7296</v>
      </c>
      <c r="AB1609" s="20" t="s">
        <v>7297</v>
      </c>
      <c r="AC1609" s="28">
        <v>861.21</v>
      </c>
      <c r="AD1609" s="28">
        <f>SUM(BASE[[#This Row],[MONTO DE RENTA ]]*1.16)</f>
        <v>999.00360000000001</v>
      </c>
      <c r="AE1609" s="28" t="s">
        <v>7298</v>
      </c>
      <c r="AF1609" s="28">
        <v>904.31034482758628</v>
      </c>
      <c r="AG1609" s="28">
        <v>1049</v>
      </c>
      <c r="AI1609" s="313">
        <v>44937</v>
      </c>
      <c r="AJ1609" s="317">
        <v>46043</v>
      </c>
      <c r="AK160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09" s="30" t="s">
        <v>7299</v>
      </c>
      <c r="AN1609" s="20" t="s">
        <v>99</v>
      </c>
      <c r="AP1609" s="20" t="s">
        <v>66</v>
      </c>
      <c r="AQ1609" s="20" t="s">
        <v>100</v>
      </c>
    </row>
    <row r="1610" spans="1:43" ht="16">
      <c r="A1610" s="20">
        <v>8123536092</v>
      </c>
      <c r="B1610" s="21">
        <v>1024272</v>
      </c>
      <c r="C1610" s="20" t="s">
        <v>989</v>
      </c>
      <c r="D1610" s="20" t="s">
        <v>247</v>
      </c>
      <c r="E1610" s="20" t="s">
        <v>172</v>
      </c>
      <c r="F1610" s="20" t="s">
        <v>7300</v>
      </c>
      <c r="G1610" s="20" t="s">
        <v>7300</v>
      </c>
      <c r="H1610" s="20" t="s">
        <v>48</v>
      </c>
      <c r="I1610" s="20" t="s">
        <v>7300</v>
      </c>
      <c r="J1610" s="22" t="s">
        <v>7301</v>
      </c>
      <c r="K1610" s="22" t="s">
        <v>7301</v>
      </c>
      <c r="L1610" s="23" t="s">
        <v>5007</v>
      </c>
      <c r="M1610" s="24" t="s">
        <v>7752</v>
      </c>
      <c r="N1610" s="23">
        <v>18799000</v>
      </c>
      <c r="O1610" s="25" t="s">
        <v>74</v>
      </c>
      <c r="P1610" s="25" t="s">
        <v>53</v>
      </c>
      <c r="Q1610" s="20" t="s">
        <v>7302</v>
      </c>
      <c r="R1610" s="20">
        <v>43056267</v>
      </c>
      <c r="S1610" s="25" t="s">
        <v>7303</v>
      </c>
      <c r="T1610" s="26" t="s">
        <v>57</v>
      </c>
      <c r="U1610" s="23" t="s">
        <v>193</v>
      </c>
      <c r="V1610" s="27" t="s">
        <v>57</v>
      </c>
      <c r="W1610" s="20" t="s">
        <v>194</v>
      </c>
      <c r="X1610" s="20" t="s">
        <v>194</v>
      </c>
      <c r="Y1610" s="20" t="s">
        <v>194</v>
      </c>
      <c r="Z1610" s="20" t="s">
        <v>167</v>
      </c>
      <c r="AA1610" s="20" t="s">
        <v>168</v>
      </c>
      <c r="AB1610" s="20" t="s">
        <v>96</v>
      </c>
      <c r="AC1610" s="28">
        <v>369.83</v>
      </c>
      <c r="AD1610" s="28">
        <f>SUM(BASE[[#This Row],[MONTO DE RENTA ]]*1.16)</f>
        <v>429.00279999999998</v>
      </c>
      <c r="AE1610" s="28" t="s">
        <v>63</v>
      </c>
      <c r="AF1610" s="28">
        <v>369.82758620689657</v>
      </c>
      <c r="AG1610" s="28">
        <v>429</v>
      </c>
      <c r="AI1610" s="29">
        <v>44937</v>
      </c>
      <c r="AJ1610" s="46">
        <v>46681</v>
      </c>
      <c r="AK1610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610" s="30"/>
      <c r="AN1610" s="20" t="s">
        <v>65</v>
      </c>
      <c r="AP1610" s="20" t="s">
        <v>84</v>
      </c>
    </row>
    <row r="1611" spans="1:43" ht="16">
      <c r="A1611" s="20">
        <v>8113909564</v>
      </c>
      <c r="B1611" s="21">
        <v>6280</v>
      </c>
      <c r="C1611" s="20" t="s">
        <v>7304</v>
      </c>
      <c r="D1611" s="20" t="s">
        <v>2973</v>
      </c>
      <c r="E1611" s="20" t="s">
        <v>324</v>
      </c>
      <c r="F1611" s="20" t="s">
        <v>5295</v>
      </c>
      <c r="G1611" s="20" t="s">
        <v>5295</v>
      </c>
      <c r="H1611" s="20" t="s">
        <v>155</v>
      </c>
      <c r="I1611" s="20" t="s">
        <v>5295</v>
      </c>
      <c r="J1611" s="22" t="s">
        <v>7305</v>
      </c>
      <c r="K1611" s="22" t="s">
        <v>7305</v>
      </c>
      <c r="L1611" s="23" t="s">
        <v>92</v>
      </c>
      <c r="M1611" s="24" t="s">
        <v>7738</v>
      </c>
      <c r="N1611" s="23">
        <v>18848013</v>
      </c>
      <c r="O1611" s="25" t="s">
        <v>74</v>
      </c>
      <c r="P1611" s="25" t="s">
        <v>53</v>
      </c>
      <c r="Q1611" s="20" t="s">
        <v>7306</v>
      </c>
      <c r="R1611" s="20">
        <v>43082977</v>
      </c>
      <c r="S1611" s="25" t="s">
        <v>7307</v>
      </c>
      <c r="T1611" s="26" t="s">
        <v>77</v>
      </c>
      <c r="U1611" s="23">
        <v>358366320010435</v>
      </c>
      <c r="V1611" s="27" t="s">
        <v>78</v>
      </c>
      <c r="W1611" s="20" t="s">
        <v>79</v>
      </c>
      <c r="X1611" s="20" t="s">
        <v>79</v>
      </c>
      <c r="Y1611" s="20" t="s">
        <v>79</v>
      </c>
      <c r="Z1611" s="20" t="s">
        <v>167</v>
      </c>
      <c r="AA1611" s="20" t="s">
        <v>168</v>
      </c>
      <c r="AB1611" s="20" t="s">
        <v>82</v>
      </c>
      <c r="AC1611" s="28">
        <v>559.48</v>
      </c>
      <c r="AD1611" s="28">
        <f>SUM(BASE[[#This Row],[MONTO DE RENTA ]]*1.16)</f>
        <v>648.99680000000001</v>
      </c>
      <c r="AE1611" s="28" t="s">
        <v>83</v>
      </c>
      <c r="AF1611" s="28">
        <v>559.48275862068965</v>
      </c>
      <c r="AG1611" s="28">
        <v>649</v>
      </c>
      <c r="AH1611" s="22" t="s">
        <v>64</v>
      </c>
      <c r="AI1611" s="29">
        <v>45703</v>
      </c>
      <c r="AJ1611" s="29">
        <v>46433</v>
      </c>
      <c r="AK161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11" s="30"/>
      <c r="AN1611" s="20" t="s">
        <v>65</v>
      </c>
      <c r="AP1611" s="20" t="s">
        <v>84</v>
      </c>
    </row>
    <row r="1612" spans="1:43" s="230" customFormat="1" ht="16">
      <c r="A1612" s="230">
        <v>8126810135</v>
      </c>
      <c r="B1612" s="237">
        <v>0</v>
      </c>
      <c r="C1612" s="230" t="s">
        <v>1653</v>
      </c>
      <c r="D1612" s="230" t="s">
        <v>1654</v>
      </c>
      <c r="E1612" s="230" t="s">
        <v>1655</v>
      </c>
      <c r="F1612" s="230" t="s">
        <v>1656</v>
      </c>
      <c r="G1612" s="230" t="s">
        <v>1656</v>
      </c>
      <c r="H1612" s="230" t="s">
        <v>1657</v>
      </c>
      <c r="I1612" s="230" t="s">
        <v>1658</v>
      </c>
      <c r="J1612" s="263" t="s">
        <v>7308</v>
      </c>
      <c r="K1612" s="263" t="s">
        <v>7308</v>
      </c>
      <c r="L1612" s="266" t="s">
        <v>92</v>
      </c>
      <c r="M1612" s="265" t="s">
        <v>7738</v>
      </c>
      <c r="N1612" s="266" t="s">
        <v>1661</v>
      </c>
      <c r="O1612" s="267" t="s">
        <v>74</v>
      </c>
      <c r="P1612" s="25" t="s">
        <v>1662</v>
      </c>
      <c r="Q1612" s="230" t="s">
        <v>7309</v>
      </c>
      <c r="R1612" s="230">
        <v>44114515</v>
      </c>
      <c r="S1612" s="267" t="s">
        <v>7310</v>
      </c>
      <c r="T1612" s="279" t="s">
        <v>7311</v>
      </c>
      <c r="U1612" s="266" t="s">
        <v>193</v>
      </c>
      <c r="V1612" s="280" t="s">
        <v>5634</v>
      </c>
      <c r="W1612" s="230" t="s">
        <v>194</v>
      </c>
      <c r="X1612" s="20" t="s">
        <v>194</v>
      </c>
      <c r="Y1612" s="20" t="s">
        <v>194</v>
      </c>
      <c r="Z1612" s="230" t="s">
        <v>261</v>
      </c>
      <c r="AA1612" s="230" t="s">
        <v>7170</v>
      </c>
      <c r="AB1612" s="230" t="s">
        <v>7312</v>
      </c>
      <c r="AC1612" s="270">
        <v>499.14</v>
      </c>
      <c r="AD1612" s="270">
        <f>SUM(BASE[[#This Row],[MONTO DE RENTA ]]*1.16)</f>
        <v>579.00239999999997</v>
      </c>
      <c r="AE1612" s="270" t="s">
        <v>97</v>
      </c>
      <c r="AF1612" s="270">
        <v>473.27586206896552</v>
      </c>
      <c r="AG1612" s="270">
        <v>549</v>
      </c>
      <c r="AH1612" s="271" t="s">
        <v>64</v>
      </c>
      <c r="AI1612" s="315">
        <v>45323</v>
      </c>
      <c r="AJ1612" s="315">
        <v>46054</v>
      </c>
      <c r="AK1612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M1612" s="273" t="s">
        <v>7313</v>
      </c>
      <c r="AN1612" s="230" t="s">
        <v>99</v>
      </c>
      <c r="AO1612" s="230" t="s">
        <v>141</v>
      </c>
      <c r="AP1612" s="230" t="s">
        <v>84</v>
      </c>
      <c r="AQ1612" s="230" t="s">
        <v>100</v>
      </c>
    </row>
    <row r="1613" spans="1:43" ht="16">
      <c r="A1613" s="230">
        <v>8119881119</v>
      </c>
      <c r="B1613" s="237">
        <v>0</v>
      </c>
      <c r="C1613" s="230" t="s">
        <v>1653</v>
      </c>
      <c r="D1613" s="230" t="s">
        <v>1654</v>
      </c>
      <c r="E1613" s="230" t="s">
        <v>1655</v>
      </c>
      <c r="F1613" s="230" t="s">
        <v>1656</v>
      </c>
      <c r="G1613" s="230" t="s">
        <v>1656</v>
      </c>
      <c r="H1613" s="230" t="s">
        <v>1657</v>
      </c>
      <c r="I1613" s="230" t="s">
        <v>1658</v>
      </c>
      <c r="J1613" s="271" t="s">
        <v>7314</v>
      </c>
      <c r="K1613" s="271" t="s">
        <v>7314</v>
      </c>
      <c r="L1613" s="266" t="s">
        <v>676</v>
      </c>
      <c r="M1613" s="265" t="s">
        <v>7746</v>
      </c>
      <c r="N1613" s="266" t="s">
        <v>1661</v>
      </c>
      <c r="O1613" s="267" t="s">
        <v>74</v>
      </c>
      <c r="P1613" s="25" t="s">
        <v>1662</v>
      </c>
      <c r="Q1613" s="230" t="s">
        <v>7315</v>
      </c>
      <c r="R1613" s="230">
        <v>43292395</v>
      </c>
      <c r="S1613" s="267" t="s">
        <v>7316</v>
      </c>
      <c r="T1613" s="279" t="s">
        <v>57</v>
      </c>
      <c r="U1613" s="266" t="s">
        <v>193</v>
      </c>
      <c r="V1613" s="280" t="s">
        <v>5634</v>
      </c>
      <c r="W1613" s="230" t="s">
        <v>194</v>
      </c>
      <c r="X1613" s="20" t="s">
        <v>194</v>
      </c>
      <c r="Y1613" s="20" t="s">
        <v>194</v>
      </c>
      <c r="Z1613" s="230" t="s">
        <v>131</v>
      </c>
      <c r="AA1613" s="230" t="s">
        <v>132</v>
      </c>
      <c r="AB1613" s="230" t="s">
        <v>96</v>
      </c>
      <c r="AC1613" s="270">
        <v>369.83</v>
      </c>
      <c r="AD1613" s="270">
        <f>SUM(BASE[[#This Row],[MONTO DE RENTA ]]*1.16)</f>
        <v>429.00279999999998</v>
      </c>
      <c r="AE1613" s="28" t="s">
        <v>63</v>
      </c>
      <c r="AF1613" s="270">
        <v>369.82758620689657</v>
      </c>
      <c r="AG1613" s="270">
        <v>429</v>
      </c>
      <c r="AH1613" s="271"/>
      <c r="AI1613" s="315">
        <v>44937</v>
      </c>
      <c r="AJ1613" s="315">
        <v>46681</v>
      </c>
      <c r="AK1613" s="273">
        <f ca="1">IFERROR(IF(BASE[[#This Row],[FECHA DE RENOVACION ]]&gt;TODAY(), DATEDIF(TODAY(),BASE[[#This Row],[FECHA DE RENOVACION ]],"M"), -DATEDIF(BASE[[#This Row],[FECHA DE RENOVACION ]],TODAY(),"M")), "Sin fecha")</f>
        <v>19</v>
      </c>
      <c r="AL1613" s="230"/>
      <c r="AM1613" s="273"/>
      <c r="AN1613" s="230" t="s">
        <v>65</v>
      </c>
      <c r="AO1613" s="230"/>
      <c r="AP1613" s="20" t="s">
        <v>84</v>
      </c>
      <c r="AQ1613" s="230"/>
    </row>
    <row r="1614" spans="1:43" s="230" customFormat="1" ht="16">
      <c r="A1614" s="322">
        <v>8110222490</v>
      </c>
      <c r="B1614" s="235">
        <v>0</v>
      </c>
      <c r="C1614" s="20" t="s">
        <v>1653</v>
      </c>
      <c r="D1614" s="20" t="s">
        <v>1654</v>
      </c>
      <c r="E1614" s="20" t="s">
        <v>1655</v>
      </c>
      <c r="F1614" s="20" t="s">
        <v>1656</v>
      </c>
      <c r="G1614" s="20" t="s">
        <v>1656</v>
      </c>
      <c r="H1614" s="20" t="s">
        <v>1657</v>
      </c>
      <c r="I1614" s="20" t="s">
        <v>1658</v>
      </c>
      <c r="J1614" s="22" t="s">
        <v>7314</v>
      </c>
      <c r="K1614" s="22" t="s">
        <v>7314</v>
      </c>
      <c r="L1614" s="218" t="s">
        <v>92</v>
      </c>
      <c r="M1614" s="219" t="s">
        <v>7738</v>
      </c>
      <c r="N1614" s="23" t="s">
        <v>1661</v>
      </c>
      <c r="O1614" s="25" t="s">
        <v>74</v>
      </c>
      <c r="P1614" s="25" t="s">
        <v>3857</v>
      </c>
      <c r="Q1614" s="20" t="s">
        <v>7317</v>
      </c>
      <c r="R1614" s="20">
        <v>44114636</v>
      </c>
      <c r="S1614" s="25" t="s">
        <v>7318</v>
      </c>
      <c r="T1614" s="221" t="s">
        <v>77</v>
      </c>
      <c r="U1614" s="23" t="s">
        <v>193</v>
      </c>
      <c r="V1614" s="27" t="s">
        <v>78</v>
      </c>
      <c r="W1614" s="20" t="s">
        <v>194</v>
      </c>
      <c r="X1614" s="20" t="s">
        <v>194</v>
      </c>
      <c r="Y1614" s="20" t="s">
        <v>194</v>
      </c>
      <c r="Z1614" s="20">
        <v>0</v>
      </c>
      <c r="AA1614" s="20">
        <v>0</v>
      </c>
      <c r="AB1614" s="20" t="s">
        <v>7319</v>
      </c>
      <c r="AC1614" s="28">
        <v>559.48</v>
      </c>
      <c r="AD1614" s="223">
        <f>SUM(BASE[[#This Row],[MONTO DE RENTA ]]*1.16)</f>
        <v>648.99680000000001</v>
      </c>
      <c r="AE1614" s="223" t="s">
        <v>83</v>
      </c>
      <c r="AF1614" s="223">
        <v>559.48275862068965</v>
      </c>
      <c r="AG1614" s="223">
        <v>649</v>
      </c>
      <c r="AH1614" s="217" t="s">
        <v>116</v>
      </c>
      <c r="AI1614" s="63">
        <v>44937</v>
      </c>
      <c r="AJ1614" s="232">
        <v>46563</v>
      </c>
      <c r="AK1614" s="225">
        <f ca="1">IFERROR(IF(BASE[[#This Row],[FECHA DE RENOVACION ]]&gt;TODAY(), DATEDIF(TODAY(),BASE[[#This Row],[FECHA DE RENOVACION ]],"M"), -DATEDIF(BASE[[#This Row],[FECHA DE RENOVACION ]],TODAY(),"M")), "Sin fecha")</f>
        <v>15</v>
      </c>
      <c r="AL1614" s="87">
        <v>18848087</v>
      </c>
      <c r="AM1614" s="225"/>
      <c r="AN1614" s="20" t="s">
        <v>65</v>
      </c>
      <c r="AO1614" s="20"/>
      <c r="AP1614" s="20" t="s">
        <v>84</v>
      </c>
      <c r="AQ1614" s="20"/>
    </row>
    <row r="1615" spans="1:43" ht="16">
      <c r="A1615" s="230">
        <v>8112122300</v>
      </c>
      <c r="B1615" s="237">
        <v>0</v>
      </c>
      <c r="C1615" s="230" t="s">
        <v>1653</v>
      </c>
      <c r="D1615" s="230" t="s">
        <v>1654</v>
      </c>
      <c r="E1615" s="230" t="s">
        <v>1655</v>
      </c>
      <c r="F1615" s="230" t="s">
        <v>1656</v>
      </c>
      <c r="G1615" s="230" t="s">
        <v>1656</v>
      </c>
      <c r="H1615" s="230" t="s">
        <v>1657</v>
      </c>
      <c r="I1615" s="230" t="s">
        <v>1658</v>
      </c>
      <c r="J1615" s="271" t="s">
        <v>7314</v>
      </c>
      <c r="K1615" s="271" t="s">
        <v>7314</v>
      </c>
      <c r="L1615" s="266" t="s">
        <v>92</v>
      </c>
      <c r="M1615" s="265" t="s">
        <v>7738</v>
      </c>
      <c r="N1615" s="266" t="s">
        <v>1661</v>
      </c>
      <c r="O1615" s="267" t="s">
        <v>74</v>
      </c>
      <c r="P1615" s="25" t="s">
        <v>1662</v>
      </c>
      <c r="Q1615" s="230" t="s">
        <v>7320</v>
      </c>
      <c r="R1615" s="230">
        <v>42781945</v>
      </c>
      <c r="S1615" s="267" t="s">
        <v>7321</v>
      </c>
      <c r="T1615" s="279" t="s">
        <v>57</v>
      </c>
      <c r="U1615" s="266" t="s">
        <v>193</v>
      </c>
      <c r="V1615" s="280" t="s">
        <v>5634</v>
      </c>
      <c r="W1615" s="230" t="s">
        <v>194</v>
      </c>
      <c r="X1615" s="20" t="s">
        <v>194</v>
      </c>
      <c r="Y1615" s="20" t="s">
        <v>194</v>
      </c>
      <c r="Z1615" s="230" t="s">
        <v>131</v>
      </c>
      <c r="AA1615" s="230" t="s">
        <v>132</v>
      </c>
      <c r="AB1615" s="230" t="s">
        <v>96</v>
      </c>
      <c r="AC1615" s="270">
        <v>369.83</v>
      </c>
      <c r="AD1615" s="270">
        <f>SUM(BASE[[#This Row],[MONTO DE RENTA ]]*1.16)</f>
        <v>429.00279999999998</v>
      </c>
      <c r="AE1615" s="28" t="s">
        <v>63</v>
      </c>
      <c r="AF1615" s="270">
        <v>369.82758620689657</v>
      </c>
      <c r="AG1615" s="270">
        <v>429</v>
      </c>
      <c r="AH1615" s="271"/>
      <c r="AI1615" s="323">
        <v>44937</v>
      </c>
      <c r="AJ1615" s="323">
        <v>46681</v>
      </c>
      <c r="AK1615" s="273">
        <f ca="1">IFERROR(IF(BASE[[#This Row],[FECHA DE RENOVACION ]]&gt;TODAY(), DATEDIF(TODAY(),BASE[[#This Row],[FECHA DE RENOVACION ]],"M"), -DATEDIF(BASE[[#This Row],[FECHA DE RENOVACION ]],TODAY(),"M")), "Sin fecha")</f>
        <v>19</v>
      </c>
      <c r="AL1615" s="230"/>
      <c r="AM1615" s="273"/>
      <c r="AN1615" s="230" t="s">
        <v>65</v>
      </c>
      <c r="AO1615" s="230"/>
      <c r="AP1615" s="20" t="s">
        <v>84</v>
      </c>
      <c r="AQ1615" s="230"/>
    </row>
    <row r="1616" spans="1:43" ht="16">
      <c r="A1616" s="87">
        <v>6241284478</v>
      </c>
      <c r="B1616" s="235">
        <v>0</v>
      </c>
      <c r="C1616" s="87" t="s">
        <v>1653</v>
      </c>
      <c r="D1616" s="87" t="s">
        <v>1654</v>
      </c>
      <c r="E1616" s="87" t="s">
        <v>1655</v>
      </c>
      <c r="F1616" s="87" t="s">
        <v>1656</v>
      </c>
      <c r="G1616" s="87" t="s">
        <v>1656</v>
      </c>
      <c r="H1616" s="87" t="s">
        <v>1657</v>
      </c>
      <c r="I1616" s="87" t="s">
        <v>1658</v>
      </c>
      <c r="J1616" s="22" t="s">
        <v>7314</v>
      </c>
      <c r="K1616" s="22" t="s">
        <v>7314</v>
      </c>
      <c r="L1616" s="218" t="s">
        <v>92</v>
      </c>
      <c r="M1616" s="219" t="s">
        <v>7738</v>
      </c>
      <c r="N1616" s="218" t="s">
        <v>1661</v>
      </c>
      <c r="O1616" s="220" t="s">
        <v>126</v>
      </c>
      <c r="P1616" s="25" t="s">
        <v>5460</v>
      </c>
      <c r="Q1616" s="87" t="s">
        <v>7322</v>
      </c>
      <c r="R1616" s="87">
        <v>12553044</v>
      </c>
      <c r="S1616" s="220" t="s">
        <v>55</v>
      </c>
      <c r="T1616" s="221" t="s">
        <v>56</v>
      </c>
      <c r="U1616" s="218" t="s">
        <v>193</v>
      </c>
      <c r="V1616" s="222" t="s">
        <v>183</v>
      </c>
      <c r="W1616" s="87" t="s">
        <v>194</v>
      </c>
      <c r="X1616" s="20" t="s">
        <v>194</v>
      </c>
      <c r="Y1616" s="20" t="s">
        <v>194</v>
      </c>
      <c r="Z1616" s="87" t="s">
        <v>113</v>
      </c>
      <c r="AA1616" s="87" t="s">
        <v>114</v>
      </c>
      <c r="AB1616" s="87" t="s">
        <v>244</v>
      </c>
      <c r="AC1616" s="223">
        <v>473.28</v>
      </c>
      <c r="AD1616" s="223">
        <f>SUM(BASE[[#This Row],[MONTO DE RENTA ]]*1.16)</f>
        <v>549.00479999999993</v>
      </c>
      <c r="AE1616" s="28" t="s">
        <v>63</v>
      </c>
      <c r="AF1616" s="28">
        <v>369.82758620689657</v>
      </c>
      <c r="AG1616" s="223">
        <v>429</v>
      </c>
      <c r="AH1616" s="217"/>
      <c r="AI1616" s="313">
        <v>44937</v>
      </c>
      <c r="AJ1616" s="324">
        <v>46773</v>
      </c>
      <c r="AK1616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16" s="87"/>
      <c r="AM1616" s="225"/>
      <c r="AN1616" s="20" t="s">
        <v>65</v>
      </c>
      <c r="AP1616" s="20" t="s">
        <v>118</v>
      </c>
    </row>
    <row r="1617" spans="1:45" ht="16">
      <c r="A1617" s="87">
        <v>6241573064</v>
      </c>
      <c r="B1617" s="235">
        <v>0</v>
      </c>
      <c r="C1617" s="87" t="s">
        <v>1653</v>
      </c>
      <c r="D1617" s="87" t="s">
        <v>1654</v>
      </c>
      <c r="E1617" s="87" t="s">
        <v>1655</v>
      </c>
      <c r="F1617" s="87" t="s">
        <v>1656</v>
      </c>
      <c r="G1617" s="87" t="s">
        <v>1656</v>
      </c>
      <c r="H1617" s="87" t="s">
        <v>1657</v>
      </c>
      <c r="I1617" s="87" t="s">
        <v>1658</v>
      </c>
      <c r="J1617" s="235" t="s">
        <v>7323</v>
      </c>
      <c r="K1617" s="235" t="s">
        <v>7323</v>
      </c>
      <c r="L1617" s="218" t="s">
        <v>92</v>
      </c>
      <c r="M1617" s="219" t="s">
        <v>7738</v>
      </c>
      <c r="N1617" s="218" t="s">
        <v>1661</v>
      </c>
      <c r="O1617" s="220" t="s">
        <v>126</v>
      </c>
      <c r="P1617" s="25" t="s">
        <v>5460</v>
      </c>
      <c r="Q1617" s="87" t="s">
        <v>7324</v>
      </c>
      <c r="R1617" s="87">
        <v>12553042</v>
      </c>
      <c r="S1617" s="220" t="s">
        <v>55</v>
      </c>
      <c r="T1617" s="221" t="s">
        <v>56</v>
      </c>
      <c r="U1617" s="218" t="s">
        <v>193</v>
      </c>
      <c r="V1617" s="222" t="s">
        <v>183</v>
      </c>
      <c r="W1617" s="87" t="s">
        <v>194</v>
      </c>
      <c r="X1617" s="20" t="s">
        <v>194</v>
      </c>
      <c r="Y1617" s="20" t="s">
        <v>194</v>
      </c>
      <c r="Z1617" s="87" t="s">
        <v>113</v>
      </c>
      <c r="AA1617" s="87" t="s">
        <v>114</v>
      </c>
      <c r="AB1617" s="87" t="s">
        <v>244</v>
      </c>
      <c r="AC1617" s="223">
        <v>473.28</v>
      </c>
      <c r="AD1617" s="223">
        <f>SUM(BASE[[#This Row],[MONTO DE RENTA ]]*1.16)</f>
        <v>549.00479999999993</v>
      </c>
      <c r="AE1617" s="28" t="s">
        <v>63</v>
      </c>
      <c r="AF1617" s="28">
        <v>369.82758620689657</v>
      </c>
      <c r="AG1617" s="223">
        <v>429</v>
      </c>
      <c r="AH1617" s="217"/>
      <c r="AI1617" s="313">
        <v>44937</v>
      </c>
      <c r="AJ1617" s="324">
        <v>46773</v>
      </c>
      <c r="AK1617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17" s="87"/>
      <c r="AM1617" s="225"/>
      <c r="AN1617" s="20" t="s">
        <v>65</v>
      </c>
      <c r="AP1617" s="20" t="s">
        <v>118</v>
      </c>
    </row>
    <row r="1618" spans="1:45" ht="16">
      <c r="A1618" s="87">
        <v>6241912569</v>
      </c>
      <c r="B1618" s="235">
        <v>0</v>
      </c>
      <c r="C1618" s="87" t="s">
        <v>1653</v>
      </c>
      <c r="D1618" s="87" t="s">
        <v>1654</v>
      </c>
      <c r="E1618" s="87" t="s">
        <v>1655</v>
      </c>
      <c r="F1618" s="87" t="s">
        <v>1656</v>
      </c>
      <c r="G1618" s="87" t="s">
        <v>1656</v>
      </c>
      <c r="H1618" s="87" t="s">
        <v>1657</v>
      </c>
      <c r="I1618" s="87" t="s">
        <v>1658</v>
      </c>
      <c r="J1618" s="22" t="s">
        <v>7314</v>
      </c>
      <c r="K1618" s="22" t="s">
        <v>7314</v>
      </c>
      <c r="L1618" s="218" t="s">
        <v>92</v>
      </c>
      <c r="M1618" s="219" t="s">
        <v>7738</v>
      </c>
      <c r="N1618" s="218" t="s">
        <v>1661</v>
      </c>
      <c r="O1618" s="220" t="s">
        <v>126</v>
      </c>
      <c r="P1618" s="25" t="s">
        <v>5460</v>
      </c>
      <c r="Q1618" s="87" t="s">
        <v>7325</v>
      </c>
      <c r="R1618" s="87">
        <v>12553039</v>
      </c>
      <c r="S1618" s="220" t="s">
        <v>55</v>
      </c>
      <c r="T1618" s="221" t="s">
        <v>56</v>
      </c>
      <c r="U1618" s="218" t="s">
        <v>193</v>
      </c>
      <c r="V1618" s="222" t="s">
        <v>183</v>
      </c>
      <c r="W1618" s="87" t="s">
        <v>194</v>
      </c>
      <c r="X1618" s="20" t="s">
        <v>194</v>
      </c>
      <c r="Y1618" s="20" t="s">
        <v>194</v>
      </c>
      <c r="Z1618" s="87" t="s">
        <v>113</v>
      </c>
      <c r="AA1618" s="87" t="s">
        <v>114</v>
      </c>
      <c r="AB1618" s="87" t="s">
        <v>244</v>
      </c>
      <c r="AC1618" s="223">
        <v>473.28</v>
      </c>
      <c r="AD1618" s="223">
        <f>SUM(BASE[[#This Row],[MONTO DE RENTA ]]*1.16)</f>
        <v>549.00479999999993</v>
      </c>
      <c r="AE1618" s="28" t="s">
        <v>63</v>
      </c>
      <c r="AF1618" s="28">
        <v>369.82758620689657</v>
      </c>
      <c r="AG1618" s="223">
        <v>429</v>
      </c>
      <c r="AH1618" s="217"/>
      <c r="AI1618" s="313">
        <v>44937</v>
      </c>
      <c r="AJ1618" s="324">
        <v>46773</v>
      </c>
      <c r="AK1618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18" s="87"/>
      <c r="AM1618" s="225"/>
      <c r="AN1618" s="20" t="s">
        <v>65</v>
      </c>
      <c r="AP1618" s="20" t="s">
        <v>118</v>
      </c>
      <c r="AS1618" s="28" t="e">
        <f>SUM(BASE[[MONTO DE RENTA ]])</f>
        <v>#N/A</v>
      </c>
    </row>
    <row r="1619" spans="1:45" ht="16">
      <c r="A1619" s="87">
        <v>6241295539</v>
      </c>
      <c r="B1619" s="235">
        <v>0</v>
      </c>
      <c r="C1619" s="87" t="s">
        <v>1653</v>
      </c>
      <c r="D1619" s="87" t="s">
        <v>1654</v>
      </c>
      <c r="E1619" s="87" t="s">
        <v>1655</v>
      </c>
      <c r="F1619" s="87" t="s">
        <v>1656</v>
      </c>
      <c r="G1619" s="87" t="s">
        <v>1656</v>
      </c>
      <c r="H1619" s="87" t="s">
        <v>1657</v>
      </c>
      <c r="I1619" s="87" t="s">
        <v>1658</v>
      </c>
      <c r="J1619" s="235" t="s">
        <v>7323</v>
      </c>
      <c r="K1619" s="22" t="s">
        <v>7314</v>
      </c>
      <c r="L1619" s="218" t="s">
        <v>92</v>
      </c>
      <c r="M1619" s="219" t="s">
        <v>7738</v>
      </c>
      <c r="N1619" s="218" t="s">
        <v>1661</v>
      </c>
      <c r="O1619" s="220" t="s">
        <v>126</v>
      </c>
      <c r="P1619" s="25" t="s">
        <v>5460</v>
      </c>
      <c r="Q1619" s="87" t="s">
        <v>7326</v>
      </c>
      <c r="R1619" s="87">
        <v>12553799</v>
      </c>
      <c r="S1619" s="220" t="s">
        <v>55</v>
      </c>
      <c r="T1619" s="221" t="s">
        <v>56</v>
      </c>
      <c r="U1619" s="218" t="s">
        <v>193</v>
      </c>
      <c r="V1619" s="222" t="s">
        <v>183</v>
      </c>
      <c r="W1619" s="87" t="s">
        <v>194</v>
      </c>
      <c r="X1619" s="20" t="s">
        <v>194</v>
      </c>
      <c r="Y1619" s="20" t="s">
        <v>194</v>
      </c>
      <c r="Z1619" s="87" t="s">
        <v>7327</v>
      </c>
      <c r="AA1619" s="87" t="s">
        <v>7328</v>
      </c>
      <c r="AB1619" s="87" t="s">
        <v>244</v>
      </c>
      <c r="AC1619" s="223">
        <v>473.28</v>
      </c>
      <c r="AD1619" s="223">
        <f>SUM(BASE[[#This Row],[MONTO DE RENTA ]]*1.16)</f>
        <v>549.00479999999993</v>
      </c>
      <c r="AE1619" s="28" t="s">
        <v>63</v>
      </c>
      <c r="AF1619" s="28">
        <v>369.82758620689657</v>
      </c>
      <c r="AG1619" s="223">
        <v>429</v>
      </c>
      <c r="AH1619" s="217"/>
      <c r="AI1619" s="313">
        <v>44937</v>
      </c>
      <c r="AJ1619" s="257">
        <v>46773</v>
      </c>
      <c r="AK1619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19" s="87"/>
      <c r="AM1619" s="225"/>
      <c r="AN1619" s="20" t="s">
        <v>65</v>
      </c>
      <c r="AP1619" s="20" t="s">
        <v>118</v>
      </c>
    </row>
    <row r="1620" spans="1:45" ht="16">
      <c r="A1620" s="87">
        <v>8116084942</v>
      </c>
      <c r="B1620" s="235">
        <v>0</v>
      </c>
      <c r="C1620" s="87" t="s">
        <v>1653</v>
      </c>
      <c r="D1620" s="87" t="s">
        <v>1654</v>
      </c>
      <c r="E1620" s="87" t="s">
        <v>1655</v>
      </c>
      <c r="F1620" s="87" t="s">
        <v>1656</v>
      </c>
      <c r="G1620" s="87" t="s">
        <v>1656</v>
      </c>
      <c r="H1620" s="87" t="s">
        <v>1657</v>
      </c>
      <c r="I1620" s="87" t="s">
        <v>1658</v>
      </c>
      <c r="J1620" s="325" t="s">
        <v>7329</v>
      </c>
      <c r="K1620" s="325" t="s">
        <v>7329</v>
      </c>
      <c r="L1620" s="218" t="s">
        <v>92</v>
      </c>
      <c r="M1620" s="219" t="s">
        <v>7738</v>
      </c>
      <c r="N1620" s="218" t="s">
        <v>1661</v>
      </c>
      <c r="O1620" s="220" t="s">
        <v>74</v>
      </c>
      <c r="P1620" s="25" t="s">
        <v>5460</v>
      </c>
      <c r="Q1620" s="87" t="s">
        <v>7330</v>
      </c>
      <c r="R1620" s="87">
        <v>43149862</v>
      </c>
      <c r="S1620" s="220" t="s">
        <v>7331</v>
      </c>
      <c r="T1620" s="221" t="s">
        <v>57</v>
      </c>
      <c r="U1620" s="218" t="s">
        <v>193</v>
      </c>
      <c r="V1620" s="222" t="s">
        <v>57</v>
      </c>
      <c r="W1620" s="87" t="s">
        <v>194</v>
      </c>
      <c r="X1620" s="20" t="s">
        <v>194</v>
      </c>
      <c r="Y1620" s="20" t="s">
        <v>194</v>
      </c>
      <c r="Z1620" s="87" t="s">
        <v>131</v>
      </c>
      <c r="AA1620" s="87" t="s">
        <v>132</v>
      </c>
      <c r="AB1620" s="87" t="s">
        <v>96</v>
      </c>
      <c r="AC1620" s="223">
        <v>369.83</v>
      </c>
      <c r="AD1620" s="223">
        <f>SUM(BASE[[#This Row],[MONTO DE RENTA ]]*1.16)</f>
        <v>429.00279999999998</v>
      </c>
      <c r="AE1620" s="28" t="s">
        <v>63</v>
      </c>
      <c r="AF1620" s="223">
        <v>369.82758620689657</v>
      </c>
      <c r="AG1620" s="223">
        <v>429</v>
      </c>
      <c r="AH1620" s="217"/>
      <c r="AI1620" s="29">
        <v>44937</v>
      </c>
      <c r="AJ1620" s="224">
        <v>46681</v>
      </c>
      <c r="AK1620" s="225">
        <f ca="1">IFERROR(IF(BASE[[#This Row],[FECHA DE RENOVACION ]]&gt;TODAY(), DATEDIF(TODAY(),BASE[[#This Row],[FECHA DE RENOVACION ]],"M"), -DATEDIF(BASE[[#This Row],[FECHA DE RENOVACION ]],TODAY(),"M")), "Sin fecha")</f>
        <v>19</v>
      </c>
      <c r="AL1620" s="87"/>
      <c r="AM1620" s="225"/>
      <c r="AN1620" s="20" t="s">
        <v>65</v>
      </c>
      <c r="AP1620" s="20" t="s">
        <v>84</v>
      </c>
    </row>
    <row r="1621" spans="1:45" s="230" customFormat="1" ht="16">
      <c r="A1621" s="87">
        <v>8118229055</v>
      </c>
      <c r="B1621" s="235">
        <v>0</v>
      </c>
      <c r="C1621" s="87" t="s">
        <v>1653</v>
      </c>
      <c r="D1621" s="87" t="s">
        <v>1654</v>
      </c>
      <c r="E1621" s="87" t="s">
        <v>1655</v>
      </c>
      <c r="F1621" s="87" t="s">
        <v>1656</v>
      </c>
      <c r="G1621" s="87" t="s">
        <v>1656</v>
      </c>
      <c r="H1621" s="87" t="s">
        <v>1657</v>
      </c>
      <c r="I1621" s="87" t="s">
        <v>1658</v>
      </c>
      <c r="J1621" s="325" t="s">
        <v>7329</v>
      </c>
      <c r="K1621" s="325" t="s">
        <v>7329</v>
      </c>
      <c r="L1621" s="218" t="s">
        <v>92</v>
      </c>
      <c r="M1621" s="219" t="s">
        <v>7738</v>
      </c>
      <c r="N1621" s="218" t="s">
        <v>1661</v>
      </c>
      <c r="O1621" s="220" t="s">
        <v>74</v>
      </c>
      <c r="P1621" s="25" t="s">
        <v>5460</v>
      </c>
      <c r="Q1621" s="87" t="s">
        <v>7332</v>
      </c>
      <c r="R1621" s="87">
        <v>45521988</v>
      </c>
      <c r="S1621" s="220" t="s">
        <v>7333</v>
      </c>
      <c r="T1621" s="221" t="s">
        <v>57</v>
      </c>
      <c r="U1621" s="218" t="s">
        <v>193</v>
      </c>
      <c r="V1621" s="222" t="s">
        <v>183</v>
      </c>
      <c r="W1621" s="87" t="s">
        <v>194</v>
      </c>
      <c r="X1621" s="20" t="s">
        <v>194</v>
      </c>
      <c r="Y1621" s="20" t="s">
        <v>194</v>
      </c>
      <c r="Z1621" s="87" t="s">
        <v>113</v>
      </c>
      <c r="AA1621" s="87" t="s">
        <v>114</v>
      </c>
      <c r="AB1621" s="87" t="s">
        <v>115</v>
      </c>
      <c r="AC1621" s="223">
        <v>559.48</v>
      </c>
      <c r="AD1621" s="223">
        <f>SUM(BASE[[#This Row],[MONTO DE RENTA ]]*1.16)</f>
        <v>648.99680000000001</v>
      </c>
      <c r="AE1621" s="28" t="s">
        <v>83</v>
      </c>
      <c r="AF1621" s="28">
        <v>559.48275862068965</v>
      </c>
      <c r="AG1621" s="223">
        <v>649</v>
      </c>
      <c r="AH1621" s="217"/>
      <c r="AI1621" s="63">
        <v>44937</v>
      </c>
      <c r="AJ1621" s="256">
        <v>46773</v>
      </c>
      <c r="AK1621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21" s="87"/>
      <c r="AM1621" s="225"/>
      <c r="AN1621" s="20" t="s">
        <v>65</v>
      </c>
      <c r="AO1621" s="20"/>
      <c r="AP1621" s="20" t="s">
        <v>84</v>
      </c>
      <c r="AQ1621" s="20"/>
    </row>
    <row r="1622" spans="1:45" ht="16">
      <c r="A1622" s="87">
        <v>6241613457</v>
      </c>
      <c r="B1622" s="235">
        <v>0</v>
      </c>
      <c r="C1622" s="87" t="s">
        <v>1653</v>
      </c>
      <c r="D1622" s="87" t="s">
        <v>1654</v>
      </c>
      <c r="E1622" s="87" t="s">
        <v>1655</v>
      </c>
      <c r="F1622" s="87" t="s">
        <v>1656</v>
      </c>
      <c r="G1622" s="87" t="s">
        <v>1656</v>
      </c>
      <c r="H1622" s="87" t="s">
        <v>1657</v>
      </c>
      <c r="I1622" s="87" t="s">
        <v>1658</v>
      </c>
      <c r="J1622" s="235" t="s">
        <v>7323</v>
      </c>
      <c r="K1622" s="22" t="s">
        <v>7314</v>
      </c>
      <c r="L1622" s="218" t="s">
        <v>92</v>
      </c>
      <c r="M1622" s="219" t="s">
        <v>7738</v>
      </c>
      <c r="N1622" s="218" t="s">
        <v>1661</v>
      </c>
      <c r="O1622" s="220" t="s">
        <v>126</v>
      </c>
      <c r="P1622" s="25" t="s">
        <v>5460</v>
      </c>
      <c r="Q1622" s="87" t="s">
        <v>7334</v>
      </c>
      <c r="R1622" s="87">
        <v>12553047</v>
      </c>
      <c r="S1622" s="220" t="s">
        <v>55</v>
      </c>
      <c r="T1622" s="221" t="s">
        <v>56</v>
      </c>
      <c r="U1622" s="218" t="s">
        <v>193</v>
      </c>
      <c r="V1622" s="222" t="s">
        <v>183</v>
      </c>
      <c r="W1622" s="87" t="s">
        <v>194</v>
      </c>
      <c r="X1622" s="20" t="s">
        <v>194</v>
      </c>
      <c r="Y1622" s="20" t="s">
        <v>194</v>
      </c>
      <c r="Z1622" s="87" t="s">
        <v>113</v>
      </c>
      <c r="AA1622" s="87" t="s">
        <v>114</v>
      </c>
      <c r="AB1622" s="87" t="s">
        <v>244</v>
      </c>
      <c r="AC1622" s="223">
        <v>473.28</v>
      </c>
      <c r="AD1622" s="223">
        <f>SUM(BASE[[#This Row],[MONTO DE RENTA ]]*1.16)</f>
        <v>549.00479999999993</v>
      </c>
      <c r="AE1622" s="28" t="s">
        <v>63</v>
      </c>
      <c r="AF1622" s="28">
        <v>369.82758620689657</v>
      </c>
      <c r="AG1622" s="28">
        <v>429</v>
      </c>
      <c r="AH1622" s="217"/>
      <c r="AI1622" s="29">
        <v>44937</v>
      </c>
      <c r="AJ1622" s="257">
        <v>46773</v>
      </c>
      <c r="AK1622" s="225">
        <f ca="1">IFERROR(IF(BASE[[#This Row],[FECHA DE RENOVACION ]]&gt;TODAY(), DATEDIF(TODAY(),BASE[[#This Row],[FECHA DE RENOVACION ]],"M"), -DATEDIF(BASE[[#This Row],[FECHA DE RENOVACION ]],TODAY(),"M")), "Sin fecha")</f>
        <v>22</v>
      </c>
      <c r="AL1622" s="87"/>
      <c r="AM1622" s="225"/>
      <c r="AN1622" s="20" t="s">
        <v>65</v>
      </c>
      <c r="AP1622" s="20" t="s">
        <v>118</v>
      </c>
    </row>
    <row r="1623" spans="1:45" s="230" customFormat="1" ht="16">
      <c r="A1623" s="230">
        <v>3315488233</v>
      </c>
      <c r="B1623" s="237">
        <v>1024458</v>
      </c>
      <c r="C1623" s="20" t="s">
        <v>5211</v>
      </c>
      <c r="D1623" s="20" t="s">
        <v>5212</v>
      </c>
      <c r="E1623" s="20" t="s">
        <v>598</v>
      </c>
      <c r="F1623" s="20" t="s">
        <v>257</v>
      </c>
      <c r="G1623" s="20" t="s">
        <v>257</v>
      </c>
      <c r="H1623" s="20" t="s">
        <v>48</v>
      </c>
      <c r="I1623" s="20" t="s">
        <v>257</v>
      </c>
      <c r="J1623" s="22" t="s">
        <v>7314</v>
      </c>
      <c r="K1623" s="22" t="s">
        <v>7314</v>
      </c>
      <c r="L1623" s="266" t="s">
        <v>3429</v>
      </c>
      <c r="M1623" s="24" t="s">
        <v>7746</v>
      </c>
      <c r="N1623" s="23">
        <v>18727000</v>
      </c>
      <c r="O1623" s="25" t="s">
        <v>677</v>
      </c>
      <c r="P1623" s="25" t="s">
        <v>1662</v>
      </c>
      <c r="Q1623" s="20" t="s">
        <v>7335</v>
      </c>
      <c r="R1623" s="20">
        <v>53345590</v>
      </c>
      <c r="S1623" s="25" t="s">
        <v>7336</v>
      </c>
      <c r="T1623" s="26" t="s">
        <v>57</v>
      </c>
      <c r="U1623" s="23" t="s">
        <v>193</v>
      </c>
      <c r="V1623" s="45" t="s">
        <v>110</v>
      </c>
      <c r="W1623" s="20" t="s">
        <v>194</v>
      </c>
      <c r="X1623" s="20" t="s">
        <v>194</v>
      </c>
      <c r="Y1623" s="20" t="s">
        <v>194</v>
      </c>
      <c r="Z1623" s="20" t="s">
        <v>80</v>
      </c>
      <c r="AA1623" s="20" t="s">
        <v>81</v>
      </c>
      <c r="AB1623" s="20" t="s">
        <v>82</v>
      </c>
      <c r="AC1623" s="28">
        <v>559.48</v>
      </c>
      <c r="AD1623" s="28">
        <f>SUM(BASE[[#This Row],[MONTO DE RENTA ]]*1.16)</f>
        <v>648.99680000000001</v>
      </c>
      <c r="AE1623" s="28" t="s">
        <v>83</v>
      </c>
      <c r="AF1623" s="28">
        <v>559.48275862068965</v>
      </c>
      <c r="AG1623" s="28">
        <v>649</v>
      </c>
      <c r="AH1623" s="22" t="s">
        <v>64</v>
      </c>
      <c r="AI1623" s="29">
        <v>45703</v>
      </c>
      <c r="AJ1623" s="29">
        <v>46433</v>
      </c>
      <c r="AK162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23" s="273"/>
      <c r="AN1623" s="20" t="s">
        <v>65</v>
      </c>
      <c r="AO1623" s="20"/>
      <c r="AP1623" s="20" t="s">
        <v>84</v>
      </c>
      <c r="AQ1623" s="20"/>
    </row>
    <row r="1624" spans="1:45" s="230" customFormat="1" ht="16">
      <c r="A1624" s="230">
        <v>8110744400</v>
      </c>
      <c r="B1624" s="235">
        <v>0</v>
      </c>
      <c r="C1624" s="230" t="s">
        <v>1653</v>
      </c>
      <c r="D1624" s="230" t="s">
        <v>1654</v>
      </c>
      <c r="E1624" s="230" t="s">
        <v>1655</v>
      </c>
      <c r="F1624" s="230" t="s">
        <v>1656</v>
      </c>
      <c r="G1624" s="230" t="s">
        <v>1656</v>
      </c>
      <c r="H1624" s="230" t="s">
        <v>1657</v>
      </c>
      <c r="I1624" s="230" t="s">
        <v>1658</v>
      </c>
      <c r="J1624" s="271" t="s">
        <v>7314</v>
      </c>
      <c r="K1624" s="271" t="s">
        <v>7314</v>
      </c>
      <c r="L1624" s="266" t="s">
        <v>92</v>
      </c>
      <c r="M1624" s="265" t="s">
        <v>7738</v>
      </c>
      <c r="N1624" s="266" t="s">
        <v>1661</v>
      </c>
      <c r="O1624" s="267" t="s">
        <v>74</v>
      </c>
      <c r="P1624" s="25" t="s">
        <v>1662</v>
      </c>
      <c r="Q1624" s="230" t="s">
        <v>7337</v>
      </c>
      <c r="R1624" s="230">
        <v>42781938</v>
      </c>
      <c r="S1624" s="267" t="s">
        <v>55</v>
      </c>
      <c r="T1624" s="279" t="s">
        <v>56</v>
      </c>
      <c r="U1624" s="266" t="s">
        <v>193</v>
      </c>
      <c r="V1624" s="280" t="s">
        <v>5634</v>
      </c>
      <c r="W1624" s="230" t="s">
        <v>194</v>
      </c>
      <c r="X1624" s="20" t="s">
        <v>194</v>
      </c>
      <c r="Y1624" s="20" t="s">
        <v>194</v>
      </c>
      <c r="Z1624" s="230" t="s">
        <v>60</v>
      </c>
      <c r="AA1624" s="230" t="s">
        <v>61</v>
      </c>
      <c r="AB1624" s="230" t="s">
        <v>96</v>
      </c>
      <c r="AC1624" s="270">
        <v>369.83</v>
      </c>
      <c r="AD1624" s="270">
        <f>SUM(BASE[[#This Row],[MONTO DE RENTA ]]*1.16)</f>
        <v>429.00279999999998</v>
      </c>
      <c r="AE1624" s="28" t="s">
        <v>63</v>
      </c>
      <c r="AF1624" s="270">
        <v>369.82758620689657</v>
      </c>
      <c r="AG1624" s="270">
        <v>429</v>
      </c>
      <c r="AH1624" s="271" t="s">
        <v>64</v>
      </c>
      <c r="AI1624" s="323">
        <v>45323</v>
      </c>
      <c r="AJ1624" s="323">
        <v>46054</v>
      </c>
      <c r="AK1624" s="273">
        <f ca="1">IFERROR(IF(BASE[[#This Row],[FECHA DE RENOVACION ]]&gt;TODAY(), DATEDIF(TODAY(),BASE[[#This Row],[FECHA DE RENOVACION ]],"M"), -DATEDIF(BASE[[#This Row],[FECHA DE RENOVACION ]],TODAY(),"M")), "Sin fecha")</f>
        <v>-1</v>
      </c>
      <c r="AM1624" s="273"/>
      <c r="AN1624" s="230" t="s">
        <v>99</v>
      </c>
      <c r="AO1624" s="230" t="s">
        <v>169</v>
      </c>
      <c r="AP1624" s="20" t="s">
        <v>84</v>
      </c>
      <c r="AQ1624" s="230" t="s">
        <v>100</v>
      </c>
    </row>
    <row r="1625" spans="1:45" ht="16">
      <c r="A1625" s="20">
        <v>8120363658</v>
      </c>
      <c r="B1625" s="21">
        <v>1052953</v>
      </c>
      <c r="C1625" s="20" t="s">
        <v>7338</v>
      </c>
      <c r="D1625" s="20" t="s">
        <v>187</v>
      </c>
      <c r="E1625" s="20" t="s">
        <v>2859</v>
      </c>
      <c r="F1625" s="20" t="s">
        <v>7339</v>
      </c>
      <c r="G1625" s="20" t="s">
        <v>7339</v>
      </c>
      <c r="H1625" s="20" t="s">
        <v>5381</v>
      </c>
      <c r="I1625" s="20" t="s">
        <v>7339</v>
      </c>
      <c r="J1625" s="54" t="s">
        <v>7340</v>
      </c>
      <c r="K1625" s="54" t="s">
        <v>7340</v>
      </c>
      <c r="L1625" s="23" t="s">
        <v>92</v>
      </c>
      <c r="M1625" s="24" t="s">
        <v>7738</v>
      </c>
      <c r="N1625" s="23">
        <v>18848084</v>
      </c>
      <c r="O1625" s="25" t="s">
        <v>74</v>
      </c>
      <c r="P1625" s="25" t="s">
        <v>53</v>
      </c>
      <c r="Q1625" s="20" t="s">
        <v>7341</v>
      </c>
      <c r="R1625" s="20">
        <v>42781939</v>
      </c>
      <c r="S1625" s="25" t="s">
        <v>55</v>
      </c>
      <c r="T1625" s="44" t="s">
        <v>56</v>
      </c>
      <c r="U1625" s="23">
        <v>865356065729493</v>
      </c>
      <c r="V1625" s="27" t="s">
        <v>183</v>
      </c>
      <c r="W1625" s="20" t="s">
        <v>129</v>
      </c>
      <c r="X1625" s="20" t="s">
        <v>130</v>
      </c>
      <c r="Y1625" s="20" t="s">
        <v>130</v>
      </c>
      <c r="Z1625" s="20" t="s">
        <v>60</v>
      </c>
      <c r="AA1625" s="20" t="s">
        <v>61</v>
      </c>
      <c r="AB1625" s="20" t="s">
        <v>96</v>
      </c>
      <c r="AC1625" s="28">
        <v>369.83</v>
      </c>
      <c r="AD1625" s="28">
        <f>SUM(BASE[[#This Row],[MONTO DE RENTA ]]*1.16)</f>
        <v>429.00279999999998</v>
      </c>
      <c r="AE1625" s="28" t="s">
        <v>63</v>
      </c>
      <c r="AF1625" s="28">
        <v>369.82758620689657</v>
      </c>
      <c r="AG1625" s="28">
        <v>429</v>
      </c>
      <c r="AH1625" s="22" t="s">
        <v>64</v>
      </c>
      <c r="AI1625" s="29">
        <v>45323</v>
      </c>
      <c r="AJ1625" s="29">
        <v>46054</v>
      </c>
      <c r="AK162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25" s="30" t="s">
        <v>7342</v>
      </c>
      <c r="AN1625" s="20" t="s">
        <v>99</v>
      </c>
      <c r="AO1625" s="20" t="s">
        <v>141</v>
      </c>
      <c r="AP1625" s="20" t="s">
        <v>84</v>
      </c>
      <c r="AQ1625" s="20" t="s">
        <v>100</v>
      </c>
    </row>
    <row r="1626" spans="1:45" ht="16">
      <c r="A1626" s="87">
        <v>8110503084</v>
      </c>
      <c r="B1626" s="235">
        <v>0</v>
      </c>
      <c r="C1626" s="87" t="s">
        <v>1653</v>
      </c>
      <c r="D1626" s="87" t="s">
        <v>1654</v>
      </c>
      <c r="E1626" s="87" t="s">
        <v>1655</v>
      </c>
      <c r="F1626" s="87" t="s">
        <v>1656</v>
      </c>
      <c r="G1626" s="87" t="s">
        <v>1656</v>
      </c>
      <c r="H1626" s="87" t="s">
        <v>1657</v>
      </c>
      <c r="I1626" s="87" t="s">
        <v>1658</v>
      </c>
      <c r="J1626" s="22" t="s">
        <v>7314</v>
      </c>
      <c r="K1626" s="22" t="s">
        <v>7314</v>
      </c>
      <c r="L1626" s="218" t="s">
        <v>92</v>
      </c>
      <c r="M1626" s="219" t="s">
        <v>7738</v>
      </c>
      <c r="N1626" s="218" t="s">
        <v>1661</v>
      </c>
      <c r="O1626" s="220" t="s">
        <v>74</v>
      </c>
      <c r="P1626" s="25" t="s">
        <v>5460</v>
      </c>
      <c r="Q1626" s="87" t="s">
        <v>7343</v>
      </c>
      <c r="R1626" s="87">
        <v>45421524</v>
      </c>
      <c r="S1626" s="220" t="s">
        <v>7344</v>
      </c>
      <c r="T1626" s="221" t="s">
        <v>57</v>
      </c>
      <c r="U1626" s="218" t="s">
        <v>193</v>
      </c>
      <c r="V1626" s="222" t="s">
        <v>78</v>
      </c>
      <c r="W1626" s="87" t="s">
        <v>194</v>
      </c>
      <c r="X1626" s="20" t="s">
        <v>194</v>
      </c>
      <c r="Y1626" s="20" t="s">
        <v>194</v>
      </c>
      <c r="Z1626" s="87" t="s">
        <v>167</v>
      </c>
      <c r="AA1626" s="87" t="s">
        <v>168</v>
      </c>
      <c r="AB1626" s="87" t="s">
        <v>96</v>
      </c>
      <c r="AC1626" s="223">
        <v>369.83</v>
      </c>
      <c r="AD1626" s="223">
        <f>SUM(BASE[[#This Row],[MONTO DE RENTA ]]*1.16)</f>
        <v>429.00279999999998</v>
      </c>
      <c r="AE1626" s="28" t="s">
        <v>83</v>
      </c>
      <c r="AF1626" s="223">
        <v>559.48275862068965</v>
      </c>
      <c r="AG1626" s="223">
        <v>649</v>
      </c>
      <c r="AH1626" s="217" t="s">
        <v>7345</v>
      </c>
      <c r="AI1626" s="224">
        <v>45468</v>
      </c>
      <c r="AJ1626" s="224">
        <v>46198</v>
      </c>
      <c r="AK1626" s="225">
        <f ca="1">IFERROR(IF(BASE[[#This Row],[FECHA DE RENOVACION ]]&gt;TODAY(), DATEDIF(TODAY(),BASE[[#This Row],[FECHA DE RENOVACION ]],"M"), -DATEDIF(BASE[[#This Row],[FECHA DE RENOVACION ]],TODAY(),"M")), "Sin fecha")</f>
        <v>3</v>
      </c>
      <c r="AL1626" s="232">
        <v>46198</v>
      </c>
      <c r="AM1626" s="225"/>
      <c r="AN1626" s="20" t="s">
        <v>65</v>
      </c>
      <c r="AO1626" s="20" t="s">
        <v>169</v>
      </c>
      <c r="AP1626" s="20" t="s">
        <v>66</v>
      </c>
      <c r="AQ1626" s="20" t="s">
        <v>100</v>
      </c>
    </row>
    <row r="1627" spans="1:45" ht="16">
      <c r="A1627" s="20">
        <v>6699250178</v>
      </c>
      <c r="B1627" s="49">
        <v>270626</v>
      </c>
      <c r="C1627" s="20" t="s">
        <v>2618</v>
      </c>
      <c r="D1627" s="20" t="s">
        <v>357</v>
      </c>
      <c r="E1627" s="20" t="s">
        <v>376</v>
      </c>
      <c r="F1627" s="20" t="s">
        <v>70</v>
      </c>
      <c r="G1627" s="20" t="s">
        <v>70</v>
      </c>
      <c r="H1627" s="20" t="s">
        <v>48</v>
      </c>
      <c r="I1627" s="20" t="s">
        <v>70</v>
      </c>
      <c r="J1627" s="193" t="s">
        <v>7346</v>
      </c>
      <c r="K1627" s="193" t="s">
        <v>7346</v>
      </c>
      <c r="L1627" s="23" t="s">
        <v>7347</v>
      </c>
      <c r="M1627" s="24" t="s">
        <v>7740</v>
      </c>
      <c r="N1627" s="23">
        <v>18670000</v>
      </c>
      <c r="O1627" s="25" t="s">
        <v>7348</v>
      </c>
      <c r="P1627" s="25" t="s">
        <v>53</v>
      </c>
      <c r="Q1627" s="20" t="s">
        <v>7349</v>
      </c>
      <c r="R1627" s="20" t="s">
        <v>7350</v>
      </c>
      <c r="S1627" s="25" t="s">
        <v>7351</v>
      </c>
      <c r="T1627" s="44" t="s">
        <v>7352</v>
      </c>
      <c r="U1627" s="23">
        <v>355241448232281</v>
      </c>
      <c r="V1627" s="27" t="s">
        <v>78</v>
      </c>
      <c r="W1627" s="20" t="s">
        <v>2055</v>
      </c>
      <c r="X1627" s="20" t="s">
        <v>2055</v>
      </c>
      <c r="Y1627" s="20" t="s">
        <v>2055</v>
      </c>
      <c r="Z1627" s="20" t="s">
        <v>7352</v>
      </c>
      <c r="AA1627" s="20" t="s">
        <v>7353</v>
      </c>
      <c r="AB1627" s="20" t="s">
        <v>7354</v>
      </c>
      <c r="AC1627" s="28">
        <v>0</v>
      </c>
      <c r="AD1627" s="28">
        <f>SUM(BASE[[#This Row],[MONTO DE RENTA ]]*1.16)</f>
        <v>0</v>
      </c>
      <c r="AE1627" s="28" t="s">
        <v>83</v>
      </c>
      <c r="AF1627" s="28">
        <v>559.48275862068965</v>
      </c>
      <c r="AG1627" s="28">
        <v>649</v>
      </c>
      <c r="AH1627" s="22" t="s">
        <v>116</v>
      </c>
      <c r="AI1627" s="29">
        <v>45951</v>
      </c>
      <c r="AJ1627" s="29">
        <v>46681</v>
      </c>
      <c r="AK1627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627" s="30"/>
      <c r="AN1627" s="20" t="s">
        <v>4574</v>
      </c>
      <c r="AP1627" s="20" t="s">
        <v>66</v>
      </c>
    </row>
    <row r="1628" spans="1:45" ht="16">
      <c r="A1628" s="51">
        <v>8112123763</v>
      </c>
      <c r="B1628" s="140">
        <v>1081116</v>
      </c>
      <c r="C1628" s="20" t="s">
        <v>7355</v>
      </c>
      <c r="D1628" s="20" t="s">
        <v>7356</v>
      </c>
      <c r="E1628" s="20">
        <v>0</v>
      </c>
      <c r="F1628" s="20" t="s">
        <v>6953</v>
      </c>
      <c r="G1628" s="20" t="s">
        <v>6953</v>
      </c>
      <c r="H1628" s="20" t="s">
        <v>208</v>
      </c>
      <c r="I1628" s="20" t="s">
        <v>6953</v>
      </c>
      <c r="J1628" s="54" t="s">
        <v>7357</v>
      </c>
      <c r="K1628" s="54" t="s">
        <v>7357</v>
      </c>
      <c r="L1628" s="23" t="s">
        <v>92</v>
      </c>
      <c r="M1628" s="24" t="s">
        <v>7738</v>
      </c>
      <c r="N1628" s="23">
        <v>18848087</v>
      </c>
      <c r="O1628" s="25" t="s">
        <v>74</v>
      </c>
      <c r="P1628" s="25" t="s">
        <v>53</v>
      </c>
      <c r="Q1628" s="20" t="s">
        <v>7358</v>
      </c>
      <c r="R1628" s="20">
        <v>45142575</v>
      </c>
      <c r="S1628" s="25" t="s">
        <v>7359</v>
      </c>
      <c r="T1628" s="326" t="s">
        <v>57</v>
      </c>
      <c r="U1628" s="23">
        <v>865356065672321</v>
      </c>
      <c r="V1628" s="27" t="s">
        <v>183</v>
      </c>
      <c r="W1628" s="20" t="s">
        <v>129</v>
      </c>
      <c r="X1628" s="20" t="s">
        <v>130</v>
      </c>
      <c r="Y1628" s="20" t="s">
        <v>130</v>
      </c>
      <c r="Z1628" s="20" t="s">
        <v>167</v>
      </c>
      <c r="AA1628" s="20" t="s">
        <v>168</v>
      </c>
      <c r="AB1628" s="20" t="s">
        <v>96</v>
      </c>
      <c r="AC1628" s="28">
        <v>369.83</v>
      </c>
      <c r="AD1628" s="28">
        <f>SUM(BASE[[#This Row],[MONTO DE RENTA ]]*1.16)</f>
        <v>429.00279999999998</v>
      </c>
      <c r="AE1628" s="28" t="s">
        <v>63</v>
      </c>
      <c r="AF1628" s="28">
        <v>369.82758620689657</v>
      </c>
      <c r="AG1628" s="28">
        <v>429</v>
      </c>
      <c r="AH1628" s="56" t="s">
        <v>5666</v>
      </c>
      <c r="AI1628" s="57">
        <v>45524</v>
      </c>
      <c r="AJ1628" s="57">
        <v>46042</v>
      </c>
      <c r="AK162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628" s="51">
        <v>18848052</v>
      </c>
      <c r="AM1628" s="58"/>
      <c r="AN1628" s="20" t="s">
        <v>99</v>
      </c>
      <c r="AP1628" s="20" t="s">
        <v>84</v>
      </c>
      <c r="AQ1628" s="20" t="s">
        <v>100</v>
      </c>
    </row>
    <row r="1629" spans="1:45" ht="16">
      <c r="A1629" s="20">
        <v>8118202285</v>
      </c>
      <c r="B1629" s="49">
        <v>1079911</v>
      </c>
      <c r="C1629" s="20" t="s">
        <v>7360</v>
      </c>
      <c r="D1629" s="20" t="s">
        <v>86</v>
      </c>
      <c r="E1629" s="20" t="s">
        <v>7361</v>
      </c>
      <c r="F1629" s="20" t="s">
        <v>5914</v>
      </c>
      <c r="G1629" s="20" t="s">
        <v>5914</v>
      </c>
      <c r="H1629" s="20" t="s">
        <v>208</v>
      </c>
      <c r="I1629" s="20" t="s">
        <v>5914</v>
      </c>
      <c r="J1629" s="54" t="s">
        <v>7362</v>
      </c>
      <c r="K1629" s="54" t="s">
        <v>7362</v>
      </c>
      <c r="L1629" s="23" t="s">
        <v>92</v>
      </c>
      <c r="M1629" s="24" t="s">
        <v>7738</v>
      </c>
      <c r="N1629" s="23">
        <v>18848053</v>
      </c>
      <c r="O1629" s="25" t="s">
        <v>74</v>
      </c>
      <c r="P1629" s="25" t="s">
        <v>53</v>
      </c>
      <c r="Q1629" s="20" t="s">
        <v>7363</v>
      </c>
      <c r="R1629" s="20">
        <v>45522052</v>
      </c>
      <c r="S1629" s="25" t="s">
        <v>55</v>
      </c>
      <c r="T1629" s="44" t="s">
        <v>56</v>
      </c>
      <c r="U1629" s="23">
        <v>860900062732383</v>
      </c>
      <c r="V1629" s="27" t="s">
        <v>958</v>
      </c>
      <c r="W1629" s="20" t="s">
        <v>58</v>
      </c>
      <c r="X1629" s="20" t="s">
        <v>59</v>
      </c>
      <c r="Y1629" s="20" t="s">
        <v>59</v>
      </c>
      <c r="Z1629" s="20" t="s">
        <v>113</v>
      </c>
      <c r="AA1629" s="20" t="s">
        <v>114</v>
      </c>
      <c r="AB1629" s="20" t="s">
        <v>244</v>
      </c>
      <c r="AC1629" s="28">
        <v>473.28</v>
      </c>
      <c r="AD1629" s="28">
        <f>SUM(BASE[[#This Row],[MONTO DE RENTA ]]*1.16)</f>
        <v>549.00479999999993</v>
      </c>
      <c r="AE1629" s="28" t="s">
        <v>63</v>
      </c>
      <c r="AF1629" s="28">
        <v>369.82758620689657</v>
      </c>
      <c r="AG1629" s="28">
        <v>429</v>
      </c>
      <c r="AH1629" s="22" t="s">
        <v>116</v>
      </c>
      <c r="AI1629" s="29">
        <v>45875</v>
      </c>
      <c r="AJ1629" s="29">
        <v>46605</v>
      </c>
      <c r="AK1629" s="30">
        <f ca="1">IFERROR(IF(BASE[[#This Row],[FECHA DE RENOVACION ]]&gt;TODAY(), DATEDIF(TODAY(),BASE[[#This Row],[FECHA DE RENOVACION ]],"M"), -DATEDIF(BASE[[#This Row],[FECHA DE RENOVACION ]],TODAY(),"M")), "Sin fecha")</f>
        <v>17</v>
      </c>
      <c r="AL1629" s="20">
        <v>18848053</v>
      </c>
      <c r="AM1629" s="30"/>
      <c r="AN1629" s="20" t="s">
        <v>65</v>
      </c>
      <c r="AP1629" s="20" t="s">
        <v>118</v>
      </c>
    </row>
    <row r="1630" spans="1:45" ht="16">
      <c r="A1630" s="20">
        <v>3223073094</v>
      </c>
      <c r="B1630" s="49">
        <v>1005417</v>
      </c>
      <c r="C1630" s="20" t="s">
        <v>1160</v>
      </c>
      <c r="D1630" s="20" t="s">
        <v>2161</v>
      </c>
      <c r="E1630" s="20" t="s">
        <v>5318</v>
      </c>
      <c r="F1630" s="20" t="s">
        <v>5282</v>
      </c>
      <c r="G1630" s="20" t="s">
        <v>5282</v>
      </c>
      <c r="H1630" s="20" t="s">
        <v>155</v>
      </c>
      <c r="I1630" s="20" t="s">
        <v>5282</v>
      </c>
      <c r="J1630" s="22" t="s">
        <v>7364</v>
      </c>
      <c r="K1630" s="22" t="s">
        <v>7364</v>
      </c>
      <c r="L1630" s="23" t="s">
        <v>92</v>
      </c>
      <c r="M1630" s="24" t="s">
        <v>7738</v>
      </c>
      <c r="N1630" s="23">
        <v>18848080</v>
      </c>
      <c r="O1630" s="25" t="s">
        <v>677</v>
      </c>
      <c r="P1630" s="25" t="s">
        <v>53</v>
      </c>
      <c r="Q1630" s="20" t="s">
        <v>7365</v>
      </c>
      <c r="R1630" s="20">
        <v>55776035</v>
      </c>
      <c r="S1630" s="25" t="s">
        <v>55</v>
      </c>
      <c r="T1630" s="44" t="s">
        <v>56</v>
      </c>
      <c r="U1630" s="23">
        <v>860900062336185</v>
      </c>
      <c r="V1630" s="27" t="s">
        <v>183</v>
      </c>
      <c r="W1630" s="20" t="s">
        <v>58</v>
      </c>
      <c r="X1630" s="20" t="s">
        <v>59</v>
      </c>
      <c r="Y1630" s="20" t="s">
        <v>59</v>
      </c>
      <c r="Z1630" s="20" t="s">
        <v>113</v>
      </c>
      <c r="AA1630" s="20" t="s">
        <v>114</v>
      </c>
      <c r="AB1630" s="20" t="s">
        <v>244</v>
      </c>
      <c r="AC1630" s="28">
        <v>473.28</v>
      </c>
      <c r="AD1630" s="28">
        <f>SUM(BASE[[#This Row],[MONTO DE RENTA ]]*1.16)</f>
        <v>549.00479999999993</v>
      </c>
      <c r="AE1630" s="28" t="s">
        <v>63</v>
      </c>
      <c r="AF1630" s="28">
        <v>369.82758620689657</v>
      </c>
      <c r="AG1630" s="28">
        <v>429</v>
      </c>
      <c r="AH1630" s="22" t="s">
        <v>116</v>
      </c>
      <c r="AI1630" s="63">
        <v>45951</v>
      </c>
      <c r="AJ1630" s="63">
        <v>46681</v>
      </c>
      <c r="AK1630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630" s="30"/>
      <c r="AN1630" s="20" t="s">
        <v>4574</v>
      </c>
      <c r="AP1630" s="20" t="s">
        <v>118</v>
      </c>
    </row>
    <row r="1631" spans="1:45" ht="16">
      <c r="A1631" s="20">
        <v>7712325049</v>
      </c>
      <c r="B1631" s="21">
        <v>1041409</v>
      </c>
      <c r="C1631" s="20" t="s">
        <v>7366</v>
      </c>
      <c r="D1631" s="20" t="s">
        <v>7367</v>
      </c>
      <c r="E1631" s="20" t="s">
        <v>1182</v>
      </c>
      <c r="F1631" s="20" t="s">
        <v>1341</v>
      </c>
      <c r="G1631" s="20" t="s">
        <v>1341</v>
      </c>
      <c r="H1631" s="20" t="s">
        <v>48</v>
      </c>
      <c r="I1631" s="20" t="s">
        <v>1341</v>
      </c>
      <c r="J1631" s="32" t="s">
        <v>7368</v>
      </c>
      <c r="K1631" s="22" t="s">
        <v>5109</v>
      </c>
      <c r="L1631" s="23" t="s">
        <v>5007</v>
      </c>
      <c r="M1631" s="24" t="s">
        <v>7752</v>
      </c>
      <c r="N1631" s="23">
        <v>18799000</v>
      </c>
      <c r="O1631" s="25" t="s">
        <v>52</v>
      </c>
      <c r="P1631" s="25" t="s">
        <v>53</v>
      </c>
      <c r="Q1631" s="20" t="s">
        <v>7369</v>
      </c>
      <c r="R1631" s="20">
        <v>90159785</v>
      </c>
      <c r="S1631" s="25" t="s">
        <v>7370</v>
      </c>
      <c r="T1631" s="26" t="s">
        <v>57</v>
      </c>
      <c r="U1631" s="23">
        <v>860900062331145</v>
      </c>
      <c r="V1631" s="27" t="s">
        <v>57</v>
      </c>
      <c r="W1631" s="20" t="s">
        <v>58</v>
      </c>
      <c r="X1631" s="20" t="s">
        <v>59</v>
      </c>
      <c r="Y1631" s="20" t="s">
        <v>59</v>
      </c>
      <c r="Z1631" s="20" t="s">
        <v>167</v>
      </c>
      <c r="AA1631" s="20" t="s">
        <v>168</v>
      </c>
      <c r="AB1631" s="20" t="s">
        <v>96</v>
      </c>
      <c r="AC1631" s="28">
        <v>369.83</v>
      </c>
      <c r="AD1631" s="28">
        <f>SUM(BASE[[#This Row],[MONTO DE RENTA ]]*1.16)</f>
        <v>429.00279999999998</v>
      </c>
      <c r="AE1631" s="28" t="s">
        <v>63</v>
      </c>
      <c r="AF1631" s="28">
        <v>369.82758620689657</v>
      </c>
      <c r="AG1631" s="28">
        <v>429</v>
      </c>
      <c r="AH1631" s="22" t="s">
        <v>64</v>
      </c>
      <c r="AI1631" s="63">
        <v>45703</v>
      </c>
      <c r="AJ1631" s="63">
        <v>46433</v>
      </c>
      <c r="AK163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31" s="30"/>
      <c r="AN1631" s="20" t="s">
        <v>65</v>
      </c>
      <c r="AP1631" s="20" t="s">
        <v>84</v>
      </c>
    </row>
    <row r="1632" spans="1:45" ht="15" customHeight="1">
      <c r="A1632" s="20">
        <v>8113908223</v>
      </c>
      <c r="B1632" s="21">
        <v>6279</v>
      </c>
      <c r="C1632" s="20" t="s">
        <v>1472</v>
      </c>
      <c r="D1632" s="20" t="s">
        <v>657</v>
      </c>
      <c r="E1632" s="20" t="s">
        <v>613</v>
      </c>
      <c r="F1632" s="20" t="s">
        <v>7371</v>
      </c>
      <c r="G1632" s="20" t="s">
        <v>7371</v>
      </c>
      <c r="H1632" s="20" t="s">
        <v>5320</v>
      </c>
      <c r="I1632" s="20" t="s">
        <v>7371</v>
      </c>
      <c r="J1632" s="22" t="s">
        <v>7372</v>
      </c>
      <c r="K1632" s="22" t="s">
        <v>7372</v>
      </c>
      <c r="L1632" s="23" t="s">
        <v>92</v>
      </c>
      <c r="M1632" s="24" t="s">
        <v>7738</v>
      </c>
      <c r="N1632" s="23">
        <v>18848048</v>
      </c>
      <c r="O1632" s="25" t="s">
        <v>74</v>
      </c>
      <c r="P1632" s="25" t="s">
        <v>53</v>
      </c>
      <c r="Q1632" s="20" t="s">
        <v>7373</v>
      </c>
      <c r="R1632" s="20">
        <v>43163607</v>
      </c>
      <c r="S1632" s="25" t="s">
        <v>7374</v>
      </c>
      <c r="T1632" s="26" t="s">
        <v>77</v>
      </c>
      <c r="U1632" s="23">
        <v>358366320582763</v>
      </c>
      <c r="V1632" s="27" t="s">
        <v>78</v>
      </c>
      <c r="W1632" s="20" t="s">
        <v>79</v>
      </c>
      <c r="X1632" s="20" t="s">
        <v>79</v>
      </c>
      <c r="Y1632" s="20" t="s">
        <v>79</v>
      </c>
      <c r="Z1632" s="20" t="s">
        <v>167</v>
      </c>
      <c r="AA1632" s="20" t="s">
        <v>168</v>
      </c>
      <c r="AB1632" s="20" t="s">
        <v>82</v>
      </c>
      <c r="AC1632" s="28">
        <v>559.48</v>
      </c>
      <c r="AD1632" s="28">
        <f>SUM(BASE[[#This Row],[MONTO DE RENTA ]]*1.16)</f>
        <v>648.99680000000001</v>
      </c>
      <c r="AE1632" s="28" t="s">
        <v>83</v>
      </c>
      <c r="AF1632" s="28">
        <v>559.48275862068965</v>
      </c>
      <c r="AG1632" s="28">
        <v>649</v>
      </c>
      <c r="AH1632" s="22" t="s">
        <v>64</v>
      </c>
      <c r="AI1632" s="29">
        <v>45703</v>
      </c>
      <c r="AJ1632" s="29">
        <v>46433</v>
      </c>
      <c r="AK163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32" s="30"/>
      <c r="AN1632" s="20" t="s">
        <v>65</v>
      </c>
      <c r="AP1632" s="20" t="s">
        <v>84</v>
      </c>
    </row>
    <row r="1633" spans="1:43" ht="16">
      <c r="A1633" s="20">
        <v>6561811893</v>
      </c>
      <c r="B1633" s="49">
        <v>4108</v>
      </c>
      <c r="C1633" s="20" t="s">
        <v>2220</v>
      </c>
      <c r="D1633" s="20" t="s">
        <v>1633</v>
      </c>
      <c r="E1633" s="20" t="s">
        <v>3489</v>
      </c>
      <c r="F1633" s="20" t="s">
        <v>88</v>
      </c>
      <c r="G1633" s="20" t="s">
        <v>88</v>
      </c>
      <c r="H1633" s="20" t="s">
        <v>89</v>
      </c>
      <c r="I1633" s="20" t="s">
        <v>88</v>
      </c>
      <c r="J1633" s="22" t="s">
        <v>7375</v>
      </c>
      <c r="K1633" s="22" t="s">
        <v>7376</v>
      </c>
      <c r="L1633" s="23" t="s">
        <v>92</v>
      </c>
      <c r="M1633" s="24" t="s">
        <v>7738</v>
      </c>
      <c r="N1633" s="23">
        <v>18848041</v>
      </c>
      <c r="O1633" s="25" t="s">
        <v>362</v>
      </c>
      <c r="P1633" s="25" t="s">
        <v>53</v>
      </c>
      <c r="Q1633" s="20" t="s">
        <v>7377</v>
      </c>
      <c r="R1633" s="20">
        <v>31710543</v>
      </c>
      <c r="S1633" s="25" t="s">
        <v>55</v>
      </c>
      <c r="T1633" s="26" t="s">
        <v>56</v>
      </c>
      <c r="U1633" s="23">
        <v>352556229256131</v>
      </c>
      <c r="V1633" s="27" t="s">
        <v>78</v>
      </c>
      <c r="W1633" s="20" t="s">
        <v>5299</v>
      </c>
      <c r="X1633" s="20" t="s">
        <v>5299</v>
      </c>
      <c r="Y1633" s="20" t="s">
        <v>5299</v>
      </c>
      <c r="Z1633" s="20" t="s">
        <v>60</v>
      </c>
      <c r="AA1633" s="20" t="s">
        <v>61</v>
      </c>
      <c r="AB1633" s="20" t="s">
        <v>82</v>
      </c>
      <c r="AC1633" s="28">
        <v>559.48</v>
      </c>
      <c r="AD1633" s="28">
        <f>SUM(BASE[[#This Row],[MONTO DE RENTA ]]*1.16)</f>
        <v>648.99680000000001</v>
      </c>
      <c r="AE1633" s="28" t="s">
        <v>83</v>
      </c>
      <c r="AF1633" s="28">
        <v>559.48275862068965</v>
      </c>
      <c r="AG1633" s="28">
        <v>649</v>
      </c>
      <c r="AI1633" s="29">
        <v>44937</v>
      </c>
      <c r="AJ1633" s="50">
        <v>46043</v>
      </c>
      <c r="AK163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33" s="30"/>
      <c r="AN1633" s="20" t="s">
        <v>99</v>
      </c>
      <c r="AP1633" s="20" t="s">
        <v>84</v>
      </c>
      <c r="AQ1633" s="20" t="s">
        <v>100</v>
      </c>
    </row>
    <row r="1634" spans="1:43" ht="16">
      <c r="A1634" s="20">
        <v>8135515222</v>
      </c>
      <c r="B1634" s="21">
        <v>1069470</v>
      </c>
      <c r="C1634" s="20" t="s">
        <v>7378</v>
      </c>
      <c r="D1634" s="20" t="s">
        <v>6030</v>
      </c>
      <c r="E1634" s="20" t="s">
        <v>1144</v>
      </c>
      <c r="F1634" s="20" t="s">
        <v>5326</v>
      </c>
      <c r="G1634" s="20" t="s">
        <v>5326</v>
      </c>
      <c r="H1634" s="20" t="s">
        <v>155</v>
      </c>
      <c r="I1634" s="20" t="s">
        <v>5326</v>
      </c>
      <c r="J1634" s="54" t="s">
        <v>7379</v>
      </c>
      <c r="K1634" s="54" t="s">
        <v>7379</v>
      </c>
      <c r="L1634" s="23" t="s">
        <v>92</v>
      </c>
      <c r="M1634" s="24" t="s">
        <v>7738</v>
      </c>
      <c r="N1634" s="23">
        <v>18848002</v>
      </c>
      <c r="O1634" s="25" t="s">
        <v>74</v>
      </c>
      <c r="P1634" s="25" t="s">
        <v>53</v>
      </c>
      <c r="Q1634" s="20" t="s">
        <v>7380</v>
      </c>
      <c r="R1634" s="20">
        <v>44918841</v>
      </c>
      <c r="S1634" s="25" t="s">
        <v>7381</v>
      </c>
      <c r="T1634" s="65" t="s">
        <v>57</v>
      </c>
      <c r="U1634" s="23">
        <v>860900062254768</v>
      </c>
      <c r="V1634" s="27" t="s">
        <v>183</v>
      </c>
      <c r="W1634" s="20" t="s">
        <v>58</v>
      </c>
      <c r="X1634" s="20" t="s">
        <v>59</v>
      </c>
      <c r="Y1634" s="20" t="s">
        <v>59</v>
      </c>
      <c r="Z1634" s="20" t="s">
        <v>167</v>
      </c>
      <c r="AA1634" s="20" t="s">
        <v>168</v>
      </c>
      <c r="AB1634" s="20" t="s">
        <v>96</v>
      </c>
      <c r="AC1634" s="28">
        <v>369.83</v>
      </c>
      <c r="AD1634" s="28">
        <f>SUM(BASE[[#This Row],[MONTO DE RENTA ]]*1.16)</f>
        <v>429.00279999999998</v>
      </c>
      <c r="AE1634" s="28" t="s">
        <v>63</v>
      </c>
      <c r="AF1634" s="28">
        <v>369.82758620689657</v>
      </c>
      <c r="AG1634" s="28">
        <v>429</v>
      </c>
      <c r="AH1634" s="22" t="s">
        <v>98</v>
      </c>
      <c r="AI1634" s="63">
        <v>46043</v>
      </c>
      <c r="AJ1634" s="63">
        <v>46773</v>
      </c>
      <c r="AK1634" s="30">
        <f ca="1">IFERROR(IF(BASE[[#This Row],[FECHA DE RENOVACION ]]&gt;TODAY(), DATEDIF(TODAY(),BASE[[#This Row],[FECHA DE RENOVACION ]],"M"), -DATEDIF(BASE[[#This Row],[FECHA DE RENOVACION ]],TODAY(),"M")), "Sin fecha")</f>
        <v>22</v>
      </c>
      <c r="AM1634" s="30"/>
      <c r="AN1634" s="20" t="s">
        <v>4574</v>
      </c>
      <c r="AP1634" s="20" t="s">
        <v>84</v>
      </c>
    </row>
    <row r="1635" spans="1:43" ht="15" customHeight="1">
      <c r="A1635" s="20">
        <v>8120025277</v>
      </c>
      <c r="B1635" s="21">
        <v>1030738</v>
      </c>
      <c r="C1635" s="20" t="s">
        <v>7382</v>
      </c>
      <c r="D1635" s="20" t="s">
        <v>7383</v>
      </c>
      <c r="E1635" s="20" t="s">
        <v>7384</v>
      </c>
      <c r="F1635" s="20" t="s">
        <v>7385</v>
      </c>
      <c r="G1635" s="20" t="s">
        <v>7385</v>
      </c>
      <c r="H1635" s="20" t="s">
        <v>199</v>
      </c>
      <c r="I1635" s="20" t="s">
        <v>7385</v>
      </c>
      <c r="J1635" s="22" t="s">
        <v>7386</v>
      </c>
      <c r="K1635" s="22" t="s">
        <v>7386</v>
      </c>
      <c r="L1635" s="23" t="s">
        <v>92</v>
      </c>
      <c r="M1635" s="24" t="s">
        <v>7738</v>
      </c>
      <c r="N1635" s="23">
        <v>18848078</v>
      </c>
      <c r="O1635" s="25" t="s">
        <v>74</v>
      </c>
      <c r="P1635" s="25" t="s">
        <v>53</v>
      </c>
      <c r="Q1635" s="20" t="s">
        <v>7387</v>
      </c>
      <c r="R1635" s="20">
        <v>45017358</v>
      </c>
      <c r="S1635" s="25" t="s">
        <v>7388</v>
      </c>
      <c r="T1635" s="26" t="s">
        <v>57</v>
      </c>
      <c r="U1635" s="23">
        <v>860900062264288</v>
      </c>
      <c r="V1635" s="27" t="s">
        <v>57</v>
      </c>
      <c r="W1635" s="20" t="s">
        <v>58</v>
      </c>
      <c r="X1635" s="20" t="s">
        <v>59</v>
      </c>
      <c r="Y1635" s="20" t="s">
        <v>59</v>
      </c>
      <c r="Z1635" s="20" t="s">
        <v>131</v>
      </c>
      <c r="AA1635" s="20" t="s">
        <v>132</v>
      </c>
      <c r="AB1635" s="20" t="s">
        <v>96</v>
      </c>
      <c r="AC1635" s="28">
        <v>369.83</v>
      </c>
      <c r="AD1635" s="28">
        <f>SUM(BASE[[#This Row],[MONTO DE RENTA ]]*1.16)</f>
        <v>429.00279999999998</v>
      </c>
      <c r="AE1635" s="28" t="s">
        <v>63</v>
      </c>
      <c r="AF1635" s="28">
        <v>369.82758620689657</v>
      </c>
      <c r="AG1635" s="28">
        <v>429</v>
      </c>
      <c r="AH1635" s="22" t="s">
        <v>64</v>
      </c>
      <c r="AI1635" s="29">
        <v>45703</v>
      </c>
      <c r="AJ1635" s="29">
        <v>46433</v>
      </c>
      <c r="AK163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35" s="30"/>
      <c r="AN1635" s="20" t="s">
        <v>65</v>
      </c>
      <c r="AP1635" s="20" t="s">
        <v>84</v>
      </c>
    </row>
    <row r="1636" spans="1:43" ht="16">
      <c r="A1636" s="20">
        <v>8120295698</v>
      </c>
      <c r="B1636" s="49">
        <v>7087</v>
      </c>
      <c r="C1636" s="20" t="s">
        <v>7389</v>
      </c>
      <c r="D1636" s="20" t="s">
        <v>1423</v>
      </c>
      <c r="E1636" s="20" t="s">
        <v>1104</v>
      </c>
      <c r="F1636" s="20" t="s">
        <v>5855</v>
      </c>
      <c r="G1636" s="20" t="s">
        <v>5855</v>
      </c>
      <c r="H1636" s="20" t="s">
        <v>208</v>
      </c>
      <c r="I1636" s="20" t="s">
        <v>5855</v>
      </c>
      <c r="J1636" s="22" t="s">
        <v>7390</v>
      </c>
      <c r="K1636" s="32" t="s">
        <v>7391</v>
      </c>
      <c r="L1636" s="23" t="s">
        <v>92</v>
      </c>
      <c r="M1636" s="24" t="s">
        <v>7738</v>
      </c>
      <c r="N1636" s="23">
        <v>18848087</v>
      </c>
      <c r="O1636" s="25" t="s">
        <v>74</v>
      </c>
      <c r="P1636" s="25" t="s">
        <v>53</v>
      </c>
      <c r="Q1636" s="20" t="s">
        <v>7392</v>
      </c>
      <c r="R1636" s="20">
        <v>43514483</v>
      </c>
      <c r="S1636" s="25" t="s">
        <v>55</v>
      </c>
      <c r="T1636" s="26" t="s">
        <v>56</v>
      </c>
      <c r="U1636" s="23">
        <v>865356065720732</v>
      </c>
      <c r="V1636" s="27" t="s">
        <v>183</v>
      </c>
      <c r="W1636" s="20" t="s">
        <v>129</v>
      </c>
      <c r="X1636" s="20" t="s">
        <v>130</v>
      </c>
      <c r="Y1636" s="20" t="s">
        <v>130</v>
      </c>
      <c r="Z1636" s="20" t="s">
        <v>60</v>
      </c>
      <c r="AA1636" s="20" t="s">
        <v>61</v>
      </c>
      <c r="AB1636" s="20" t="s">
        <v>96</v>
      </c>
      <c r="AC1636" s="28">
        <v>369.83</v>
      </c>
      <c r="AD1636" s="28">
        <f>SUM(BASE[[#This Row],[MONTO DE RENTA ]]*1.16)</f>
        <v>429.00279999999998</v>
      </c>
      <c r="AE1636" s="28" t="s">
        <v>63</v>
      </c>
      <c r="AF1636" s="28">
        <v>369.82758620689657</v>
      </c>
      <c r="AG1636" s="28">
        <v>429</v>
      </c>
      <c r="AI1636" s="29">
        <v>44937</v>
      </c>
      <c r="AJ1636" s="50">
        <v>46043</v>
      </c>
      <c r="AK163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36" s="30"/>
      <c r="AN1636" s="20" t="s">
        <v>99</v>
      </c>
      <c r="AP1636" s="20" t="s">
        <v>84</v>
      </c>
      <c r="AQ1636" s="20" t="s">
        <v>100</v>
      </c>
    </row>
    <row r="1637" spans="1:43" ht="15" customHeight="1">
      <c r="A1637" s="20">
        <v>2226358578</v>
      </c>
      <c r="B1637" s="21">
        <v>350025</v>
      </c>
      <c r="C1637" s="20" t="s">
        <v>1358</v>
      </c>
      <c r="D1637" s="20" t="s">
        <v>172</v>
      </c>
      <c r="E1637" s="20" t="s">
        <v>376</v>
      </c>
      <c r="F1637" s="20" t="s">
        <v>5288</v>
      </c>
      <c r="G1637" s="20" t="s">
        <v>5288</v>
      </c>
      <c r="H1637" s="20" t="s">
        <v>5289</v>
      </c>
      <c r="I1637" s="20" t="s">
        <v>5288</v>
      </c>
      <c r="J1637" s="22" t="s">
        <v>7393</v>
      </c>
      <c r="K1637" s="22" t="s">
        <v>7394</v>
      </c>
      <c r="L1637" s="23" t="s">
        <v>92</v>
      </c>
      <c r="M1637" s="24" t="s">
        <v>7738</v>
      </c>
      <c r="N1637" s="23">
        <v>18848028</v>
      </c>
      <c r="O1637" s="25" t="s">
        <v>828</v>
      </c>
      <c r="P1637" s="25" t="s">
        <v>53</v>
      </c>
      <c r="Q1637" s="20" t="s">
        <v>7395</v>
      </c>
      <c r="R1637" s="20">
        <v>73107504</v>
      </c>
      <c r="S1637" s="25" t="s">
        <v>7396</v>
      </c>
      <c r="T1637" s="26" t="s">
        <v>57</v>
      </c>
      <c r="U1637" s="23">
        <v>860900062337670</v>
      </c>
      <c r="V1637" s="27" t="s">
        <v>78</v>
      </c>
      <c r="W1637" s="20" t="s">
        <v>58</v>
      </c>
      <c r="X1637" s="20" t="s">
        <v>59</v>
      </c>
      <c r="Y1637" s="20" t="s">
        <v>59</v>
      </c>
      <c r="Z1637" s="20" t="s">
        <v>167</v>
      </c>
      <c r="AA1637" s="20" t="s">
        <v>168</v>
      </c>
      <c r="AB1637" s="20" t="s">
        <v>96</v>
      </c>
      <c r="AC1637" s="28">
        <v>369.83</v>
      </c>
      <c r="AD1637" s="28">
        <f>SUM(BASE[[#This Row],[MONTO DE RENTA ]]*1.16)</f>
        <v>429.00279999999998</v>
      </c>
      <c r="AE1637" s="28" t="s">
        <v>63</v>
      </c>
      <c r="AF1637" s="28">
        <v>369.82758620689657</v>
      </c>
      <c r="AG1637" s="28">
        <v>429</v>
      </c>
      <c r="AH1637" s="22" t="s">
        <v>64</v>
      </c>
      <c r="AI1637" s="63">
        <v>45703</v>
      </c>
      <c r="AJ1637" s="63">
        <v>46433</v>
      </c>
      <c r="AK163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37" s="30"/>
      <c r="AN1637" s="20" t="s">
        <v>99</v>
      </c>
      <c r="AP1637" s="20" t="s">
        <v>84</v>
      </c>
      <c r="AQ1637" s="20" t="s">
        <v>100</v>
      </c>
    </row>
    <row r="1638" spans="1:43" ht="15" customHeight="1">
      <c r="A1638" s="61">
        <v>8110220942</v>
      </c>
      <c r="B1638" s="59">
        <v>1002201</v>
      </c>
      <c r="C1638" s="20" t="s">
        <v>7397</v>
      </c>
      <c r="D1638" s="20" t="s">
        <v>566</v>
      </c>
      <c r="E1638" s="20" t="s">
        <v>1104</v>
      </c>
      <c r="F1638" s="20" t="s">
        <v>5724</v>
      </c>
      <c r="G1638" s="20" t="s">
        <v>5724</v>
      </c>
      <c r="H1638" s="20" t="s">
        <v>208</v>
      </c>
      <c r="I1638" s="20" t="s">
        <v>5724</v>
      </c>
      <c r="J1638" s="54" t="s">
        <v>7398</v>
      </c>
      <c r="K1638" s="54" t="s">
        <v>7398</v>
      </c>
      <c r="L1638" s="23" t="s">
        <v>92</v>
      </c>
      <c r="M1638" s="24" t="s">
        <v>7738</v>
      </c>
      <c r="N1638" s="23">
        <v>18848090</v>
      </c>
      <c r="O1638" s="25" t="s">
        <v>74</v>
      </c>
      <c r="P1638" s="25" t="s">
        <v>53</v>
      </c>
      <c r="Q1638" s="20" t="s">
        <v>7399</v>
      </c>
      <c r="R1638" s="20">
        <v>43230476</v>
      </c>
      <c r="S1638" s="25" t="s">
        <v>7400</v>
      </c>
      <c r="T1638" s="44" t="s">
        <v>77</v>
      </c>
      <c r="U1638" s="23">
        <v>359928215726216</v>
      </c>
      <c r="V1638" s="27" t="s">
        <v>57</v>
      </c>
      <c r="W1638" s="20" t="s">
        <v>214</v>
      </c>
      <c r="X1638" s="20" t="s">
        <v>214</v>
      </c>
      <c r="Y1638" s="20" t="s">
        <v>214</v>
      </c>
      <c r="Z1638" s="20" t="s">
        <v>131</v>
      </c>
      <c r="AA1638" s="20" t="s">
        <v>132</v>
      </c>
      <c r="AB1638" s="20" t="s">
        <v>82</v>
      </c>
      <c r="AC1638" s="28">
        <v>559.48</v>
      </c>
      <c r="AD1638" s="28">
        <f>SUM(BASE[[#This Row],[MONTO DE RENTA ]]*1.16)</f>
        <v>648.99680000000001</v>
      </c>
      <c r="AE1638" s="28" t="s">
        <v>83</v>
      </c>
      <c r="AF1638" s="28">
        <v>559.48275862068965</v>
      </c>
      <c r="AG1638" s="28">
        <v>649</v>
      </c>
      <c r="AH1638" s="22" t="s">
        <v>116</v>
      </c>
      <c r="AI1638" s="29">
        <v>45833</v>
      </c>
      <c r="AJ1638" s="29">
        <v>46563</v>
      </c>
      <c r="AK1638" s="30">
        <f ca="1">IFERROR(IF(BASE[[#This Row],[FECHA DE RENOVACION ]]&gt;TODAY(), DATEDIF(TODAY(),BASE[[#This Row],[FECHA DE RENOVACION ]],"M"), -DATEDIF(BASE[[#This Row],[FECHA DE RENOVACION ]],TODAY(),"M")), "Sin fecha")</f>
        <v>15</v>
      </c>
      <c r="AM1638" s="30"/>
      <c r="AN1638" s="20" t="s">
        <v>65</v>
      </c>
      <c r="AP1638" s="20" t="s">
        <v>84</v>
      </c>
    </row>
    <row r="1639" spans="1:43" ht="15" customHeight="1">
      <c r="A1639" s="327">
        <v>8115884773</v>
      </c>
      <c r="B1639" s="49">
        <v>1065507</v>
      </c>
      <c r="C1639" s="20" t="s">
        <v>1358</v>
      </c>
      <c r="D1639" s="20" t="s">
        <v>161</v>
      </c>
      <c r="E1639" s="20" t="s">
        <v>598</v>
      </c>
      <c r="F1639" s="20" t="s">
        <v>7401</v>
      </c>
      <c r="G1639" s="20" t="s">
        <v>7401</v>
      </c>
      <c r="H1639" s="20" t="s">
        <v>208</v>
      </c>
      <c r="I1639" s="20" t="s">
        <v>7401</v>
      </c>
      <c r="J1639" s="54" t="s">
        <v>7402</v>
      </c>
      <c r="K1639" s="54" t="s">
        <v>7402</v>
      </c>
      <c r="L1639" s="23" t="s">
        <v>92</v>
      </c>
      <c r="M1639" s="24" t="s">
        <v>7738</v>
      </c>
      <c r="N1639" s="23">
        <v>18848051</v>
      </c>
      <c r="O1639" s="25" t="s">
        <v>74</v>
      </c>
      <c r="P1639" s="25" t="s">
        <v>53</v>
      </c>
      <c r="Q1639" s="20" t="s">
        <v>7403</v>
      </c>
      <c r="R1639" s="20">
        <v>42896276</v>
      </c>
      <c r="S1639" s="25" t="s">
        <v>7404</v>
      </c>
      <c r="T1639" s="65" t="s">
        <v>57</v>
      </c>
      <c r="U1639" s="23">
        <v>860900060885365</v>
      </c>
      <c r="V1639" s="27" t="s">
        <v>57</v>
      </c>
      <c r="W1639" s="20" t="s">
        <v>58</v>
      </c>
      <c r="X1639" s="20" t="s">
        <v>59</v>
      </c>
      <c r="Y1639" s="20" t="s">
        <v>59</v>
      </c>
      <c r="Z1639" s="20" t="s">
        <v>167</v>
      </c>
      <c r="AA1639" s="20" t="s">
        <v>168</v>
      </c>
      <c r="AB1639" s="20" t="s">
        <v>96</v>
      </c>
      <c r="AC1639" s="28">
        <v>369.83</v>
      </c>
      <c r="AD1639" s="28">
        <f>SUM(BASE[[#This Row],[MONTO DE RENTA ]]*1.16)</f>
        <v>429.00279999999998</v>
      </c>
      <c r="AE1639" s="28" t="s">
        <v>63</v>
      </c>
      <c r="AF1639" s="28">
        <v>369.82758620689657</v>
      </c>
      <c r="AG1639" s="28">
        <v>429</v>
      </c>
      <c r="AH1639" s="22" t="s">
        <v>116</v>
      </c>
      <c r="AI1639" s="29">
        <v>45710</v>
      </c>
      <c r="AJ1639" s="29">
        <v>46402</v>
      </c>
      <c r="AK163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639" s="30"/>
      <c r="AN1639" s="20" t="s">
        <v>65</v>
      </c>
      <c r="AP1639" s="20" t="s">
        <v>84</v>
      </c>
    </row>
    <row r="1640" spans="1:43" ht="15" customHeight="1">
      <c r="A1640" s="20">
        <v>8126209639</v>
      </c>
      <c r="B1640" s="21">
        <v>1009744</v>
      </c>
      <c r="C1640" s="20" t="s">
        <v>7405</v>
      </c>
      <c r="D1640" s="20" t="s">
        <v>7406</v>
      </c>
      <c r="E1640" s="20" t="s">
        <v>6835</v>
      </c>
      <c r="F1640" s="20" t="s">
        <v>7407</v>
      </c>
      <c r="G1640" s="20" t="s">
        <v>7407</v>
      </c>
      <c r="H1640" s="20" t="s">
        <v>89</v>
      </c>
      <c r="I1640" s="20" t="s">
        <v>7407</v>
      </c>
      <c r="J1640" s="32" t="s">
        <v>7408</v>
      </c>
      <c r="K1640" s="32" t="s">
        <v>7409</v>
      </c>
      <c r="L1640" s="23" t="s">
        <v>92</v>
      </c>
      <c r="M1640" s="24" t="s">
        <v>7738</v>
      </c>
      <c r="N1640" s="23">
        <v>18848041</v>
      </c>
      <c r="O1640" s="25" t="s">
        <v>74</v>
      </c>
      <c r="P1640" s="25" t="s">
        <v>53</v>
      </c>
      <c r="Q1640" s="20" t="s">
        <v>7410</v>
      </c>
      <c r="R1640" s="20">
        <v>43163438</v>
      </c>
      <c r="S1640" s="25" t="s">
        <v>7411</v>
      </c>
      <c r="T1640" s="26" t="s">
        <v>57</v>
      </c>
      <c r="U1640" s="23">
        <v>358366320164398</v>
      </c>
      <c r="V1640" s="27" t="s">
        <v>78</v>
      </c>
      <c r="W1640" s="20" t="s">
        <v>79</v>
      </c>
      <c r="X1640" s="20" t="s">
        <v>79</v>
      </c>
      <c r="Y1640" s="20" t="s">
        <v>79</v>
      </c>
      <c r="Z1640" s="20" t="s">
        <v>167</v>
      </c>
      <c r="AA1640" s="20" t="s">
        <v>168</v>
      </c>
      <c r="AB1640" s="20" t="s">
        <v>96</v>
      </c>
      <c r="AC1640" s="28">
        <v>369.83</v>
      </c>
      <c r="AD1640" s="28">
        <f>SUM(BASE[[#This Row],[MONTO DE RENTA ]]*1.16)</f>
        <v>429.00279999999998</v>
      </c>
      <c r="AE1640" s="28" t="s">
        <v>97</v>
      </c>
      <c r="AF1640" s="28">
        <v>473.27586206896552</v>
      </c>
      <c r="AG1640" s="28">
        <v>549</v>
      </c>
      <c r="AH1640" s="22" t="s">
        <v>64</v>
      </c>
      <c r="AI1640" s="29">
        <v>45713</v>
      </c>
      <c r="AJ1640" s="29">
        <v>46433</v>
      </c>
      <c r="AK164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40" s="30"/>
      <c r="AN1640" s="20" t="s">
        <v>65</v>
      </c>
      <c r="AO1640" s="20" t="s">
        <v>169</v>
      </c>
      <c r="AP1640" s="20" t="s">
        <v>66</v>
      </c>
      <c r="AQ1640" s="20" t="s">
        <v>100</v>
      </c>
    </row>
    <row r="1641" spans="1:43" ht="15" customHeight="1">
      <c r="A1641" s="20">
        <v>8123197623</v>
      </c>
      <c r="B1641" s="21">
        <v>998388</v>
      </c>
      <c r="C1641" s="20" t="s">
        <v>7412</v>
      </c>
      <c r="D1641" s="20" t="s">
        <v>1156</v>
      </c>
      <c r="E1641" s="20" t="s">
        <v>5262</v>
      </c>
      <c r="F1641" s="20" t="s">
        <v>5295</v>
      </c>
      <c r="G1641" s="20" t="s">
        <v>5295</v>
      </c>
      <c r="H1641" s="20" t="s">
        <v>155</v>
      </c>
      <c r="I1641" s="20" t="s">
        <v>5295</v>
      </c>
      <c r="J1641" s="22" t="s">
        <v>7413</v>
      </c>
      <c r="K1641" s="22" t="s">
        <v>7414</v>
      </c>
      <c r="L1641" s="23" t="s">
        <v>92</v>
      </c>
      <c r="M1641" s="24" t="s">
        <v>7738</v>
      </c>
      <c r="N1641" s="23">
        <v>18848002</v>
      </c>
      <c r="O1641" s="25" t="s">
        <v>74</v>
      </c>
      <c r="P1641" s="25" t="s">
        <v>53</v>
      </c>
      <c r="Q1641" s="20" t="s">
        <v>7415</v>
      </c>
      <c r="R1641" s="20">
        <v>43239979</v>
      </c>
      <c r="S1641" s="25" t="s">
        <v>7416</v>
      </c>
      <c r="T1641" s="26" t="s">
        <v>57</v>
      </c>
      <c r="U1641" s="23">
        <v>357894929580095</v>
      </c>
      <c r="V1641" s="27" t="s">
        <v>78</v>
      </c>
      <c r="W1641" s="20" t="s">
        <v>95</v>
      </c>
      <c r="X1641" s="20" t="s">
        <v>95</v>
      </c>
      <c r="Y1641" s="20" t="s">
        <v>95</v>
      </c>
      <c r="Z1641" s="20" t="s">
        <v>131</v>
      </c>
      <c r="AA1641" s="20" t="s">
        <v>132</v>
      </c>
      <c r="AB1641" s="20" t="s">
        <v>96</v>
      </c>
      <c r="AC1641" s="28">
        <v>369.83</v>
      </c>
      <c r="AD1641" s="28">
        <f>SUM(BASE[[#This Row],[MONTO DE RENTA ]]*1.16)</f>
        <v>429.00279999999998</v>
      </c>
      <c r="AE1641" s="28" t="s">
        <v>97</v>
      </c>
      <c r="AF1641" s="28">
        <v>473.27586206896552</v>
      </c>
      <c r="AG1641" s="28">
        <v>549</v>
      </c>
      <c r="AI1641" s="29">
        <v>44937</v>
      </c>
      <c r="AJ1641" s="46">
        <v>46054</v>
      </c>
      <c r="AK164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1" s="30"/>
      <c r="AN1641" s="20" t="s">
        <v>99</v>
      </c>
      <c r="AP1641" s="20" t="s">
        <v>66</v>
      </c>
      <c r="AQ1641" s="20" t="s">
        <v>100</v>
      </c>
    </row>
    <row r="1642" spans="1:43" ht="15" customHeight="1">
      <c r="A1642" s="20">
        <v>6671620514</v>
      </c>
      <c r="B1642" s="21">
        <v>80896</v>
      </c>
      <c r="C1642" s="20" t="s">
        <v>3052</v>
      </c>
      <c r="D1642" s="20" t="s">
        <v>1433</v>
      </c>
      <c r="E1642" s="20" t="s">
        <v>2161</v>
      </c>
      <c r="F1642" s="20" t="s">
        <v>104</v>
      </c>
      <c r="G1642" s="20" t="s">
        <v>104</v>
      </c>
      <c r="H1642" s="20" t="s">
        <v>48</v>
      </c>
      <c r="I1642" s="20" t="s">
        <v>104</v>
      </c>
      <c r="J1642" s="22" t="s">
        <v>7417</v>
      </c>
      <c r="K1642" s="22" t="s">
        <v>7418</v>
      </c>
      <c r="L1642" s="23" t="s">
        <v>2934</v>
      </c>
      <c r="M1642" s="24" t="s">
        <v>7740</v>
      </c>
      <c r="N1642" s="23">
        <v>18708000</v>
      </c>
      <c r="O1642" s="25" t="s">
        <v>866</v>
      </c>
      <c r="P1642" s="25" t="s">
        <v>53</v>
      </c>
      <c r="Q1642" s="20" t="s">
        <v>7419</v>
      </c>
      <c r="R1642" s="20">
        <v>21835387</v>
      </c>
      <c r="S1642" s="25" t="s">
        <v>7420</v>
      </c>
      <c r="T1642" s="26" t="s">
        <v>77</v>
      </c>
      <c r="U1642" s="23">
        <v>860900062337118</v>
      </c>
      <c r="V1642" s="27" t="s">
        <v>958</v>
      </c>
      <c r="W1642" s="20" t="s">
        <v>58</v>
      </c>
      <c r="X1642" s="20" t="s">
        <v>59</v>
      </c>
      <c r="Y1642" s="20" t="s">
        <v>59</v>
      </c>
      <c r="Z1642" s="20" t="s">
        <v>131</v>
      </c>
      <c r="AA1642" s="20" t="s">
        <v>132</v>
      </c>
      <c r="AB1642" s="20" t="s">
        <v>82</v>
      </c>
      <c r="AC1642" s="28">
        <v>559.48</v>
      </c>
      <c r="AD1642" s="28">
        <f>SUM(BASE[[#This Row],[MONTO DE RENTA ]]*1.16)</f>
        <v>648.99680000000001</v>
      </c>
      <c r="AE1642" s="28" t="s">
        <v>63</v>
      </c>
      <c r="AF1642" s="28">
        <v>369.82758620689657</v>
      </c>
      <c r="AG1642" s="28">
        <v>429</v>
      </c>
      <c r="AH1642" s="22" t="s">
        <v>64</v>
      </c>
      <c r="AI1642" s="29">
        <v>45703</v>
      </c>
      <c r="AJ1642" s="29">
        <v>46433</v>
      </c>
      <c r="AK164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42" s="30"/>
      <c r="AN1642" s="20" t="s">
        <v>65</v>
      </c>
      <c r="AP1642" s="20" t="s">
        <v>118</v>
      </c>
    </row>
    <row r="1643" spans="1:43" ht="15" customHeight="1">
      <c r="A1643" s="20">
        <v>8117144776</v>
      </c>
      <c r="B1643" s="49">
        <v>890317</v>
      </c>
      <c r="C1643" s="20" t="s">
        <v>2990</v>
      </c>
      <c r="D1643" s="20" t="s">
        <v>686</v>
      </c>
      <c r="E1643" s="20" t="s">
        <v>171</v>
      </c>
      <c r="F1643" s="20" t="s">
        <v>6005</v>
      </c>
      <c r="G1643" s="20" t="s">
        <v>6005</v>
      </c>
      <c r="H1643" s="20" t="s">
        <v>5381</v>
      </c>
      <c r="I1643" s="20" t="s">
        <v>6005</v>
      </c>
      <c r="J1643" s="22" t="s">
        <v>7421</v>
      </c>
      <c r="K1643" s="32" t="s">
        <v>7422</v>
      </c>
      <c r="L1643" s="23" t="s">
        <v>92</v>
      </c>
      <c r="M1643" s="24" t="s">
        <v>7738</v>
      </c>
      <c r="N1643" s="23">
        <v>18848084</v>
      </c>
      <c r="O1643" s="25" t="s">
        <v>74</v>
      </c>
      <c r="P1643" s="25" t="s">
        <v>53</v>
      </c>
      <c r="Q1643" s="20" t="s">
        <v>7423</v>
      </c>
      <c r="R1643" s="20">
        <v>42988989</v>
      </c>
      <c r="S1643" s="25" t="s">
        <v>55</v>
      </c>
      <c r="T1643" s="26" t="s">
        <v>56</v>
      </c>
      <c r="U1643" s="23">
        <v>860900062336417</v>
      </c>
      <c r="V1643" s="27" t="s">
        <v>183</v>
      </c>
      <c r="W1643" s="20" t="s">
        <v>58</v>
      </c>
      <c r="X1643" s="20" t="s">
        <v>59</v>
      </c>
      <c r="Y1643" s="20" t="s">
        <v>59</v>
      </c>
      <c r="Z1643" s="20" t="s">
        <v>60</v>
      </c>
      <c r="AA1643" s="20" t="s">
        <v>61</v>
      </c>
      <c r="AB1643" s="20" t="s">
        <v>96</v>
      </c>
      <c r="AC1643" s="28">
        <v>369.83</v>
      </c>
      <c r="AD1643" s="28">
        <f>SUM(BASE[[#This Row],[MONTO DE RENTA ]]*1.16)</f>
        <v>429.00279999999998</v>
      </c>
      <c r="AE1643" s="28" t="s">
        <v>63</v>
      </c>
      <c r="AF1643" s="28">
        <v>369.82758620689657</v>
      </c>
      <c r="AG1643" s="28">
        <v>429</v>
      </c>
      <c r="AH1643" s="36" t="s">
        <v>64</v>
      </c>
      <c r="AI1643" s="46">
        <v>45323</v>
      </c>
      <c r="AJ1643" s="46">
        <v>46054</v>
      </c>
      <c r="AK164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3" s="30"/>
      <c r="AN1643" s="20" t="s">
        <v>99</v>
      </c>
      <c r="AP1643" s="20" t="s">
        <v>84</v>
      </c>
      <c r="AQ1643" s="20" t="s">
        <v>100</v>
      </c>
    </row>
    <row r="1644" spans="1:43" ht="15" customHeight="1">
      <c r="A1644" s="20">
        <v>8126810138</v>
      </c>
      <c r="B1644" s="49">
        <v>890317</v>
      </c>
      <c r="C1644" s="20" t="s">
        <v>2990</v>
      </c>
      <c r="D1644" s="20" t="s">
        <v>686</v>
      </c>
      <c r="E1644" s="20" t="s">
        <v>171</v>
      </c>
      <c r="F1644" s="20" t="s">
        <v>6005</v>
      </c>
      <c r="G1644" s="20" t="s">
        <v>6005</v>
      </c>
      <c r="H1644" s="20" t="s">
        <v>5381</v>
      </c>
      <c r="I1644" s="20" t="s">
        <v>6005</v>
      </c>
      <c r="J1644" s="32" t="s">
        <v>7421</v>
      </c>
      <c r="K1644" s="32" t="s">
        <v>7422</v>
      </c>
      <c r="L1644" s="23" t="s">
        <v>92</v>
      </c>
      <c r="M1644" s="24" t="s">
        <v>7738</v>
      </c>
      <c r="N1644" s="23">
        <v>18848084</v>
      </c>
      <c r="O1644" s="25" t="s">
        <v>74</v>
      </c>
      <c r="P1644" s="25" t="s">
        <v>53</v>
      </c>
      <c r="Q1644" s="20" t="s">
        <v>7424</v>
      </c>
      <c r="R1644" s="20">
        <v>44114503</v>
      </c>
      <c r="S1644" s="25" t="s">
        <v>55</v>
      </c>
      <c r="T1644" s="26" t="s">
        <v>56</v>
      </c>
      <c r="U1644" s="23">
        <v>860900062336417</v>
      </c>
      <c r="V1644" s="27" t="s">
        <v>183</v>
      </c>
      <c r="W1644" s="20" t="s">
        <v>58</v>
      </c>
      <c r="X1644" s="20" t="s">
        <v>59</v>
      </c>
      <c r="Y1644" s="20" t="s">
        <v>59</v>
      </c>
      <c r="Z1644" s="20" t="s">
        <v>60</v>
      </c>
      <c r="AA1644" s="20" t="s">
        <v>61</v>
      </c>
      <c r="AB1644" s="20" t="s">
        <v>96</v>
      </c>
      <c r="AC1644" s="28">
        <v>369.83</v>
      </c>
      <c r="AD1644" s="28">
        <f>SUM(BASE[[#This Row],[MONTO DE RENTA ]]*1.16)</f>
        <v>429.00279999999998</v>
      </c>
      <c r="AE1644" s="28" t="s">
        <v>63</v>
      </c>
      <c r="AF1644" s="28">
        <v>369.82758620689657</v>
      </c>
      <c r="AG1644" s="28">
        <v>429</v>
      </c>
      <c r="AH1644" s="36" t="s">
        <v>64</v>
      </c>
      <c r="AI1644" s="46">
        <v>45323</v>
      </c>
      <c r="AJ1644" s="46">
        <v>46054</v>
      </c>
      <c r="AK1644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4" s="30"/>
      <c r="AN1644" s="20" t="s">
        <v>99</v>
      </c>
      <c r="AP1644" s="20" t="s">
        <v>84</v>
      </c>
      <c r="AQ1644" s="20" t="s">
        <v>100</v>
      </c>
    </row>
    <row r="1645" spans="1:43" ht="15" customHeight="1">
      <c r="A1645" s="20">
        <v>8113229793</v>
      </c>
      <c r="B1645" s="49">
        <v>10041</v>
      </c>
      <c r="C1645" s="20" t="s">
        <v>2990</v>
      </c>
      <c r="D1645" s="20" t="s">
        <v>7425</v>
      </c>
      <c r="E1645" s="20" t="s">
        <v>823</v>
      </c>
      <c r="F1645" s="20" t="s">
        <v>7426</v>
      </c>
      <c r="G1645" s="20" t="s">
        <v>7426</v>
      </c>
      <c r="H1645" s="20" t="s">
        <v>155</v>
      </c>
      <c r="I1645" s="20" t="s">
        <v>7426</v>
      </c>
      <c r="J1645" s="22" t="s">
        <v>7427</v>
      </c>
      <c r="K1645" s="22" t="s">
        <v>7428</v>
      </c>
      <c r="L1645" s="23" t="s">
        <v>92</v>
      </c>
      <c r="M1645" s="24" t="s">
        <v>7738</v>
      </c>
      <c r="N1645" s="23">
        <v>18848059</v>
      </c>
      <c r="O1645" s="25" t="s">
        <v>74</v>
      </c>
      <c r="P1645" s="25" t="s">
        <v>53</v>
      </c>
      <c r="Q1645" s="20" t="s">
        <v>7429</v>
      </c>
      <c r="R1645" s="20">
        <v>42896345</v>
      </c>
      <c r="S1645" s="25" t="s">
        <v>55</v>
      </c>
      <c r="T1645" s="26" t="s">
        <v>56</v>
      </c>
      <c r="U1645" s="23">
        <v>357654179874147</v>
      </c>
      <c r="V1645" s="27" t="s">
        <v>78</v>
      </c>
      <c r="W1645" s="20" t="s">
        <v>95</v>
      </c>
      <c r="X1645" s="20" t="s">
        <v>95</v>
      </c>
      <c r="Y1645" s="20" t="s">
        <v>95</v>
      </c>
      <c r="Z1645" s="20" t="s">
        <v>584</v>
      </c>
      <c r="AA1645" s="20" t="s">
        <v>585</v>
      </c>
      <c r="AB1645" s="20" t="s">
        <v>82</v>
      </c>
      <c r="AC1645" s="28">
        <v>559.48</v>
      </c>
      <c r="AD1645" s="28">
        <f>SUM(BASE[[#This Row],[MONTO DE RENTA ]]*1.16)</f>
        <v>648.99680000000001</v>
      </c>
      <c r="AE1645" s="28" t="s">
        <v>83</v>
      </c>
      <c r="AF1645" s="28">
        <v>559.48275862068965</v>
      </c>
      <c r="AG1645" s="28">
        <v>649</v>
      </c>
      <c r="AI1645" s="313">
        <v>44937</v>
      </c>
      <c r="AJ1645" s="50">
        <v>46043</v>
      </c>
      <c r="AK164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5" s="30"/>
      <c r="AN1645" s="20" t="s">
        <v>99</v>
      </c>
      <c r="AP1645" s="20" t="s">
        <v>84</v>
      </c>
      <c r="AQ1645" s="20" t="s">
        <v>100</v>
      </c>
    </row>
    <row r="1646" spans="1:43" ht="15" customHeight="1">
      <c r="A1646" s="20">
        <v>8135515231</v>
      </c>
      <c r="B1646" s="190">
        <v>1075334</v>
      </c>
      <c r="C1646" s="20" t="s">
        <v>2990</v>
      </c>
      <c r="D1646" s="20" t="s">
        <v>741</v>
      </c>
      <c r="E1646" s="20" t="s">
        <v>7430</v>
      </c>
      <c r="F1646" s="20" t="s">
        <v>5326</v>
      </c>
      <c r="G1646" s="20" t="s">
        <v>5326</v>
      </c>
      <c r="H1646" s="20" t="s">
        <v>155</v>
      </c>
      <c r="I1646" s="20" t="s">
        <v>5326</v>
      </c>
      <c r="J1646" s="54" t="s">
        <v>7431</v>
      </c>
      <c r="K1646" s="54" t="s">
        <v>7431</v>
      </c>
      <c r="L1646" s="23" t="s">
        <v>92</v>
      </c>
      <c r="M1646" s="24" t="s">
        <v>7738</v>
      </c>
      <c r="N1646" s="23">
        <v>18848013</v>
      </c>
      <c r="O1646" s="25" t="s">
        <v>74</v>
      </c>
      <c r="P1646" s="25" t="s">
        <v>53</v>
      </c>
      <c r="Q1646" s="20" t="s">
        <v>7432</v>
      </c>
      <c r="R1646" s="20">
        <v>44918840</v>
      </c>
      <c r="S1646" s="25" t="s">
        <v>7433</v>
      </c>
      <c r="T1646" s="44" t="s">
        <v>57</v>
      </c>
      <c r="U1646" s="23">
        <v>860900062265830</v>
      </c>
      <c r="V1646" s="27" t="s">
        <v>57</v>
      </c>
      <c r="W1646" s="20" t="s">
        <v>58</v>
      </c>
      <c r="X1646" s="20" t="s">
        <v>59</v>
      </c>
      <c r="Y1646" s="20" t="s">
        <v>59</v>
      </c>
      <c r="Z1646" s="20" t="s">
        <v>167</v>
      </c>
      <c r="AA1646" s="20" t="s">
        <v>168</v>
      </c>
      <c r="AB1646" s="20" t="s">
        <v>96</v>
      </c>
      <c r="AC1646" s="28">
        <v>369.83</v>
      </c>
      <c r="AD1646" s="28">
        <f>SUM(BASE[[#This Row],[MONTO DE RENTA ]]*1.16)</f>
        <v>429.00279999999998</v>
      </c>
      <c r="AE1646" s="28" t="s">
        <v>63</v>
      </c>
      <c r="AF1646" s="28">
        <v>369.82758620689657</v>
      </c>
      <c r="AG1646" s="28">
        <v>429</v>
      </c>
      <c r="AH1646" s="22" t="s">
        <v>98</v>
      </c>
      <c r="AI1646" s="29">
        <v>45734</v>
      </c>
      <c r="AJ1646" s="29">
        <v>46464</v>
      </c>
      <c r="AK1646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646" s="20" t="s">
        <v>7434</v>
      </c>
      <c r="AM1646" s="30"/>
      <c r="AN1646" s="20" t="s">
        <v>65</v>
      </c>
      <c r="AP1646" s="20" t="s">
        <v>84</v>
      </c>
    </row>
    <row r="1647" spans="1:43" ht="15" customHeight="1">
      <c r="A1647" s="20">
        <v>8113229902</v>
      </c>
      <c r="B1647" s="49">
        <v>6250</v>
      </c>
      <c r="C1647" s="20" t="s">
        <v>1446</v>
      </c>
      <c r="D1647" s="20" t="s">
        <v>2795</v>
      </c>
      <c r="E1647" s="20" t="s">
        <v>2845</v>
      </c>
      <c r="F1647" s="20" t="s">
        <v>5295</v>
      </c>
      <c r="G1647" s="20" t="s">
        <v>5295</v>
      </c>
      <c r="H1647" s="20" t="s">
        <v>155</v>
      </c>
      <c r="I1647" s="20" t="s">
        <v>5295</v>
      </c>
      <c r="J1647" s="22" t="s">
        <v>7435</v>
      </c>
      <c r="K1647" s="22" t="s">
        <v>7436</v>
      </c>
      <c r="L1647" s="23" t="s">
        <v>92</v>
      </c>
      <c r="M1647" s="24" t="s">
        <v>7738</v>
      </c>
      <c r="N1647" s="23">
        <v>18848013</v>
      </c>
      <c r="O1647" s="25" t="s">
        <v>74</v>
      </c>
      <c r="P1647" s="25" t="s">
        <v>53</v>
      </c>
      <c r="Q1647" s="20" t="s">
        <v>7437</v>
      </c>
      <c r="R1647" s="20">
        <v>42896254</v>
      </c>
      <c r="S1647" s="25" t="s">
        <v>55</v>
      </c>
      <c r="T1647" s="26" t="s">
        <v>56</v>
      </c>
      <c r="U1647" s="23">
        <v>357654179911832</v>
      </c>
      <c r="V1647" s="27" t="s">
        <v>78</v>
      </c>
      <c r="W1647" s="20" t="s">
        <v>95</v>
      </c>
      <c r="X1647" s="20" t="s">
        <v>95</v>
      </c>
      <c r="Y1647" s="20" t="s">
        <v>95</v>
      </c>
      <c r="Z1647" s="20" t="s">
        <v>60</v>
      </c>
      <c r="AA1647" s="20" t="s">
        <v>61</v>
      </c>
      <c r="AB1647" s="20" t="s">
        <v>82</v>
      </c>
      <c r="AC1647" s="28">
        <v>559.48</v>
      </c>
      <c r="AD1647" s="28">
        <f>SUM(BASE[[#This Row],[MONTO DE RENTA ]]*1.16)</f>
        <v>648.99680000000001</v>
      </c>
      <c r="AE1647" s="28" t="s">
        <v>83</v>
      </c>
      <c r="AF1647" s="28">
        <v>559.48275862068965</v>
      </c>
      <c r="AG1647" s="28">
        <v>649</v>
      </c>
      <c r="AI1647" s="29">
        <v>44937</v>
      </c>
      <c r="AJ1647" s="50">
        <v>46043</v>
      </c>
      <c r="AK164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7" s="30"/>
      <c r="AN1647" s="20" t="s">
        <v>99</v>
      </c>
      <c r="AP1647" s="20" t="s">
        <v>84</v>
      </c>
      <c r="AQ1647" s="20" t="s">
        <v>100</v>
      </c>
    </row>
    <row r="1648" spans="1:43" ht="15" customHeight="1">
      <c r="A1648" s="20">
        <v>8123512708</v>
      </c>
      <c r="B1648" s="49">
        <v>1009618</v>
      </c>
      <c r="C1648" s="20" t="s">
        <v>2990</v>
      </c>
      <c r="D1648" s="20" t="s">
        <v>7438</v>
      </c>
      <c r="E1648" s="20" t="s">
        <v>228</v>
      </c>
      <c r="F1648" s="20" t="s">
        <v>7439</v>
      </c>
      <c r="G1648" s="20" t="s">
        <v>7439</v>
      </c>
      <c r="H1648" s="20" t="s">
        <v>5730</v>
      </c>
      <c r="I1648" s="20" t="s">
        <v>7439</v>
      </c>
      <c r="J1648" s="22" t="s">
        <v>7440</v>
      </c>
      <c r="K1648" s="22" t="s">
        <v>7441</v>
      </c>
      <c r="L1648" s="23" t="s">
        <v>92</v>
      </c>
      <c r="M1648" s="24" t="s">
        <v>7738</v>
      </c>
      <c r="N1648" s="23">
        <v>18848015</v>
      </c>
      <c r="O1648" s="25" t="s">
        <v>74</v>
      </c>
      <c r="P1648" s="25" t="s">
        <v>53</v>
      </c>
      <c r="Q1648" s="20" t="s">
        <v>7442</v>
      </c>
      <c r="R1648" s="20">
        <v>42920441</v>
      </c>
      <c r="S1648" s="25" t="s">
        <v>55</v>
      </c>
      <c r="T1648" s="26" t="s">
        <v>56</v>
      </c>
      <c r="U1648" s="23">
        <v>357654177528455</v>
      </c>
      <c r="V1648" s="27" t="s">
        <v>78</v>
      </c>
      <c r="W1648" s="20" t="s">
        <v>95</v>
      </c>
      <c r="X1648" s="20" t="s">
        <v>95</v>
      </c>
      <c r="Y1648" s="20" t="s">
        <v>95</v>
      </c>
      <c r="Z1648" s="20" t="s">
        <v>584</v>
      </c>
      <c r="AA1648" s="20" t="s">
        <v>585</v>
      </c>
      <c r="AB1648" s="20" t="s">
        <v>82</v>
      </c>
      <c r="AC1648" s="28">
        <v>559.48</v>
      </c>
      <c r="AD1648" s="28">
        <f>SUM(BASE[[#This Row],[MONTO DE RENTA ]]*1.16)</f>
        <v>648.99680000000001</v>
      </c>
      <c r="AE1648" s="28" t="s">
        <v>83</v>
      </c>
      <c r="AF1648" s="28">
        <v>559.48275862068965</v>
      </c>
      <c r="AG1648" s="28">
        <v>649</v>
      </c>
      <c r="AI1648" s="29">
        <v>44937</v>
      </c>
      <c r="AJ1648" s="50">
        <v>46043</v>
      </c>
      <c r="AK164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48" s="30"/>
      <c r="AN1648" s="20" t="s">
        <v>99</v>
      </c>
      <c r="AP1648" s="20" t="s">
        <v>84</v>
      </c>
      <c r="AQ1648" s="20" t="s">
        <v>100</v>
      </c>
    </row>
    <row r="1649" spans="1:43" ht="15" customHeight="1">
      <c r="A1649" s="20">
        <v>8123545333</v>
      </c>
      <c r="B1649" s="21">
        <v>6665</v>
      </c>
      <c r="C1649" s="20" t="s">
        <v>3910</v>
      </c>
      <c r="D1649" s="20" t="s">
        <v>45</v>
      </c>
      <c r="E1649" s="20" t="s">
        <v>2554</v>
      </c>
      <c r="F1649" s="20" t="s">
        <v>7443</v>
      </c>
      <c r="G1649" s="20" t="s">
        <v>7443</v>
      </c>
      <c r="H1649" s="20" t="s">
        <v>5381</v>
      </c>
      <c r="I1649" s="20" t="s">
        <v>7443</v>
      </c>
      <c r="J1649" s="22" t="s">
        <v>7444</v>
      </c>
      <c r="K1649" s="32" t="s">
        <v>7445</v>
      </c>
      <c r="L1649" s="23" t="s">
        <v>92</v>
      </c>
      <c r="M1649" s="24" t="s">
        <v>7738</v>
      </c>
      <c r="N1649" s="23">
        <v>18848074</v>
      </c>
      <c r="O1649" s="25" t="s">
        <v>74</v>
      </c>
      <c r="P1649" s="25" t="s">
        <v>53</v>
      </c>
      <c r="Q1649" s="20" t="s">
        <v>7446</v>
      </c>
      <c r="R1649" s="20">
        <v>43017240</v>
      </c>
      <c r="S1649" s="25" t="s">
        <v>7447</v>
      </c>
      <c r="T1649" s="26" t="s">
        <v>77</v>
      </c>
      <c r="U1649" s="23">
        <v>358366320203014</v>
      </c>
      <c r="V1649" s="27" t="s">
        <v>78</v>
      </c>
      <c r="W1649" s="20" t="s">
        <v>79</v>
      </c>
      <c r="X1649" s="20" t="s">
        <v>79</v>
      </c>
      <c r="Y1649" s="20" t="s">
        <v>79</v>
      </c>
      <c r="Z1649" s="20" t="s">
        <v>167</v>
      </c>
      <c r="AA1649" s="20" t="s">
        <v>168</v>
      </c>
      <c r="AB1649" s="20" t="s">
        <v>82</v>
      </c>
      <c r="AC1649" s="28">
        <v>559.48</v>
      </c>
      <c r="AD1649" s="28">
        <f>SUM(BASE[[#This Row],[MONTO DE RENTA ]]*1.16)</f>
        <v>648.99680000000001</v>
      </c>
      <c r="AE1649" s="28" t="s">
        <v>83</v>
      </c>
      <c r="AF1649" s="28">
        <v>559.48275862068965</v>
      </c>
      <c r="AG1649" s="28">
        <v>649</v>
      </c>
      <c r="AH1649" s="22" t="s">
        <v>4950</v>
      </c>
      <c r="AI1649" s="29">
        <v>45710</v>
      </c>
      <c r="AJ1649" s="29">
        <v>46440</v>
      </c>
      <c r="AK164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49" s="30"/>
      <c r="AN1649" s="20" t="s">
        <v>65</v>
      </c>
      <c r="AP1649" s="20" t="s">
        <v>84</v>
      </c>
    </row>
    <row r="1650" spans="1:43" ht="15" customHeight="1">
      <c r="A1650" s="20">
        <v>8123524091</v>
      </c>
      <c r="B1650" s="21">
        <v>1055553</v>
      </c>
      <c r="C1650" s="20" t="s">
        <v>7448</v>
      </c>
      <c r="D1650" s="20" t="s">
        <v>546</v>
      </c>
      <c r="E1650" s="20" t="s">
        <v>3557</v>
      </c>
      <c r="F1650" s="20" t="s">
        <v>7449</v>
      </c>
      <c r="G1650" s="20" t="s">
        <v>7449</v>
      </c>
      <c r="H1650" s="20" t="s">
        <v>5414</v>
      </c>
      <c r="I1650" s="20" t="s">
        <v>7449</v>
      </c>
      <c r="J1650" s="22" t="s">
        <v>7450</v>
      </c>
      <c r="K1650" s="22" t="s">
        <v>7450</v>
      </c>
      <c r="L1650" s="23" t="s">
        <v>92</v>
      </c>
      <c r="M1650" s="24" t="s">
        <v>7738</v>
      </c>
      <c r="N1650" s="23">
        <v>18848061</v>
      </c>
      <c r="O1650" s="25" t="s">
        <v>74</v>
      </c>
      <c r="P1650" s="25" t="s">
        <v>53</v>
      </c>
      <c r="Q1650" s="20" t="s">
        <v>7451</v>
      </c>
      <c r="R1650" s="20">
        <v>45142585</v>
      </c>
      <c r="S1650" s="25" t="s">
        <v>55</v>
      </c>
      <c r="T1650" s="26" t="s">
        <v>56</v>
      </c>
      <c r="U1650" s="23">
        <v>860900062338462</v>
      </c>
      <c r="V1650" s="27" t="s">
        <v>57</v>
      </c>
      <c r="W1650" s="20" t="s">
        <v>58</v>
      </c>
      <c r="X1650" s="20" t="s">
        <v>59</v>
      </c>
      <c r="Y1650" s="20" t="s">
        <v>59</v>
      </c>
      <c r="Z1650" s="20" t="s">
        <v>60</v>
      </c>
      <c r="AA1650" s="20" t="s">
        <v>61</v>
      </c>
      <c r="AB1650" s="20" t="s">
        <v>62</v>
      </c>
      <c r="AC1650" s="28">
        <v>197.41</v>
      </c>
      <c r="AD1650" s="28">
        <f>SUM(BASE[[#This Row],[MONTO DE RENTA ]]*1.16)</f>
        <v>228.99559999999997</v>
      </c>
      <c r="AE1650" s="28" t="s">
        <v>63</v>
      </c>
      <c r="AF1650" s="28">
        <v>369.82758620689657</v>
      </c>
      <c r="AG1650" s="28">
        <v>429</v>
      </c>
      <c r="AH1650" s="22" t="s">
        <v>64</v>
      </c>
      <c r="AI1650" s="63">
        <v>45713</v>
      </c>
      <c r="AJ1650" s="63">
        <v>46433</v>
      </c>
      <c r="AK165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50" s="30"/>
      <c r="AN1650" s="20" t="s">
        <v>65</v>
      </c>
      <c r="AP1650" s="20" t="s">
        <v>66</v>
      </c>
    </row>
    <row r="1651" spans="1:43" ht="15" customHeight="1">
      <c r="A1651" s="20">
        <v>5533316570</v>
      </c>
      <c r="B1651" s="49">
        <v>250054</v>
      </c>
      <c r="C1651" s="20" t="s">
        <v>7452</v>
      </c>
      <c r="D1651" s="20" t="s">
        <v>411</v>
      </c>
      <c r="E1651" s="20" t="s">
        <v>7453</v>
      </c>
      <c r="F1651" s="20" t="s">
        <v>7008</v>
      </c>
      <c r="G1651" s="20" t="s">
        <v>7008</v>
      </c>
      <c r="H1651" s="20" t="s">
        <v>5381</v>
      </c>
      <c r="I1651" s="20" t="s">
        <v>7008</v>
      </c>
      <c r="J1651" s="22" t="s">
        <v>7454</v>
      </c>
      <c r="K1651" s="22" t="s">
        <v>7455</v>
      </c>
      <c r="L1651" s="23" t="s">
        <v>92</v>
      </c>
      <c r="M1651" s="24" t="s">
        <v>7738</v>
      </c>
      <c r="N1651" s="23">
        <v>18848074</v>
      </c>
      <c r="O1651" s="25" t="s">
        <v>52</v>
      </c>
      <c r="P1651" s="25" t="s">
        <v>53</v>
      </c>
      <c r="Q1651" s="20" t="s">
        <v>7456</v>
      </c>
      <c r="R1651" s="20">
        <v>91042101</v>
      </c>
      <c r="S1651" s="25" t="s">
        <v>55</v>
      </c>
      <c r="T1651" s="26" t="s">
        <v>56</v>
      </c>
      <c r="U1651" s="23">
        <v>351082468863025</v>
      </c>
      <c r="V1651" s="27" t="s">
        <v>78</v>
      </c>
      <c r="W1651" s="20" t="s">
        <v>1164</v>
      </c>
      <c r="X1651" s="20" t="s">
        <v>1164</v>
      </c>
      <c r="Y1651" s="20" t="s">
        <v>1164</v>
      </c>
      <c r="Z1651" s="20" t="s">
        <v>60</v>
      </c>
      <c r="AA1651" s="20" t="s">
        <v>61</v>
      </c>
      <c r="AB1651" s="20" t="s">
        <v>82</v>
      </c>
      <c r="AC1651" s="28">
        <v>559.48</v>
      </c>
      <c r="AD1651" s="28">
        <f>SUM(BASE[[#This Row],[MONTO DE RENTA ]]*1.16)</f>
        <v>648.99680000000001</v>
      </c>
      <c r="AE1651" s="28" t="s">
        <v>83</v>
      </c>
      <c r="AF1651" s="28">
        <v>559.48275862068965</v>
      </c>
      <c r="AG1651" s="28">
        <v>649</v>
      </c>
      <c r="AI1651" s="63">
        <v>44937</v>
      </c>
      <c r="AJ1651" s="73">
        <v>46043</v>
      </c>
      <c r="AK165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51" s="30"/>
      <c r="AN1651" s="20" t="s">
        <v>99</v>
      </c>
      <c r="AP1651" s="20" t="s">
        <v>84</v>
      </c>
      <c r="AQ1651" s="20" t="s">
        <v>100</v>
      </c>
    </row>
    <row r="1652" spans="1:43" ht="15" customHeight="1">
      <c r="A1652" s="87">
        <v>8123529411</v>
      </c>
      <c r="B1652" s="235">
        <v>0</v>
      </c>
      <c r="C1652" s="20" t="s">
        <v>1653</v>
      </c>
      <c r="D1652" s="20" t="s">
        <v>1654</v>
      </c>
      <c r="E1652" s="20" t="s">
        <v>1655</v>
      </c>
      <c r="F1652" s="20" t="s">
        <v>1656</v>
      </c>
      <c r="G1652" s="20" t="s">
        <v>1656</v>
      </c>
      <c r="H1652" s="20" t="s">
        <v>1657</v>
      </c>
      <c r="I1652" s="20" t="s">
        <v>1658</v>
      </c>
      <c r="J1652" s="217" t="s">
        <v>7457</v>
      </c>
      <c r="K1652" s="217" t="s">
        <v>7457</v>
      </c>
      <c r="L1652" s="218" t="s">
        <v>92</v>
      </c>
      <c r="M1652" s="219" t="s">
        <v>7738</v>
      </c>
      <c r="N1652" s="23" t="s">
        <v>1661</v>
      </c>
      <c r="O1652" s="25" t="s">
        <v>74</v>
      </c>
      <c r="P1652" s="25" t="s">
        <v>3857</v>
      </c>
      <c r="Q1652" s="20" t="s">
        <v>7458</v>
      </c>
      <c r="R1652" s="20">
        <v>43561352</v>
      </c>
      <c r="S1652" s="25" t="s">
        <v>55</v>
      </c>
      <c r="T1652" s="221" t="s">
        <v>56</v>
      </c>
      <c r="U1652" s="23" t="s">
        <v>193</v>
      </c>
      <c r="V1652" s="27" t="s">
        <v>78</v>
      </c>
      <c r="W1652" s="20" t="s">
        <v>194</v>
      </c>
      <c r="X1652" s="20" t="s">
        <v>194</v>
      </c>
      <c r="Y1652" s="20" t="s">
        <v>194</v>
      </c>
      <c r="Z1652" s="20" t="s">
        <v>60</v>
      </c>
      <c r="AA1652" s="20" t="s">
        <v>61</v>
      </c>
      <c r="AB1652" s="20" t="s">
        <v>82</v>
      </c>
      <c r="AC1652" s="28">
        <v>559.48</v>
      </c>
      <c r="AD1652" s="223">
        <f>SUM(BASE[[#This Row],[MONTO DE RENTA ]]*1.16)</f>
        <v>648.99680000000001</v>
      </c>
      <c r="AE1652" s="28" t="s">
        <v>83</v>
      </c>
      <c r="AF1652" s="223">
        <v>559.48275862068965</v>
      </c>
      <c r="AG1652" s="223">
        <v>649</v>
      </c>
      <c r="AH1652" s="217" t="s">
        <v>64</v>
      </c>
      <c r="AI1652" s="232">
        <v>45323</v>
      </c>
      <c r="AJ1652" s="232">
        <v>46054</v>
      </c>
      <c r="AK1652" s="225">
        <f ca="1">IFERROR(IF(BASE[[#This Row],[FECHA DE RENOVACION ]]&gt;TODAY(), DATEDIF(TODAY(),BASE[[#This Row],[FECHA DE RENOVACION ]],"M"), -DATEDIF(BASE[[#This Row],[FECHA DE RENOVACION ]],TODAY(),"M")), "Sin fecha")</f>
        <v>-1</v>
      </c>
      <c r="AL1652" s="87"/>
      <c r="AM1652" s="225"/>
      <c r="AN1652" s="20" t="s">
        <v>99</v>
      </c>
      <c r="AP1652" s="20" t="s">
        <v>84</v>
      </c>
      <c r="AQ1652" s="20" t="s">
        <v>100</v>
      </c>
    </row>
    <row r="1653" spans="1:43" ht="15" customHeight="1">
      <c r="A1653" s="20">
        <v>8126801166</v>
      </c>
      <c r="B1653" s="49">
        <v>1021193</v>
      </c>
      <c r="C1653" s="20" t="s">
        <v>387</v>
      </c>
      <c r="D1653" s="20" t="s">
        <v>7459</v>
      </c>
      <c r="E1653" s="20" t="s">
        <v>7460</v>
      </c>
      <c r="F1653" s="20" t="s">
        <v>7461</v>
      </c>
      <c r="G1653" s="20" t="s">
        <v>7461</v>
      </c>
      <c r="H1653" s="20" t="s">
        <v>199</v>
      </c>
      <c r="I1653" s="20" t="s">
        <v>7461</v>
      </c>
      <c r="J1653" s="32" t="s">
        <v>7462</v>
      </c>
      <c r="K1653" s="32" t="s">
        <v>7463</v>
      </c>
      <c r="L1653" s="23" t="s">
        <v>92</v>
      </c>
      <c r="M1653" s="24" t="s">
        <v>7738</v>
      </c>
      <c r="N1653" s="23">
        <v>18848010</v>
      </c>
      <c r="O1653" s="25" t="s">
        <v>74</v>
      </c>
      <c r="P1653" s="25" t="s">
        <v>53</v>
      </c>
      <c r="Q1653" s="20" t="s">
        <v>7464</v>
      </c>
      <c r="R1653" s="20">
        <v>44114375</v>
      </c>
      <c r="S1653" s="25" t="s">
        <v>55</v>
      </c>
      <c r="T1653" s="26" t="s">
        <v>56</v>
      </c>
      <c r="U1653" s="23">
        <v>865356065727893</v>
      </c>
      <c r="V1653" s="27" t="s">
        <v>183</v>
      </c>
      <c r="W1653" s="20" t="s">
        <v>129</v>
      </c>
      <c r="X1653" s="20" t="s">
        <v>130</v>
      </c>
      <c r="Y1653" s="20" t="s">
        <v>130</v>
      </c>
      <c r="Z1653" s="20" t="s">
        <v>60</v>
      </c>
      <c r="AA1653" s="20" t="s">
        <v>61</v>
      </c>
      <c r="AB1653" s="20" t="s">
        <v>96</v>
      </c>
      <c r="AC1653" s="28">
        <v>369.83</v>
      </c>
      <c r="AD1653" s="28">
        <f>SUM(BASE[[#This Row],[MONTO DE RENTA ]]*1.16)</f>
        <v>429.00279999999998</v>
      </c>
      <c r="AE1653" s="28" t="s">
        <v>63</v>
      </c>
      <c r="AF1653" s="28">
        <v>369.82758620689657</v>
      </c>
      <c r="AG1653" s="28">
        <v>429</v>
      </c>
      <c r="AI1653" s="63">
        <v>44937</v>
      </c>
      <c r="AJ1653" s="73">
        <v>46043</v>
      </c>
      <c r="AK165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53" s="30"/>
      <c r="AN1653" s="20" t="s">
        <v>99</v>
      </c>
      <c r="AP1653" s="20" t="s">
        <v>84</v>
      </c>
      <c r="AQ1653" s="20" t="s">
        <v>100</v>
      </c>
    </row>
    <row r="1654" spans="1:43" ht="15" customHeight="1">
      <c r="A1654" s="20">
        <v>5518648273</v>
      </c>
      <c r="B1654" s="21">
        <v>6294</v>
      </c>
      <c r="C1654" s="20" t="s">
        <v>1614</v>
      </c>
      <c r="D1654" s="20" t="s">
        <v>3458</v>
      </c>
      <c r="E1654" s="20" t="s">
        <v>477</v>
      </c>
      <c r="F1654" s="20" t="s">
        <v>6483</v>
      </c>
      <c r="G1654" s="20" t="s">
        <v>6483</v>
      </c>
      <c r="H1654" s="20" t="s">
        <v>5375</v>
      </c>
      <c r="I1654" s="20" t="s">
        <v>6483</v>
      </c>
      <c r="J1654" s="32" t="s">
        <v>7465</v>
      </c>
      <c r="K1654" s="32" t="s">
        <v>7466</v>
      </c>
      <c r="L1654" s="23" t="s">
        <v>92</v>
      </c>
      <c r="M1654" s="24" t="s">
        <v>7738</v>
      </c>
      <c r="N1654" s="23">
        <v>18848057</v>
      </c>
      <c r="O1654" s="25" t="s">
        <v>52</v>
      </c>
      <c r="P1654" s="25" t="s">
        <v>53</v>
      </c>
      <c r="Q1654" s="20" t="s">
        <v>7467</v>
      </c>
      <c r="R1654" s="20">
        <v>90216789</v>
      </c>
      <c r="S1654" s="25" t="s">
        <v>7468</v>
      </c>
      <c r="T1654" s="26" t="s">
        <v>57</v>
      </c>
      <c r="U1654" s="23">
        <v>866223056000111</v>
      </c>
      <c r="V1654" s="27" t="s">
        <v>57</v>
      </c>
      <c r="W1654" s="20" t="s">
        <v>649</v>
      </c>
      <c r="X1654" s="20" t="s">
        <v>650</v>
      </c>
      <c r="Y1654" s="20" t="s">
        <v>650</v>
      </c>
      <c r="Z1654" s="20" t="s">
        <v>167</v>
      </c>
      <c r="AA1654" s="20" t="s">
        <v>168</v>
      </c>
      <c r="AB1654" s="20" t="s">
        <v>96</v>
      </c>
      <c r="AC1654" s="28">
        <v>369.83</v>
      </c>
      <c r="AD1654" s="28">
        <f>SUM(BASE[[#This Row],[MONTO DE RENTA ]]*1.16)</f>
        <v>429.00279999999998</v>
      </c>
      <c r="AE1654" s="28" t="s">
        <v>63</v>
      </c>
      <c r="AF1654" s="28">
        <v>369.82758620689657</v>
      </c>
      <c r="AG1654" s="28">
        <v>429</v>
      </c>
      <c r="AH1654" s="22" t="s">
        <v>64</v>
      </c>
      <c r="AI1654" s="63">
        <v>45671</v>
      </c>
      <c r="AJ1654" s="63">
        <v>46401</v>
      </c>
      <c r="AK1654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654" s="30"/>
      <c r="AN1654" s="20" t="s">
        <v>65</v>
      </c>
      <c r="AP1654" s="20" t="s">
        <v>84</v>
      </c>
    </row>
    <row r="1655" spans="1:43" ht="15" customHeight="1">
      <c r="A1655" s="20">
        <v>5580726184</v>
      </c>
      <c r="B1655" s="49">
        <v>260076</v>
      </c>
      <c r="C1655" s="20" t="s">
        <v>7469</v>
      </c>
      <c r="D1655" s="20" t="s">
        <v>741</v>
      </c>
      <c r="E1655" s="20" t="s">
        <v>3229</v>
      </c>
      <c r="F1655" s="20" t="s">
        <v>5334</v>
      </c>
      <c r="G1655" s="20" t="s">
        <v>5334</v>
      </c>
      <c r="H1655" s="20" t="s">
        <v>5320</v>
      </c>
      <c r="I1655" s="20" t="s">
        <v>5334</v>
      </c>
      <c r="J1655" s="32" t="s">
        <v>7470</v>
      </c>
      <c r="K1655" s="32" t="s">
        <v>7470</v>
      </c>
      <c r="L1655" s="23" t="s">
        <v>92</v>
      </c>
      <c r="M1655" s="24" t="s">
        <v>7738</v>
      </c>
      <c r="N1655" s="23">
        <v>18848093</v>
      </c>
      <c r="O1655" s="25" t="s">
        <v>52</v>
      </c>
      <c r="P1655" s="25" t="s">
        <v>53</v>
      </c>
      <c r="Q1655" s="20" t="s">
        <v>7471</v>
      </c>
      <c r="R1655" s="20">
        <v>96125666</v>
      </c>
      <c r="S1655" s="25" t="s">
        <v>7050</v>
      </c>
      <c r="T1655" s="44" t="s">
        <v>77</v>
      </c>
      <c r="U1655" s="23">
        <v>351307358454373</v>
      </c>
      <c r="V1655" s="27" t="s">
        <v>78</v>
      </c>
      <c r="W1655" s="20" t="s">
        <v>79</v>
      </c>
      <c r="X1655" s="20" t="s">
        <v>79</v>
      </c>
      <c r="Y1655" s="20" t="s">
        <v>79</v>
      </c>
      <c r="Z1655" s="20">
        <v>0</v>
      </c>
      <c r="AA1655" s="20">
        <v>0</v>
      </c>
      <c r="AB1655" s="20" t="s">
        <v>7472</v>
      </c>
      <c r="AC1655" s="28">
        <v>559.48</v>
      </c>
      <c r="AD1655" s="28">
        <f>SUM(BASE[[#This Row],[MONTO DE RENTA ]]*1.16)</f>
        <v>648.99680000000001</v>
      </c>
      <c r="AE1655" s="28" t="s">
        <v>83</v>
      </c>
      <c r="AF1655" s="28">
        <v>559.48275862068965</v>
      </c>
      <c r="AG1655" s="28">
        <v>649</v>
      </c>
      <c r="AH1655" s="22" t="s">
        <v>116</v>
      </c>
      <c r="AI1655" s="29">
        <v>45730</v>
      </c>
      <c r="AJ1655" s="29">
        <v>46460</v>
      </c>
      <c r="AK1655" s="30">
        <f ca="1">IFERROR(IF(BASE[[#This Row],[FECHA DE RENOVACION ]]&gt;TODAY(), DATEDIF(TODAY(),BASE[[#This Row],[FECHA DE RENOVACION ]],"M"), -DATEDIF(BASE[[#This Row],[FECHA DE RENOVACION ]],TODAY(),"M")), "Sin fecha")</f>
        <v>12</v>
      </c>
      <c r="AL1655" s="20">
        <v>18848093</v>
      </c>
      <c r="AM1655" s="30"/>
      <c r="AN1655" s="20" t="s">
        <v>65</v>
      </c>
      <c r="AP1655" s="20" t="s">
        <v>84</v>
      </c>
    </row>
    <row r="1656" spans="1:43" ht="15" customHeight="1">
      <c r="A1656" s="20">
        <v>7773273371</v>
      </c>
      <c r="B1656" s="49">
        <v>410023</v>
      </c>
      <c r="C1656" s="20" t="s">
        <v>7473</v>
      </c>
      <c r="D1656" s="20" t="s">
        <v>229</v>
      </c>
      <c r="E1656" s="20" t="s">
        <v>657</v>
      </c>
      <c r="F1656" s="20" t="s">
        <v>5288</v>
      </c>
      <c r="G1656" s="20" t="s">
        <v>5288</v>
      </c>
      <c r="H1656" s="20" t="s">
        <v>5289</v>
      </c>
      <c r="I1656" s="20" t="s">
        <v>5288</v>
      </c>
      <c r="J1656" s="22" t="s">
        <v>7474</v>
      </c>
      <c r="K1656" s="22" t="s">
        <v>7475</v>
      </c>
      <c r="L1656" s="23" t="s">
        <v>92</v>
      </c>
      <c r="M1656" s="24" t="s">
        <v>7738</v>
      </c>
      <c r="N1656" s="23">
        <v>18848028</v>
      </c>
      <c r="O1656" s="25" t="s">
        <v>52</v>
      </c>
      <c r="P1656" s="25" t="s">
        <v>53</v>
      </c>
      <c r="Q1656" s="20" t="s">
        <v>7476</v>
      </c>
      <c r="R1656" s="20">
        <v>91442191</v>
      </c>
      <c r="S1656" s="25" t="s">
        <v>55</v>
      </c>
      <c r="T1656" s="26" t="s">
        <v>56</v>
      </c>
      <c r="U1656" s="23">
        <v>860982060896378</v>
      </c>
      <c r="V1656" s="27" t="s">
        <v>78</v>
      </c>
      <c r="W1656" s="20" t="s">
        <v>129</v>
      </c>
      <c r="X1656" s="20" t="s">
        <v>130</v>
      </c>
      <c r="Y1656" s="20" t="s">
        <v>130</v>
      </c>
      <c r="Z1656" s="20" t="s">
        <v>60</v>
      </c>
      <c r="AA1656" s="20" t="s">
        <v>61</v>
      </c>
      <c r="AB1656" s="20" t="s">
        <v>82</v>
      </c>
      <c r="AC1656" s="28">
        <v>559.48</v>
      </c>
      <c r="AD1656" s="28">
        <f>SUM(BASE[[#This Row],[MONTO DE RENTA ]]*1.16)</f>
        <v>648.99680000000001</v>
      </c>
      <c r="AE1656" s="28" t="s">
        <v>83</v>
      </c>
      <c r="AF1656" s="28">
        <v>559.48275862068965</v>
      </c>
      <c r="AG1656" s="28">
        <v>649</v>
      </c>
      <c r="AI1656" s="29">
        <v>44937</v>
      </c>
      <c r="AJ1656" s="50">
        <v>46043</v>
      </c>
      <c r="AK165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56" s="30"/>
      <c r="AN1656" s="20" t="s">
        <v>99</v>
      </c>
      <c r="AP1656" s="20" t="s">
        <v>84</v>
      </c>
      <c r="AQ1656" s="20" t="s">
        <v>100</v>
      </c>
    </row>
    <row r="1657" spans="1:43" ht="15" customHeight="1">
      <c r="A1657" s="20">
        <v>8116683812</v>
      </c>
      <c r="B1657" s="49">
        <v>6980</v>
      </c>
      <c r="C1657" s="20" t="s">
        <v>1235</v>
      </c>
      <c r="D1657" s="20" t="s">
        <v>172</v>
      </c>
      <c r="E1657" s="20" t="s">
        <v>657</v>
      </c>
      <c r="F1657" s="20" t="s">
        <v>6953</v>
      </c>
      <c r="G1657" s="20" t="s">
        <v>6953</v>
      </c>
      <c r="H1657" s="20" t="s">
        <v>208</v>
      </c>
      <c r="I1657" s="20" t="s">
        <v>6953</v>
      </c>
      <c r="J1657" s="22" t="s">
        <v>7477</v>
      </c>
      <c r="K1657" s="32" t="s">
        <v>7478</v>
      </c>
      <c r="L1657" s="23" t="s">
        <v>92</v>
      </c>
      <c r="M1657" s="24" t="s">
        <v>7738</v>
      </c>
      <c r="N1657" s="23">
        <v>18848106</v>
      </c>
      <c r="O1657" s="25" t="s">
        <v>74</v>
      </c>
      <c r="P1657" s="25" t="s">
        <v>53</v>
      </c>
      <c r="Q1657" s="20" t="s">
        <v>7479</v>
      </c>
      <c r="R1657" s="20">
        <v>42920449</v>
      </c>
      <c r="S1657" s="25" t="s">
        <v>55</v>
      </c>
      <c r="T1657" s="26" t="s">
        <v>56</v>
      </c>
      <c r="U1657" s="23">
        <v>865356065670861</v>
      </c>
      <c r="V1657" s="27" t="s">
        <v>183</v>
      </c>
      <c r="W1657" s="20" t="s">
        <v>129</v>
      </c>
      <c r="X1657" s="20" t="s">
        <v>130</v>
      </c>
      <c r="Y1657" s="20" t="s">
        <v>130</v>
      </c>
      <c r="Z1657" s="20" t="s">
        <v>60</v>
      </c>
      <c r="AA1657" s="20" t="s">
        <v>61</v>
      </c>
      <c r="AB1657" s="20" t="s">
        <v>96</v>
      </c>
      <c r="AC1657" s="28">
        <v>369.83</v>
      </c>
      <c r="AD1657" s="28">
        <f>SUM(BASE[[#This Row],[MONTO DE RENTA ]]*1.16)</f>
        <v>429.00279999999998</v>
      </c>
      <c r="AE1657" s="28" t="s">
        <v>63</v>
      </c>
      <c r="AF1657" s="28">
        <v>369.82758620689657</v>
      </c>
      <c r="AG1657" s="28">
        <v>429</v>
      </c>
      <c r="AI1657" s="29">
        <v>44937</v>
      </c>
      <c r="AJ1657" s="50">
        <v>46043</v>
      </c>
      <c r="AK165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57" s="30"/>
      <c r="AN1657" s="20" t="s">
        <v>99</v>
      </c>
      <c r="AP1657" s="20" t="s">
        <v>84</v>
      </c>
      <c r="AQ1657" s="20" t="s">
        <v>100</v>
      </c>
    </row>
    <row r="1658" spans="1:43" ht="15" customHeight="1">
      <c r="A1658" s="20">
        <v>8113229692</v>
      </c>
      <c r="B1658" s="49">
        <v>6318</v>
      </c>
      <c r="C1658" s="20" t="s">
        <v>1235</v>
      </c>
      <c r="D1658" s="20" t="s">
        <v>468</v>
      </c>
      <c r="E1658" s="20" t="s">
        <v>216</v>
      </c>
      <c r="F1658" s="20" t="s">
        <v>7480</v>
      </c>
      <c r="G1658" s="20" t="s">
        <v>7480</v>
      </c>
      <c r="H1658" s="20" t="s">
        <v>199</v>
      </c>
      <c r="I1658" s="20" t="s">
        <v>7480</v>
      </c>
      <c r="J1658" s="22" t="s">
        <v>7481</v>
      </c>
      <c r="K1658" s="22" t="s">
        <v>7482</v>
      </c>
      <c r="L1658" s="23" t="s">
        <v>92</v>
      </c>
      <c r="M1658" s="24" t="s">
        <v>7738</v>
      </c>
      <c r="N1658" s="23">
        <v>18848007</v>
      </c>
      <c r="O1658" s="25" t="s">
        <v>74</v>
      </c>
      <c r="P1658" s="25" t="s">
        <v>53</v>
      </c>
      <c r="Q1658" s="20" t="s">
        <v>7483</v>
      </c>
      <c r="R1658" s="20">
        <v>42862042</v>
      </c>
      <c r="S1658" s="25" t="s">
        <v>55</v>
      </c>
      <c r="T1658" s="26" t="s">
        <v>56</v>
      </c>
      <c r="U1658" s="23">
        <v>353621623084882</v>
      </c>
      <c r="V1658" s="27" t="s">
        <v>78</v>
      </c>
      <c r="W1658" s="20" t="s">
        <v>7484</v>
      </c>
      <c r="X1658" s="20" t="s">
        <v>7484</v>
      </c>
      <c r="Y1658" s="20" t="s">
        <v>7484</v>
      </c>
      <c r="Z1658" s="20" t="s">
        <v>60</v>
      </c>
      <c r="AA1658" s="20" t="s">
        <v>61</v>
      </c>
      <c r="AB1658" s="20" t="s">
        <v>5878</v>
      </c>
      <c r="AC1658" s="28">
        <v>516.38</v>
      </c>
      <c r="AD1658" s="28">
        <f>SUM(BASE[[#This Row],[MONTO DE RENTA ]]*1.16)</f>
        <v>599.00079999999991</v>
      </c>
      <c r="AE1658" s="28" t="s">
        <v>83</v>
      </c>
      <c r="AF1658" s="28">
        <v>559.48275862068965</v>
      </c>
      <c r="AG1658" s="28">
        <v>649</v>
      </c>
      <c r="AI1658" s="29">
        <v>44937</v>
      </c>
      <c r="AJ1658" s="50">
        <v>46043</v>
      </c>
      <c r="AK165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58" s="30" t="s">
        <v>5952</v>
      </c>
      <c r="AN1658" s="20" t="s">
        <v>99</v>
      </c>
      <c r="AP1658" s="20" t="s">
        <v>66</v>
      </c>
      <c r="AQ1658" s="20" t="s">
        <v>100</v>
      </c>
    </row>
    <row r="1659" spans="1:43" ht="15" customHeight="1">
      <c r="A1659" s="20">
        <v>8113215931</v>
      </c>
      <c r="B1659" s="21">
        <v>6576</v>
      </c>
      <c r="C1659" s="20" t="s">
        <v>3273</v>
      </c>
      <c r="D1659" s="20" t="s">
        <v>281</v>
      </c>
      <c r="E1659" s="20" t="s">
        <v>3757</v>
      </c>
      <c r="F1659" s="20" t="s">
        <v>7485</v>
      </c>
      <c r="G1659" s="20" t="s">
        <v>7485</v>
      </c>
      <c r="H1659" s="20" t="s">
        <v>5289</v>
      </c>
      <c r="I1659" s="20" t="s">
        <v>7485</v>
      </c>
      <c r="J1659" s="22" t="s">
        <v>7486</v>
      </c>
      <c r="K1659" s="22" t="s">
        <v>7486</v>
      </c>
      <c r="L1659" s="23" t="s">
        <v>92</v>
      </c>
      <c r="M1659" s="24" t="s">
        <v>7738</v>
      </c>
      <c r="N1659" s="23">
        <v>18848027</v>
      </c>
      <c r="O1659" s="25" t="s">
        <v>74</v>
      </c>
      <c r="P1659" s="25" t="s">
        <v>53</v>
      </c>
      <c r="Q1659" s="20" t="s">
        <v>7487</v>
      </c>
      <c r="R1659" s="20">
        <v>43090477</v>
      </c>
      <c r="S1659" s="25" t="s">
        <v>7488</v>
      </c>
      <c r="T1659" s="26" t="s">
        <v>77</v>
      </c>
      <c r="U1659" s="23">
        <v>355708337389042</v>
      </c>
      <c r="V1659" s="27" t="s">
        <v>78</v>
      </c>
      <c r="W1659" s="20" t="s">
        <v>1164</v>
      </c>
      <c r="X1659" s="20" t="s">
        <v>1164</v>
      </c>
      <c r="Y1659" s="20" t="s">
        <v>1164</v>
      </c>
      <c r="Z1659" s="20" t="s">
        <v>167</v>
      </c>
      <c r="AA1659" s="20" t="s">
        <v>168</v>
      </c>
      <c r="AB1659" s="20" t="s">
        <v>82</v>
      </c>
      <c r="AC1659" s="28">
        <v>559.48</v>
      </c>
      <c r="AD1659" s="28">
        <f>SUM(BASE[[#This Row],[MONTO DE RENTA ]]*1.16)</f>
        <v>648.99680000000001</v>
      </c>
      <c r="AE1659" s="28" t="s">
        <v>83</v>
      </c>
      <c r="AF1659" s="28">
        <v>559.48275862068965</v>
      </c>
      <c r="AG1659" s="28">
        <v>649</v>
      </c>
      <c r="AH1659" s="22" t="s">
        <v>64</v>
      </c>
      <c r="AI1659" s="29">
        <v>45669</v>
      </c>
      <c r="AJ1659" s="29">
        <v>46399</v>
      </c>
      <c r="AK165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M1659" s="30"/>
      <c r="AN1659" s="20" t="s">
        <v>65</v>
      </c>
      <c r="AP1659" s="20" t="s">
        <v>84</v>
      </c>
    </row>
    <row r="1660" spans="1:43" ht="15" customHeight="1">
      <c r="A1660" s="20">
        <v>8110220586</v>
      </c>
      <c r="B1660" s="49">
        <v>1008887</v>
      </c>
      <c r="C1660" s="20" t="s">
        <v>3273</v>
      </c>
      <c r="D1660" s="20" t="s">
        <v>7489</v>
      </c>
      <c r="E1660" s="20" t="s">
        <v>7490</v>
      </c>
      <c r="F1660" s="20" t="s">
        <v>5724</v>
      </c>
      <c r="G1660" s="20" t="s">
        <v>5724</v>
      </c>
      <c r="H1660" s="20" t="s">
        <v>208</v>
      </c>
      <c r="I1660" s="20" t="s">
        <v>5724</v>
      </c>
      <c r="J1660" s="54" t="s">
        <v>7491</v>
      </c>
      <c r="K1660" s="54" t="s">
        <v>7491</v>
      </c>
      <c r="L1660" s="23" t="s">
        <v>92</v>
      </c>
      <c r="M1660" s="24" t="s">
        <v>7738</v>
      </c>
      <c r="N1660" s="23">
        <v>18848090</v>
      </c>
      <c r="O1660" s="25" t="s">
        <v>74</v>
      </c>
      <c r="P1660" s="25" t="s">
        <v>53</v>
      </c>
      <c r="Q1660" s="20" t="s">
        <v>7492</v>
      </c>
      <c r="R1660" s="20">
        <v>43149873</v>
      </c>
      <c r="S1660" s="25" t="s">
        <v>7493</v>
      </c>
      <c r="T1660" s="44" t="s">
        <v>77</v>
      </c>
      <c r="U1660" s="23">
        <v>356638832346982</v>
      </c>
      <c r="V1660" s="27" t="s">
        <v>183</v>
      </c>
      <c r="W1660" s="20" t="s">
        <v>214</v>
      </c>
      <c r="X1660" s="20" t="s">
        <v>214</v>
      </c>
      <c r="Y1660" s="20" t="s">
        <v>214</v>
      </c>
      <c r="Z1660" s="20" t="s">
        <v>60</v>
      </c>
      <c r="AA1660" s="20" t="s">
        <v>61</v>
      </c>
      <c r="AB1660" s="20" t="s">
        <v>82</v>
      </c>
      <c r="AC1660" s="28">
        <v>559.48</v>
      </c>
      <c r="AD1660" s="28">
        <f>SUM(BASE[[#This Row],[MONTO DE RENTA ]]*1.16)</f>
        <v>648.99680000000001</v>
      </c>
      <c r="AE1660" s="28" t="s">
        <v>83</v>
      </c>
      <c r="AF1660" s="28">
        <v>559.48275862068965</v>
      </c>
      <c r="AG1660" s="28">
        <v>649</v>
      </c>
      <c r="AH1660" s="22" t="s">
        <v>116</v>
      </c>
      <c r="AI1660" s="29">
        <v>45833</v>
      </c>
      <c r="AJ1660" s="29">
        <v>46563</v>
      </c>
      <c r="AK1660" s="30">
        <f ca="1">IFERROR(IF(BASE[[#This Row],[FECHA DE RENOVACION ]]&gt;TODAY(), DATEDIF(TODAY(),BASE[[#This Row],[FECHA DE RENOVACION ]],"M"), -DATEDIF(BASE[[#This Row],[FECHA DE RENOVACION ]],TODAY(),"M")), "Sin fecha")</f>
        <v>15</v>
      </c>
      <c r="AL1660" s="24">
        <v>18848090</v>
      </c>
      <c r="AM1660" s="30"/>
      <c r="AN1660" s="20" t="s">
        <v>65</v>
      </c>
      <c r="AP1660" s="20" t="s">
        <v>84</v>
      </c>
    </row>
    <row r="1661" spans="1:43" s="328" customFormat="1" ht="15" customHeight="1">
      <c r="A1661">
        <v>8119167508</v>
      </c>
      <c r="B1661" s="49">
        <v>6108</v>
      </c>
      <c r="C1661" s="20" t="s">
        <v>4183</v>
      </c>
      <c r="D1661" s="20" t="s">
        <v>1463</v>
      </c>
      <c r="E1661" s="20" t="s">
        <v>7494</v>
      </c>
      <c r="F1661" s="20" t="s">
        <v>7495</v>
      </c>
      <c r="G1661" s="20" t="s">
        <v>7495</v>
      </c>
      <c r="H1661" s="20" t="s">
        <v>5730</v>
      </c>
      <c r="I1661" s="20" t="s">
        <v>7495</v>
      </c>
      <c r="J1661" s="22" t="s">
        <v>7496</v>
      </c>
      <c r="K1661" s="22" t="s">
        <v>7496</v>
      </c>
      <c r="L1661" s="23" t="s">
        <v>92</v>
      </c>
      <c r="M1661" s="24" t="s">
        <v>7738</v>
      </c>
      <c r="N1661" s="23">
        <v>18848085</v>
      </c>
      <c r="O1661" s="25" t="s">
        <v>74</v>
      </c>
      <c r="P1661" s="25" t="s">
        <v>53</v>
      </c>
      <c r="Q1661" s="20" t="s">
        <v>7497</v>
      </c>
      <c r="R1661" s="20">
        <v>42845304</v>
      </c>
      <c r="S1661" s="25" t="s">
        <v>55</v>
      </c>
      <c r="T1661" s="26" t="s">
        <v>56</v>
      </c>
      <c r="U1661" s="23">
        <v>358184144244399</v>
      </c>
      <c r="V1661" s="27" t="s">
        <v>78</v>
      </c>
      <c r="W1661" s="20" t="s">
        <v>7498</v>
      </c>
      <c r="X1661" s="20" t="s">
        <v>7498</v>
      </c>
      <c r="Y1661" s="20" t="s">
        <v>7498</v>
      </c>
      <c r="Z1661" s="20" t="s">
        <v>60</v>
      </c>
      <c r="AA1661" s="20" t="s">
        <v>61</v>
      </c>
      <c r="AB1661" s="20" t="s">
        <v>82</v>
      </c>
      <c r="AC1661" s="28">
        <v>559.48</v>
      </c>
      <c r="AD1661" s="28">
        <f>SUM(BASE[[#This Row],[MONTO DE RENTA ]]*1.16)</f>
        <v>648.99680000000001</v>
      </c>
      <c r="AE1661" s="28" t="s">
        <v>83</v>
      </c>
      <c r="AF1661" s="28">
        <v>559.48275862068965</v>
      </c>
      <c r="AG1661" s="28">
        <v>649</v>
      </c>
      <c r="AH1661" s="22"/>
      <c r="AI1661" s="29">
        <v>44937</v>
      </c>
      <c r="AJ1661" s="50">
        <v>46043</v>
      </c>
      <c r="AK166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661" s="20"/>
      <c r="AM1661" s="30"/>
      <c r="AN1661" s="20" t="s">
        <v>99</v>
      </c>
      <c r="AO1661" s="20"/>
      <c r="AP1661" s="20" t="s">
        <v>84</v>
      </c>
      <c r="AQ1661" s="20" t="s">
        <v>100</v>
      </c>
    </row>
    <row r="1662" spans="1:43" ht="15" customHeight="1">
      <c r="A1662" s="20">
        <v>8126800091</v>
      </c>
      <c r="B1662" s="49">
        <v>6115</v>
      </c>
      <c r="C1662" s="20" t="s">
        <v>7499</v>
      </c>
      <c r="D1662" s="20" t="s">
        <v>2538</v>
      </c>
      <c r="E1662" s="20" t="s">
        <v>187</v>
      </c>
      <c r="F1662" s="20" t="s">
        <v>7500</v>
      </c>
      <c r="G1662" s="20" t="s">
        <v>7500</v>
      </c>
      <c r="H1662" s="20" t="s">
        <v>199</v>
      </c>
      <c r="I1662" s="20" t="s">
        <v>7500</v>
      </c>
      <c r="J1662" s="32" t="s">
        <v>7501</v>
      </c>
      <c r="K1662" s="32" t="s">
        <v>7502</v>
      </c>
      <c r="L1662" s="23" t="s">
        <v>6637</v>
      </c>
      <c r="M1662" s="24" t="s">
        <v>7738</v>
      </c>
      <c r="N1662" s="23">
        <v>11313000</v>
      </c>
      <c r="O1662" s="25" t="s">
        <v>74</v>
      </c>
      <c r="P1662" s="25" t="s">
        <v>53</v>
      </c>
      <c r="Q1662" s="20" t="s">
        <v>7503</v>
      </c>
      <c r="R1662" s="20">
        <v>44114346</v>
      </c>
      <c r="S1662" s="25" t="s">
        <v>55</v>
      </c>
      <c r="T1662" s="26" t="s">
        <v>56</v>
      </c>
      <c r="U1662" s="23">
        <v>865356065729220</v>
      </c>
      <c r="V1662" s="27" t="s">
        <v>183</v>
      </c>
      <c r="W1662" s="20" t="s">
        <v>129</v>
      </c>
      <c r="X1662" s="20" t="s">
        <v>130</v>
      </c>
      <c r="Y1662" s="20" t="s">
        <v>130</v>
      </c>
      <c r="Z1662" s="20" t="s">
        <v>60</v>
      </c>
      <c r="AA1662" s="20" t="s">
        <v>61</v>
      </c>
      <c r="AB1662" s="20" t="s">
        <v>96</v>
      </c>
      <c r="AC1662" s="28">
        <v>369.83</v>
      </c>
      <c r="AD1662" s="28">
        <f>SUM(BASE[[#This Row],[MONTO DE RENTA ]]*1.16)</f>
        <v>429.00279999999998</v>
      </c>
      <c r="AE1662" s="28" t="s">
        <v>63</v>
      </c>
      <c r="AF1662" s="28">
        <v>369.82758620689657</v>
      </c>
      <c r="AG1662" s="28">
        <v>429</v>
      </c>
      <c r="AI1662" s="29">
        <v>44937</v>
      </c>
      <c r="AJ1662" s="50">
        <v>46043</v>
      </c>
      <c r="AK166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62" s="30"/>
      <c r="AN1662" s="20" t="s">
        <v>99</v>
      </c>
      <c r="AP1662" s="20" t="s">
        <v>84</v>
      </c>
      <c r="AQ1662" s="20" t="s">
        <v>100</v>
      </c>
    </row>
    <row r="1663" spans="1:43" ht="15" customHeight="1">
      <c r="A1663" s="171">
        <v>8128600175</v>
      </c>
      <c r="B1663" s="213">
        <v>1075332</v>
      </c>
      <c r="C1663" s="20" t="s">
        <v>7504</v>
      </c>
      <c r="D1663" s="20" t="s">
        <v>4794</v>
      </c>
      <c r="E1663" s="20" t="s">
        <v>152</v>
      </c>
      <c r="F1663" s="20" t="s">
        <v>5504</v>
      </c>
      <c r="G1663" s="20" t="s">
        <v>5504</v>
      </c>
      <c r="H1663" s="20" t="s">
        <v>231</v>
      </c>
      <c r="I1663" s="20" t="s">
        <v>5504</v>
      </c>
      <c r="J1663" s="172" t="s">
        <v>7505</v>
      </c>
      <c r="K1663" s="172" t="s">
        <v>7505</v>
      </c>
      <c r="L1663" s="23" t="s">
        <v>92</v>
      </c>
      <c r="M1663" s="24" t="s">
        <v>7738</v>
      </c>
      <c r="N1663" s="23">
        <v>18848062</v>
      </c>
      <c r="O1663" s="25" t="s">
        <v>74</v>
      </c>
      <c r="P1663" s="25" t="s">
        <v>53</v>
      </c>
      <c r="Q1663" s="20" t="s">
        <v>7506</v>
      </c>
      <c r="R1663" s="20">
        <v>45017377</v>
      </c>
      <c r="S1663" s="25" t="s">
        <v>7507</v>
      </c>
      <c r="T1663" s="173" t="s">
        <v>57</v>
      </c>
      <c r="U1663" s="23">
        <v>860900062264825</v>
      </c>
      <c r="V1663" s="174" t="s">
        <v>57</v>
      </c>
      <c r="W1663" s="20" t="s">
        <v>58</v>
      </c>
      <c r="X1663" s="20" t="s">
        <v>59</v>
      </c>
      <c r="Y1663" s="20" t="s">
        <v>59</v>
      </c>
      <c r="Z1663" s="20" t="s">
        <v>167</v>
      </c>
      <c r="AA1663" s="20" t="s">
        <v>168</v>
      </c>
      <c r="AB1663" s="20" t="s">
        <v>96</v>
      </c>
      <c r="AC1663" s="28">
        <v>369.83</v>
      </c>
      <c r="AD1663" s="28">
        <f>SUM(BASE[[#This Row],[MONTO DE RENTA ]]*1.16)</f>
        <v>429.00279999999998</v>
      </c>
      <c r="AE1663" s="28" t="s">
        <v>63</v>
      </c>
      <c r="AF1663" s="28">
        <v>369.82758620689657</v>
      </c>
      <c r="AG1663" s="28">
        <v>429</v>
      </c>
      <c r="AH1663" s="22" t="s">
        <v>64</v>
      </c>
      <c r="AI1663" s="29">
        <v>45703</v>
      </c>
      <c r="AJ1663" s="301">
        <v>46408</v>
      </c>
      <c r="AK1663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663" s="171">
        <v>18848062</v>
      </c>
      <c r="AM1663" s="177"/>
      <c r="AN1663" s="20" t="s">
        <v>65</v>
      </c>
      <c r="AP1663" s="20" t="s">
        <v>84</v>
      </c>
    </row>
    <row r="1664" spans="1:43" s="51" customFormat="1" ht="15" customHeight="1">
      <c r="A1664" s="20">
        <v>8135515225</v>
      </c>
      <c r="B1664" s="59">
        <v>525026</v>
      </c>
      <c r="C1664" s="20" t="s">
        <v>7508</v>
      </c>
      <c r="D1664" s="20" t="s">
        <v>657</v>
      </c>
      <c r="E1664" s="20" t="s">
        <v>3640</v>
      </c>
      <c r="F1664" s="20" t="s">
        <v>530</v>
      </c>
      <c r="G1664" s="20" t="s">
        <v>530</v>
      </c>
      <c r="H1664" s="20" t="s">
        <v>48</v>
      </c>
      <c r="I1664" s="20" t="s">
        <v>530</v>
      </c>
      <c r="J1664" s="96" t="s">
        <v>7509</v>
      </c>
      <c r="K1664" s="22" t="s">
        <v>7509</v>
      </c>
      <c r="L1664" s="23" t="s">
        <v>2823</v>
      </c>
      <c r="M1664" s="24" t="s">
        <v>7737</v>
      </c>
      <c r="N1664" s="23">
        <v>11175000</v>
      </c>
      <c r="O1664" s="25" t="s">
        <v>74</v>
      </c>
      <c r="P1664" s="25" t="s">
        <v>53</v>
      </c>
      <c r="Q1664" s="20" t="s">
        <v>7510</v>
      </c>
      <c r="R1664" s="20">
        <v>44918829</v>
      </c>
      <c r="S1664" s="25" t="s">
        <v>6511</v>
      </c>
      <c r="T1664" s="26" t="s">
        <v>57</v>
      </c>
      <c r="U1664" s="23" t="s">
        <v>193</v>
      </c>
      <c r="V1664" s="27" t="s">
        <v>57</v>
      </c>
      <c r="W1664" s="20" t="s">
        <v>194</v>
      </c>
      <c r="X1664" s="20" t="s">
        <v>194</v>
      </c>
      <c r="Y1664" s="20" t="s">
        <v>194</v>
      </c>
      <c r="Z1664" s="20" t="s">
        <v>167</v>
      </c>
      <c r="AA1664" s="20" t="s">
        <v>168</v>
      </c>
      <c r="AB1664" s="20" t="s">
        <v>96</v>
      </c>
      <c r="AC1664" s="28">
        <v>369.83</v>
      </c>
      <c r="AD1664" s="28">
        <f>SUM(BASE[[#This Row],[MONTO DE RENTA ]]*1.16)</f>
        <v>429.00279999999998</v>
      </c>
      <c r="AE1664" s="28" t="s">
        <v>63</v>
      </c>
      <c r="AF1664" s="28">
        <v>369.82758620689657</v>
      </c>
      <c r="AG1664" s="28">
        <v>429</v>
      </c>
      <c r="AH1664" s="22"/>
      <c r="AI1664" s="29">
        <v>44937</v>
      </c>
      <c r="AJ1664" s="46">
        <v>46681</v>
      </c>
      <c r="AK1664" s="30">
        <f ca="1">IFERROR(IF(BASE[[#This Row],[FECHA DE RENOVACION ]]&gt;TODAY(), DATEDIF(TODAY(),BASE[[#This Row],[FECHA DE RENOVACION ]],"M"), -DATEDIF(BASE[[#This Row],[FECHA DE RENOVACION ]],TODAY(),"M")), "Sin fecha")</f>
        <v>19</v>
      </c>
      <c r="AL1664" s="20"/>
      <c r="AM1664" s="30"/>
      <c r="AN1664" s="20" t="s">
        <v>65</v>
      </c>
      <c r="AO1664" s="20"/>
      <c r="AP1664" s="20" t="s">
        <v>84</v>
      </c>
      <c r="AQ1664" s="20"/>
    </row>
    <row r="1665" spans="1:64" ht="15" customHeight="1">
      <c r="A1665" s="20">
        <v>8110220332</v>
      </c>
      <c r="B1665" s="49">
        <v>1025318</v>
      </c>
      <c r="C1665" s="20" t="s">
        <v>7511</v>
      </c>
      <c r="D1665" s="20" t="s">
        <v>376</v>
      </c>
      <c r="E1665" s="20" t="s">
        <v>405</v>
      </c>
      <c r="F1665" s="20" t="s">
        <v>7512</v>
      </c>
      <c r="G1665" s="20" t="s">
        <v>7512</v>
      </c>
      <c r="H1665" s="20" t="s">
        <v>231</v>
      </c>
      <c r="I1665" s="20" t="s">
        <v>7512</v>
      </c>
      <c r="J1665" s="22" t="s">
        <v>7513</v>
      </c>
      <c r="K1665" s="22" t="s">
        <v>7514</v>
      </c>
      <c r="L1665" s="23" t="s">
        <v>92</v>
      </c>
      <c r="M1665" s="24" t="s">
        <v>7738</v>
      </c>
      <c r="N1665" s="23">
        <v>18848062</v>
      </c>
      <c r="O1665" s="25" t="s">
        <v>74</v>
      </c>
      <c r="P1665" s="25" t="s">
        <v>53</v>
      </c>
      <c r="Q1665" s="20" t="s">
        <v>7515</v>
      </c>
      <c r="R1665" s="20">
        <v>42896293</v>
      </c>
      <c r="S1665" s="25" t="s">
        <v>55</v>
      </c>
      <c r="T1665" s="26" t="s">
        <v>56</v>
      </c>
      <c r="U1665" s="23">
        <v>357654178386887</v>
      </c>
      <c r="V1665" s="27" t="s">
        <v>78</v>
      </c>
      <c r="W1665" s="20" t="s">
        <v>95</v>
      </c>
      <c r="X1665" s="20" t="s">
        <v>95</v>
      </c>
      <c r="Y1665" s="20" t="s">
        <v>95</v>
      </c>
      <c r="Z1665" s="20" t="s">
        <v>584</v>
      </c>
      <c r="AA1665" s="20" t="s">
        <v>585</v>
      </c>
      <c r="AB1665" s="20" t="s">
        <v>82</v>
      </c>
      <c r="AC1665" s="28">
        <v>559.48</v>
      </c>
      <c r="AD1665" s="28">
        <f>SUM(BASE[[#This Row],[MONTO DE RENTA ]]*1.16)</f>
        <v>648.99680000000001</v>
      </c>
      <c r="AE1665" s="28" t="s">
        <v>83</v>
      </c>
      <c r="AF1665" s="28">
        <v>559.48275862068965</v>
      </c>
      <c r="AG1665" s="28">
        <v>649</v>
      </c>
      <c r="AI1665" s="313">
        <v>44937</v>
      </c>
      <c r="AJ1665" s="317">
        <v>46043</v>
      </c>
      <c r="AK166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65" s="30"/>
      <c r="AN1665" s="20" t="s">
        <v>99</v>
      </c>
      <c r="AP1665" s="20" t="s">
        <v>84</v>
      </c>
      <c r="AQ1665" s="20" t="s">
        <v>100</v>
      </c>
    </row>
    <row r="1666" spans="1:64" s="51" customFormat="1" ht="15" customHeight="1">
      <c r="A1666" s="20">
        <v>8112449782</v>
      </c>
      <c r="B1666" s="49">
        <v>1002785</v>
      </c>
      <c r="C1666" s="20" t="s">
        <v>3927</v>
      </c>
      <c r="D1666" s="20" t="s">
        <v>580</v>
      </c>
      <c r="E1666" s="20" t="s">
        <v>143</v>
      </c>
      <c r="F1666" s="20" t="s">
        <v>5724</v>
      </c>
      <c r="G1666" s="20" t="s">
        <v>5724</v>
      </c>
      <c r="H1666" s="20" t="s">
        <v>208</v>
      </c>
      <c r="I1666" s="20" t="s">
        <v>5724</v>
      </c>
      <c r="J1666" s="22" t="s">
        <v>7516</v>
      </c>
      <c r="K1666" s="22" t="s">
        <v>7517</v>
      </c>
      <c r="L1666" s="23" t="s">
        <v>92</v>
      </c>
      <c r="M1666" s="24" t="s">
        <v>7738</v>
      </c>
      <c r="N1666" s="23">
        <v>18848087</v>
      </c>
      <c r="O1666" s="25" t="s">
        <v>74</v>
      </c>
      <c r="P1666" s="25" t="s">
        <v>53</v>
      </c>
      <c r="Q1666" s="20" t="s">
        <v>7518</v>
      </c>
      <c r="R1666" s="20">
        <v>43660990</v>
      </c>
      <c r="S1666" s="25" t="s">
        <v>55</v>
      </c>
      <c r="T1666" s="26" t="s">
        <v>56</v>
      </c>
      <c r="U1666" s="23">
        <v>357654178482330</v>
      </c>
      <c r="V1666" s="27" t="s">
        <v>78</v>
      </c>
      <c r="W1666" s="20" t="s">
        <v>95</v>
      </c>
      <c r="X1666" s="20" t="s">
        <v>95</v>
      </c>
      <c r="Y1666" s="20" t="s">
        <v>95</v>
      </c>
      <c r="Z1666" s="20" t="s">
        <v>60</v>
      </c>
      <c r="AA1666" s="20" t="s">
        <v>61</v>
      </c>
      <c r="AB1666" s="20" t="s">
        <v>96</v>
      </c>
      <c r="AC1666" s="28">
        <v>369.83</v>
      </c>
      <c r="AD1666" s="28">
        <f>SUM(BASE[[#This Row],[MONTO DE RENTA ]]*1.16)</f>
        <v>429.00279999999998</v>
      </c>
      <c r="AE1666" s="28" t="s">
        <v>97</v>
      </c>
      <c r="AF1666" s="28">
        <v>473.27586206896552</v>
      </c>
      <c r="AG1666" s="28">
        <v>549</v>
      </c>
      <c r="AH1666" s="22"/>
      <c r="AI1666" s="29">
        <v>44937</v>
      </c>
      <c r="AJ1666" s="50">
        <v>46043</v>
      </c>
      <c r="AK166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666" s="20"/>
      <c r="AM1666" s="30"/>
      <c r="AN1666" s="20" t="s">
        <v>99</v>
      </c>
      <c r="AO1666" s="20"/>
      <c r="AP1666" s="20" t="s">
        <v>66</v>
      </c>
      <c r="AQ1666" s="20" t="s">
        <v>100</v>
      </c>
    </row>
    <row r="1667" spans="1:64" ht="15" customHeight="1">
      <c r="A1667" s="20">
        <v>8110220323</v>
      </c>
      <c r="B1667" s="49">
        <v>1051854</v>
      </c>
      <c r="C1667" s="20" t="s">
        <v>475</v>
      </c>
      <c r="D1667" s="20" t="s">
        <v>172</v>
      </c>
      <c r="E1667" s="20" t="s">
        <v>216</v>
      </c>
      <c r="F1667" s="20" t="s">
        <v>7519</v>
      </c>
      <c r="G1667" s="20" t="s">
        <v>7519</v>
      </c>
      <c r="H1667" s="20" t="s">
        <v>5381</v>
      </c>
      <c r="I1667" s="20" t="s">
        <v>7519</v>
      </c>
      <c r="J1667" s="22" t="s">
        <v>7520</v>
      </c>
      <c r="K1667" s="22" t="s">
        <v>7520</v>
      </c>
      <c r="L1667" s="23" t="s">
        <v>92</v>
      </c>
      <c r="M1667" s="24" t="s">
        <v>7738</v>
      </c>
      <c r="N1667" s="23">
        <v>18848084</v>
      </c>
      <c r="O1667" s="25" t="s">
        <v>74</v>
      </c>
      <c r="P1667" s="25" t="s">
        <v>53</v>
      </c>
      <c r="Q1667" s="20" t="s">
        <v>7521</v>
      </c>
      <c r="R1667" s="20">
        <v>44008251</v>
      </c>
      <c r="S1667" s="25" t="s">
        <v>55</v>
      </c>
      <c r="T1667" s="278" t="s">
        <v>56</v>
      </c>
      <c r="U1667" s="23">
        <v>865356065729493</v>
      </c>
      <c r="V1667" s="27" t="s">
        <v>183</v>
      </c>
      <c r="W1667" s="20" t="s">
        <v>129</v>
      </c>
      <c r="X1667" s="20" t="s">
        <v>130</v>
      </c>
      <c r="Y1667" s="20" t="s">
        <v>130</v>
      </c>
      <c r="Z1667" s="20" t="s">
        <v>60</v>
      </c>
      <c r="AA1667" s="20" t="s">
        <v>61</v>
      </c>
      <c r="AB1667" s="20" t="s">
        <v>96</v>
      </c>
      <c r="AC1667" s="28">
        <v>369.83</v>
      </c>
      <c r="AD1667" s="28">
        <f>SUM(BASE[[#This Row],[MONTO DE RENTA ]]*1.16)</f>
        <v>429.00279999999998</v>
      </c>
      <c r="AE1667" s="28" t="s">
        <v>63</v>
      </c>
      <c r="AF1667" s="28">
        <v>369.82758620689657</v>
      </c>
      <c r="AG1667" s="28">
        <v>429</v>
      </c>
      <c r="AH1667" s="22" t="s">
        <v>64</v>
      </c>
      <c r="AI1667" s="29">
        <v>45323</v>
      </c>
      <c r="AJ1667" s="29">
        <v>46054</v>
      </c>
      <c r="AK166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67" s="30" t="s">
        <v>7522</v>
      </c>
      <c r="AN1667" s="20" t="s">
        <v>99</v>
      </c>
      <c r="AO1667" s="20" t="s">
        <v>355</v>
      </c>
      <c r="AP1667" s="20" t="s">
        <v>84</v>
      </c>
      <c r="AQ1667" s="20" t="s">
        <v>100</v>
      </c>
    </row>
    <row r="1668" spans="1:64" ht="16">
      <c r="A1668" s="34">
        <v>8120366974</v>
      </c>
      <c r="B1668" s="76">
        <v>1081019</v>
      </c>
      <c r="C1668" s="34" t="s">
        <v>7523</v>
      </c>
      <c r="D1668" s="34" t="s">
        <v>186</v>
      </c>
      <c r="E1668" s="34" t="s">
        <v>1362</v>
      </c>
      <c r="F1668" s="34" t="s">
        <v>5859</v>
      </c>
      <c r="G1668" s="34" t="s">
        <v>5859</v>
      </c>
      <c r="H1668" s="34" t="s">
        <v>5437</v>
      </c>
      <c r="I1668" s="34" t="s">
        <v>5859</v>
      </c>
      <c r="J1668" s="37" t="s">
        <v>7524</v>
      </c>
      <c r="K1668" s="37" t="s">
        <v>7524</v>
      </c>
      <c r="L1668" s="38" t="s">
        <v>92</v>
      </c>
      <c r="M1668" s="77" t="s">
        <v>7738</v>
      </c>
      <c r="N1668" s="38">
        <v>18848063</v>
      </c>
      <c r="O1668" s="110" t="s">
        <v>74</v>
      </c>
      <c r="P1668" s="25" t="s">
        <v>53</v>
      </c>
      <c r="Q1668" s="34" t="s">
        <v>7525</v>
      </c>
      <c r="R1668" s="34">
        <v>45530609</v>
      </c>
      <c r="S1668" s="110" t="s">
        <v>55</v>
      </c>
      <c r="T1668" s="39" t="s">
        <v>56</v>
      </c>
      <c r="U1668" s="38">
        <v>860900062264536</v>
      </c>
      <c r="V1668" s="60" t="s">
        <v>183</v>
      </c>
      <c r="W1668" s="34" t="s">
        <v>58</v>
      </c>
      <c r="X1668" s="20" t="s">
        <v>59</v>
      </c>
      <c r="Y1668" s="20" t="s">
        <v>59</v>
      </c>
      <c r="Z1668" s="34" t="s">
        <v>3085</v>
      </c>
      <c r="AA1668" s="34" t="s">
        <v>3086</v>
      </c>
      <c r="AB1668" s="34" t="s">
        <v>244</v>
      </c>
      <c r="AC1668" s="111">
        <v>473.28</v>
      </c>
      <c r="AD1668" s="111">
        <f>SUM(BASE[[#This Row],[MONTO DE RENTA ]]*1.16)</f>
        <v>549.00479999999993</v>
      </c>
      <c r="AE1668" s="28" t="s">
        <v>63</v>
      </c>
      <c r="AF1668" s="28">
        <v>369.82758620689657</v>
      </c>
      <c r="AG1668" s="28">
        <v>429</v>
      </c>
      <c r="AH1668" s="36" t="s">
        <v>116</v>
      </c>
      <c r="AI1668" s="46">
        <v>45889</v>
      </c>
      <c r="AJ1668" s="46">
        <v>46619</v>
      </c>
      <c r="AK1668" s="42">
        <f ca="1">IFERROR(IF(BASE[[#This Row],[FECHA DE RENOVACION ]]&gt;TODAY(), DATEDIF(TODAY(),BASE[[#This Row],[FECHA DE RENOVACION ]],"M"), -DATEDIF(BASE[[#This Row],[FECHA DE RENOVACION ]],TODAY(),"M")), "Sin fecha")</f>
        <v>17</v>
      </c>
      <c r="AL1668" s="34">
        <v>18848063</v>
      </c>
      <c r="AM1668" s="42"/>
      <c r="AN1668" s="20" t="s">
        <v>65</v>
      </c>
      <c r="AP1668" s="20" t="s">
        <v>118</v>
      </c>
    </row>
    <row r="1669" spans="1:64" ht="15" customHeight="1">
      <c r="A1669" s="242">
        <v>8126800094</v>
      </c>
      <c r="B1669" s="298">
        <v>1015602</v>
      </c>
      <c r="C1669" s="20" t="s">
        <v>4312</v>
      </c>
      <c r="D1669" s="20" t="s">
        <v>598</v>
      </c>
      <c r="E1669" s="20" t="s">
        <v>1432</v>
      </c>
      <c r="F1669" s="20" t="s">
        <v>7526</v>
      </c>
      <c r="G1669" s="20" t="s">
        <v>7526</v>
      </c>
      <c r="H1669" s="20" t="s">
        <v>208</v>
      </c>
      <c r="I1669" s="20" t="s">
        <v>7526</v>
      </c>
      <c r="J1669" s="244" t="s">
        <v>7527</v>
      </c>
      <c r="K1669" s="329" t="s">
        <v>7528</v>
      </c>
      <c r="L1669" s="23" t="s">
        <v>92</v>
      </c>
      <c r="M1669" s="24" t="s">
        <v>7738</v>
      </c>
      <c r="N1669" s="23">
        <v>18848052</v>
      </c>
      <c r="O1669" s="25" t="s">
        <v>74</v>
      </c>
      <c r="P1669" s="25" t="s">
        <v>53</v>
      </c>
      <c r="Q1669" s="20" t="s">
        <v>7529</v>
      </c>
      <c r="R1669" s="20">
        <v>44114377</v>
      </c>
      <c r="S1669" s="25" t="s">
        <v>55</v>
      </c>
      <c r="T1669" s="191" t="s">
        <v>56</v>
      </c>
      <c r="U1669" s="23">
        <v>865356065728834</v>
      </c>
      <c r="V1669" s="27" t="s">
        <v>183</v>
      </c>
      <c r="W1669" s="20" t="s">
        <v>129</v>
      </c>
      <c r="X1669" s="20" t="s">
        <v>130</v>
      </c>
      <c r="Y1669" s="20" t="s">
        <v>130</v>
      </c>
      <c r="Z1669" s="20" t="s">
        <v>60</v>
      </c>
      <c r="AA1669" s="20" t="s">
        <v>61</v>
      </c>
      <c r="AB1669" s="20" t="s">
        <v>96</v>
      </c>
      <c r="AC1669" s="28">
        <v>369.83</v>
      </c>
      <c r="AD1669" s="28">
        <f>SUM(BASE[[#This Row],[MONTO DE RENTA ]]*1.16)</f>
        <v>429.00279999999998</v>
      </c>
      <c r="AE1669" s="28" t="s">
        <v>63</v>
      </c>
      <c r="AF1669" s="28">
        <v>369.82758620689657</v>
      </c>
      <c r="AG1669" s="28">
        <v>429</v>
      </c>
      <c r="AH1669" s="245" t="s">
        <v>5666</v>
      </c>
      <c r="AI1669" s="246">
        <v>45433</v>
      </c>
      <c r="AJ1669" s="246">
        <v>46163</v>
      </c>
      <c r="AK1669" s="30">
        <f ca="1">IFERROR(IF(BASE[[#This Row],[FECHA DE RENOVACION ]]&gt;TODAY(), DATEDIF(TODAY(),BASE[[#This Row],[FECHA DE RENOVACION ]],"M"), -DATEDIF(BASE[[#This Row],[FECHA DE RENOVACION ]],TODAY(),"M")), "Sin fecha")</f>
        <v>2</v>
      </c>
      <c r="AL1669" s="242"/>
      <c r="AM1669" s="247"/>
      <c r="AN1669" s="20" t="s">
        <v>99</v>
      </c>
      <c r="AP1669" s="20" t="s">
        <v>84</v>
      </c>
      <c r="AQ1669" s="20" t="s">
        <v>100</v>
      </c>
    </row>
    <row r="1670" spans="1:64" ht="15" customHeight="1">
      <c r="A1670">
        <v>5625531578</v>
      </c>
      <c r="B1670" s="21">
        <v>890317</v>
      </c>
      <c r="C1670" s="20" t="s">
        <v>2990</v>
      </c>
      <c r="D1670" s="20" t="s">
        <v>686</v>
      </c>
      <c r="E1670" s="20" t="s">
        <v>171</v>
      </c>
      <c r="F1670" s="20" t="s">
        <v>6005</v>
      </c>
      <c r="G1670" s="20" t="s">
        <v>6005</v>
      </c>
      <c r="H1670" s="20" t="s">
        <v>5381</v>
      </c>
      <c r="I1670" s="20" t="s">
        <v>6005</v>
      </c>
      <c r="J1670" s="32" t="s">
        <v>7530</v>
      </c>
      <c r="K1670" s="32" t="s">
        <v>7531</v>
      </c>
      <c r="L1670" s="23" t="s">
        <v>92</v>
      </c>
      <c r="M1670" s="24" t="s">
        <v>7738</v>
      </c>
      <c r="N1670" s="23">
        <v>18848084</v>
      </c>
      <c r="O1670" s="25" t="s">
        <v>52</v>
      </c>
      <c r="P1670" s="25" t="s">
        <v>53</v>
      </c>
      <c r="Q1670" s="20" t="s">
        <v>7532</v>
      </c>
      <c r="R1670" s="20">
        <v>96984407</v>
      </c>
      <c r="S1670" s="25" t="s">
        <v>7533</v>
      </c>
      <c r="T1670" s="26" t="s">
        <v>57</v>
      </c>
      <c r="U1670" s="23">
        <v>860900062336417</v>
      </c>
      <c r="V1670" s="27" t="s">
        <v>57</v>
      </c>
      <c r="W1670" s="20" t="s">
        <v>58</v>
      </c>
      <c r="X1670" s="20" t="s">
        <v>59</v>
      </c>
      <c r="Y1670" s="20" t="s">
        <v>59</v>
      </c>
      <c r="Z1670" s="20" t="s">
        <v>167</v>
      </c>
      <c r="AA1670" s="20" t="s">
        <v>168</v>
      </c>
      <c r="AB1670" s="20" t="s">
        <v>96</v>
      </c>
      <c r="AC1670" s="28">
        <v>369.83</v>
      </c>
      <c r="AD1670" s="28">
        <f>SUM(BASE[[#This Row],[MONTO DE RENTA ]]*1.16)</f>
        <v>429.00279999999998</v>
      </c>
      <c r="AE1670" s="28" t="s">
        <v>63</v>
      </c>
      <c r="AF1670" s="28">
        <v>369.82758620689657</v>
      </c>
      <c r="AG1670" s="28">
        <v>429</v>
      </c>
      <c r="AI1670" s="63">
        <v>44937</v>
      </c>
      <c r="AJ1670" s="84">
        <v>46681</v>
      </c>
      <c r="AK1670" s="30">
        <f ca="1">IFERROR(IF(BASE[[#This Row],[FECHA DE RENOVACION ]]&gt;TODAY(), DATEDIF(TODAY(),BASE[[#This Row],[FECHA DE RENOVACION ]],"M"), -DATEDIF(BASE[[#This Row],[FECHA DE RENOVACION ]],TODAY(),"M")), "Sin fecha")</f>
        <v>19</v>
      </c>
      <c r="AM1670" s="30"/>
      <c r="AN1670" s="20" t="s">
        <v>65</v>
      </c>
      <c r="AP1670" s="20" t="s">
        <v>84</v>
      </c>
    </row>
    <row r="1671" spans="1:64" ht="16">
      <c r="A1671" s="330">
        <v>8112163381</v>
      </c>
      <c r="B1671" s="49">
        <v>1065798</v>
      </c>
      <c r="C1671" s="20" t="s">
        <v>7534</v>
      </c>
      <c r="D1671" s="20" t="s">
        <v>5046</v>
      </c>
      <c r="E1671" s="20" t="s">
        <v>7535</v>
      </c>
      <c r="F1671" s="20" t="s">
        <v>5612</v>
      </c>
      <c r="G1671" s="20" t="s">
        <v>5612</v>
      </c>
      <c r="H1671" s="20" t="s">
        <v>199</v>
      </c>
      <c r="I1671" s="20" t="s">
        <v>5612</v>
      </c>
      <c r="J1671" s="36" t="s">
        <v>7536</v>
      </c>
      <c r="K1671" s="36" t="s">
        <v>7536</v>
      </c>
      <c r="L1671" s="38" t="s">
        <v>92</v>
      </c>
      <c r="M1671" s="77" t="s">
        <v>7738</v>
      </c>
      <c r="N1671" s="23">
        <v>18848076</v>
      </c>
      <c r="O1671" s="25" t="s">
        <v>74</v>
      </c>
      <c r="P1671" s="25" t="s">
        <v>53</v>
      </c>
      <c r="Q1671" s="20" t="s">
        <v>7537</v>
      </c>
      <c r="R1671" s="20">
        <v>43778200</v>
      </c>
      <c r="S1671" s="25" t="s">
        <v>7538</v>
      </c>
      <c r="T1671" s="39" t="s">
        <v>57</v>
      </c>
      <c r="U1671" s="23">
        <v>860900062337696</v>
      </c>
      <c r="V1671" s="60" t="s">
        <v>183</v>
      </c>
      <c r="W1671" s="20" t="s">
        <v>58</v>
      </c>
      <c r="X1671" s="20" t="s">
        <v>59</v>
      </c>
      <c r="Y1671" s="20" t="s">
        <v>59</v>
      </c>
      <c r="Z1671" s="20" t="s">
        <v>131</v>
      </c>
      <c r="AA1671" s="20" t="s">
        <v>7539</v>
      </c>
      <c r="AB1671" s="20" t="s">
        <v>7540</v>
      </c>
      <c r="AC1671" s="28">
        <v>559.48</v>
      </c>
      <c r="AD1671" s="111">
        <f>SUM(BASE[[#This Row],[MONTO DE RENTA ]]*1.16)</f>
        <v>648.99680000000001</v>
      </c>
      <c r="AE1671" s="28" t="s">
        <v>63</v>
      </c>
      <c r="AF1671" s="28">
        <v>369.82758620689657</v>
      </c>
      <c r="AG1671" s="28">
        <v>429</v>
      </c>
      <c r="AH1671" s="36" t="s">
        <v>98</v>
      </c>
      <c r="AI1671" s="84">
        <v>46054</v>
      </c>
      <c r="AJ1671" s="84">
        <v>46784</v>
      </c>
      <c r="AK1671" s="42">
        <f ca="1">IFERROR(IF(BASE[[#This Row],[FECHA DE RENOVACION ]]&gt;TODAY(), DATEDIF(TODAY(),BASE[[#This Row],[FECHA DE RENOVACION ]],"M"), -DATEDIF(BASE[[#This Row],[FECHA DE RENOVACION ]],TODAY(),"M")), "Sin fecha")</f>
        <v>22</v>
      </c>
      <c r="AL1671" s="38">
        <v>18848076</v>
      </c>
      <c r="AM1671" s="30"/>
      <c r="AN1671" s="20" t="s">
        <v>65</v>
      </c>
      <c r="AP1671" s="20" t="s">
        <v>118</v>
      </c>
    </row>
    <row r="1672" spans="1:64" ht="16">
      <c r="A1672" s="20">
        <v>8135513121</v>
      </c>
      <c r="B1672" s="49">
        <v>1041420</v>
      </c>
      <c r="C1672" s="20" t="s">
        <v>7541</v>
      </c>
      <c r="D1672" s="20" t="s">
        <v>1182</v>
      </c>
      <c r="E1672" s="20" t="s">
        <v>4270</v>
      </c>
      <c r="F1672" s="20" t="s">
        <v>5855</v>
      </c>
      <c r="G1672" s="20" t="s">
        <v>5855</v>
      </c>
      <c r="H1672" s="20" t="s">
        <v>208</v>
      </c>
      <c r="I1672" s="20" t="s">
        <v>5855</v>
      </c>
      <c r="J1672" s="22" t="s">
        <v>7542</v>
      </c>
      <c r="K1672" s="32" t="s">
        <v>7543</v>
      </c>
      <c r="L1672" s="23" t="s">
        <v>92</v>
      </c>
      <c r="M1672" s="24" t="s">
        <v>7738</v>
      </c>
      <c r="N1672" s="23">
        <v>18848050</v>
      </c>
      <c r="O1672" s="25" t="s">
        <v>74</v>
      </c>
      <c r="P1672" s="25" t="s">
        <v>53</v>
      </c>
      <c r="Q1672" s="20" t="s">
        <v>7544</v>
      </c>
      <c r="R1672" s="20">
        <v>44114623</v>
      </c>
      <c r="S1672" s="25" t="s">
        <v>55</v>
      </c>
      <c r="T1672" s="26" t="s">
        <v>56</v>
      </c>
      <c r="U1672" s="23">
        <v>865356065730038</v>
      </c>
      <c r="V1672" s="27" t="s">
        <v>183</v>
      </c>
      <c r="W1672" s="20" t="s">
        <v>129</v>
      </c>
      <c r="X1672" s="20" t="s">
        <v>130</v>
      </c>
      <c r="Y1672" s="20" t="s">
        <v>130</v>
      </c>
      <c r="Z1672" s="20" t="s">
        <v>60</v>
      </c>
      <c r="AA1672" s="20" t="s">
        <v>61</v>
      </c>
      <c r="AB1672" s="20" t="s">
        <v>96</v>
      </c>
      <c r="AC1672" s="28">
        <v>369.83</v>
      </c>
      <c r="AD1672" s="28">
        <f>SUM(BASE[[#This Row],[MONTO DE RENTA ]]*1.16)</f>
        <v>429.00279999999998</v>
      </c>
      <c r="AE1672" s="28" t="s">
        <v>63</v>
      </c>
      <c r="AF1672" s="28">
        <v>369.82758620689657</v>
      </c>
      <c r="AG1672" s="28">
        <v>429</v>
      </c>
      <c r="AI1672" s="63">
        <v>44937</v>
      </c>
      <c r="AJ1672" s="73">
        <v>46043</v>
      </c>
      <c r="AK167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72" s="30"/>
      <c r="AN1672" s="20" t="s">
        <v>99</v>
      </c>
      <c r="AP1672" s="20" t="s">
        <v>84</v>
      </c>
      <c r="AQ1672" s="20" t="s">
        <v>100</v>
      </c>
    </row>
    <row r="1673" spans="1:64" ht="15" customHeight="1">
      <c r="A1673" s="20">
        <v>8122018987</v>
      </c>
      <c r="B1673" s="59">
        <v>1019620</v>
      </c>
      <c r="C1673" s="20" t="s">
        <v>7545</v>
      </c>
      <c r="D1673" s="20" t="s">
        <v>657</v>
      </c>
      <c r="E1673" s="20" t="s">
        <v>1182</v>
      </c>
      <c r="F1673" s="20" t="s">
        <v>5855</v>
      </c>
      <c r="G1673" s="20" t="s">
        <v>5855</v>
      </c>
      <c r="H1673" s="20" t="s">
        <v>208</v>
      </c>
      <c r="I1673" s="20" t="s">
        <v>5855</v>
      </c>
      <c r="J1673" s="32" t="s">
        <v>7546</v>
      </c>
      <c r="K1673" s="22" t="s">
        <v>7547</v>
      </c>
      <c r="L1673" s="23" t="s">
        <v>92</v>
      </c>
      <c r="M1673" s="24" t="s">
        <v>7738</v>
      </c>
      <c r="N1673" s="23">
        <v>18848050</v>
      </c>
      <c r="O1673" s="25" t="s">
        <v>74</v>
      </c>
      <c r="P1673" s="25" t="s">
        <v>53</v>
      </c>
      <c r="Q1673" s="20" t="s">
        <v>7548</v>
      </c>
      <c r="R1673" s="20">
        <v>45142623</v>
      </c>
      <c r="S1673" s="25" t="s">
        <v>55</v>
      </c>
      <c r="T1673" s="26" t="s">
        <v>56</v>
      </c>
      <c r="U1673" s="23">
        <v>865356065689309</v>
      </c>
      <c r="V1673" s="27" t="s">
        <v>183</v>
      </c>
      <c r="W1673" s="20" t="s">
        <v>129</v>
      </c>
      <c r="X1673" s="20" t="s">
        <v>130</v>
      </c>
      <c r="Y1673" s="20" t="s">
        <v>130</v>
      </c>
      <c r="Z1673" s="20" t="s">
        <v>60</v>
      </c>
      <c r="AA1673" s="20" t="s">
        <v>61</v>
      </c>
      <c r="AB1673" s="20" t="s">
        <v>62</v>
      </c>
      <c r="AC1673" s="28">
        <v>197.41</v>
      </c>
      <c r="AD1673" s="28">
        <f>SUM(BASE[[#This Row],[MONTO DE RENTA ]]*1.16)</f>
        <v>228.99559999999997</v>
      </c>
      <c r="AE1673" s="28" t="s">
        <v>63</v>
      </c>
      <c r="AF1673" s="28">
        <v>369.82758620689657</v>
      </c>
      <c r="AG1673" s="28">
        <v>429</v>
      </c>
      <c r="AI1673" s="63">
        <v>44937</v>
      </c>
      <c r="AJ1673" s="84">
        <v>46054</v>
      </c>
      <c r="AK167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73" s="30"/>
      <c r="AN1673" s="20" t="s">
        <v>99</v>
      </c>
      <c r="AP1673" s="20" t="s">
        <v>66</v>
      </c>
      <c r="AQ1673" s="20" t="s">
        <v>100</v>
      </c>
    </row>
    <row r="1674" spans="1:64" ht="15" customHeight="1">
      <c r="A1674" s="20">
        <v>8135505879</v>
      </c>
      <c r="B1674" s="49">
        <v>1067729</v>
      </c>
      <c r="C1674" s="20" t="s">
        <v>7549</v>
      </c>
      <c r="D1674" s="20" t="s">
        <v>45</v>
      </c>
      <c r="E1674" s="20" t="s">
        <v>2116</v>
      </c>
      <c r="F1674" s="20" t="s">
        <v>154</v>
      </c>
      <c r="G1674" s="20" t="s">
        <v>154</v>
      </c>
      <c r="H1674" s="20" t="s">
        <v>155</v>
      </c>
      <c r="I1674" s="20" t="s">
        <v>154</v>
      </c>
      <c r="J1674" s="54" t="s">
        <v>7550</v>
      </c>
      <c r="K1674" s="54" t="s">
        <v>7551</v>
      </c>
      <c r="L1674" s="23" t="s">
        <v>92</v>
      </c>
      <c r="M1674" s="24" t="s">
        <v>7738</v>
      </c>
      <c r="N1674" s="23">
        <v>18848003</v>
      </c>
      <c r="O1674" s="25" t="s">
        <v>74</v>
      </c>
      <c r="P1674" s="25" t="s">
        <v>53</v>
      </c>
      <c r="Q1674" s="20" t="s">
        <v>7552</v>
      </c>
      <c r="R1674" s="20">
        <v>45017375</v>
      </c>
      <c r="S1674" s="25" t="s">
        <v>7553</v>
      </c>
      <c r="T1674" s="81" t="s">
        <v>57</v>
      </c>
      <c r="U1674" s="23">
        <v>357654179217560</v>
      </c>
      <c r="V1674" s="27" t="s">
        <v>78</v>
      </c>
      <c r="W1674" s="20" t="s">
        <v>6506</v>
      </c>
      <c r="X1674" s="20" t="s">
        <v>6506</v>
      </c>
      <c r="Y1674" s="20" t="s">
        <v>6506</v>
      </c>
      <c r="Z1674" s="20" t="s">
        <v>167</v>
      </c>
      <c r="AA1674" s="20" t="s">
        <v>168</v>
      </c>
      <c r="AB1674" s="20" t="s">
        <v>96</v>
      </c>
      <c r="AC1674" s="28">
        <v>369.83</v>
      </c>
      <c r="AD1674" s="28">
        <f>SUM(BASE[[#This Row],[MONTO DE RENTA ]]*1.16)</f>
        <v>429.00279999999998</v>
      </c>
      <c r="AE1674" s="28" t="s">
        <v>97</v>
      </c>
      <c r="AF1674" s="28">
        <v>473.27586206896552</v>
      </c>
      <c r="AG1674" s="28">
        <v>549</v>
      </c>
      <c r="AH1674" s="22" t="s">
        <v>7345</v>
      </c>
      <c r="AI1674" s="29">
        <v>45455</v>
      </c>
      <c r="AJ1674" s="29">
        <v>46185</v>
      </c>
      <c r="AK1674" s="30">
        <f ca="1">IFERROR(IF(BASE[[#This Row],[FECHA DE RENOVACION ]]&gt;TODAY(), DATEDIF(TODAY(),BASE[[#This Row],[FECHA DE RENOVACION ]],"M"), -DATEDIF(BASE[[#This Row],[FECHA DE RENOVACION ]],TODAY(),"M")), "Sin fecha")</f>
        <v>3</v>
      </c>
      <c r="AM1674" s="30"/>
      <c r="AN1674" s="20" t="s">
        <v>65</v>
      </c>
      <c r="AO1674" s="20" t="s">
        <v>169</v>
      </c>
      <c r="AP1674" s="20" t="s">
        <v>66</v>
      </c>
      <c r="AQ1674" s="20" t="s">
        <v>100</v>
      </c>
    </row>
    <row r="1675" spans="1:64" ht="15" customHeight="1">
      <c r="A1675" s="20">
        <v>8113865184</v>
      </c>
      <c r="B1675" s="21">
        <v>510163</v>
      </c>
      <c r="C1675" s="20" t="s">
        <v>7554</v>
      </c>
      <c r="D1675" s="20" t="s">
        <v>376</v>
      </c>
      <c r="E1675" s="20" t="s">
        <v>324</v>
      </c>
      <c r="F1675" s="20" t="s">
        <v>5282</v>
      </c>
      <c r="G1675" s="20" t="s">
        <v>5282</v>
      </c>
      <c r="H1675" s="20" t="s">
        <v>155</v>
      </c>
      <c r="I1675" s="20" t="s">
        <v>5282</v>
      </c>
      <c r="J1675" s="234" t="s">
        <v>7555</v>
      </c>
      <c r="K1675" s="22" t="s">
        <v>7555</v>
      </c>
      <c r="L1675" s="23" t="s">
        <v>92</v>
      </c>
      <c r="M1675" s="24" t="s">
        <v>7738</v>
      </c>
      <c r="N1675" s="23">
        <v>18848080</v>
      </c>
      <c r="O1675" s="25" t="s">
        <v>74</v>
      </c>
      <c r="P1675" s="25" t="s">
        <v>53</v>
      </c>
      <c r="Q1675" s="20" t="s">
        <v>7556</v>
      </c>
      <c r="R1675" s="20">
        <v>42943855</v>
      </c>
      <c r="S1675" s="25" t="s">
        <v>7557</v>
      </c>
      <c r="T1675" s="26" t="s">
        <v>57</v>
      </c>
      <c r="U1675" s="23">
        <v>860900062334487</v>
      </c>
      <c r="V1675" s="27" t="s">
        <v>57</v>
      </c>
      <c r="W1675" s="20" t="s">
        <v>58</v>
      </c>
      <c r="X1675" s="20" t="s">
        <v>59</v>
      </c>
      <c r="Y1675" s="20" t="s">
        <v>59</v>
      </c>
      <c r="Z1675" s="20" t="s">
        <v>167</v>
      </c>
      <c r="AA1675" s="20" t="s">
        <v>168</v>
      </c>
      <c r="AB1675" s="20" t="s">
        <v>96</v>
      </c>
      <c r="AC1675" s="28">
        <v>369.83</v>
      </c>
      <c r="AD1675" s="28">
        <f>SUM(BASE[[#This Row],[MONTO DE RENTA ]]*1.16)</f>
        <v>429.00279999999998</v>
      </c>
      <c r="AE1675" s="28" t="s">
        <v>63</v>
      </c>
      <c r="AF1675" s="28">
        <v>369.82758620689657</v>
      </c>
      <c r="AG1675" s="28">
        <v>429</v>
      </c>
      <c r="AH1675" s="22" t="s">
        <v>64</v>
      </c>
      <c r="AI1675" s="63">
        <v>45703</v>
      </c>
      <c r="AJ1675" s="63">
        <v>46433</v>
      </c>
      <c r="AK167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75" s="30"/>
      <c r="AN1675" s="20" t="s">
        <v>65</v>
      </c>
      <c r="AP1675" s="20" t="s">
        <v>84</v>
      </c>
    </row>
    <row r="1676" spans="1:64" ht="16">
      <c r="A1676" s="331">
        <v>8134051042</v>
      </c>
      <c r="B1676" s="332">
        <v>1063208</v>
      </c>
      <c r="C1676" s="20" t="s">
        <v>7558</v>
      </c>
      <c r="D1676" s="20" t="s">
        <v>7459</v>
      </c>
      <c r="E1676" s="20" t="s">
        <v>417</v>
      </c>
      <c r="F1676" s="20" t="s">
        <v>5326</v>
      </c>
      <c r="G1676" s="20" t="s">
        <v>5326</v>
      </c>
      <c r="H1676" s="20" t="s">
        <v>155</v>
      </c>
      <c r="I1676" s="20" t="s">
        <v>5326</v>
      </c>
      <c r="J1676" s="333" t="s">
        <v>7559</v>
      </c>
      <c r="K1676" s="333" t="s">
        <v>7559</v>
      </c>
      <c r="L1676" s="23" t="s">
        <v>92</v>
      </c>
      <c r="M1676" s="24" t="s">
        <v>7738</v>
      </c>
      <c r="N1676" s="23">
        <v>18848003</v>
      </c>
      <c r="O1676" s="25" t="s">
        <v>74</v>
      </c>
      <c r="P1676" s="25" t="s">
        <v>53</v>
      </c>
      <c r="Q1676" s="20" t="s">
        <v>7560</v>
      </c>
      <c r="R1676" s="20">
        <v>44026632</v>
      </c>
      <c r="S1676" s="25" t="s">
        <v>55</v>
      </c>
      <c r="T1676" s="26" t="s">
        <v>56</v>
      </c>
      <c r="U1676" s="23">
        <v>865356065672248</v>
      </c>
      <c r="V1676" s="27" t="s">
        <v>183</v>
      </c>
      <c r="W1676" s="20" t="s">
        <v>129</v>
      </c>
      <c r="X1676" s="20" t="s">
        <v>130</v>
      </c>
      <c r="Y1676" s="20" t="s">
        <v>130</v>
      </c>
      <c r="Z1676" s="20" t="s">
        <v>60</v>
      </c>
      <c r="AA1676" s="20" t="s">
        <v>61</v>
      </c>
      <c r="AB1676" s="20" t="s">
        <v>96</v>
      </c>
      <c r="AC1676" s="28">
        <v>369.83</v>
      </c>
      <c r="AD1676" s="28">
        <f>SUM(BASE[[#This Row],[MONTO DE RENTA ]]*1.16)</f>
        <v>429.00279999999998</v>
      </c>
      <c r="AE1676" s="28" t="s">
        <v>63</v>
      </c>
      <c r="AF1676" s="28">
        <v>369.82758620689657</v>
      </c>
      <c r="AG1676" s="28">
        <v>429</v>
      </c>
      <c r="AH1676" s="36" t="s">
        <v>64</v>
      </c>
      <c r="AI1676" s="84">
        <v>45323</v>
      </c>
      <c r="AJ1676" s="84">
        <v>46054</v>
      </c>
      <c r="AK167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676" s="188"/>
      <c r="AM1676" s="30"/>
      <c r="AN1676" s="20" t="s">
        <v>99</v>
      </c>
      <c r="AP1676" s="20" t="s">
        <v>84</v>
      </c>
      <c r="AQ1676" s="20" t="s">
        <v>100</v>
      </c>
      <c r="AR1676" s="87"/>
      <c r="AS1676" s="87"/>
      <c r="AT1676" s="87"/>
      <c r="AU1676" s="87"/>
      <c r="AV1676" s="87"/>
      <c r="AW1676" s="87"/>
      <c r="AX1676" s="87"/>
      <c r="AY1676" s="87"/>
      <c r="AZ1676" s="87"/>
      <c r="BA1676" s="87"/>
      <c r="BB1676" s="87"/>
      <c r="BC1676" s="87"/>
      <c r="BD1676" s="87"/>
      <c r="BE1676" s="87"/>
      <c r="BF1676" s="87"/>
      <c r="BG1676" s="87"/>
      <c r="BH1676" s="87"/>
      <c r="BI1676" s="87"/>
      <c r="BJ1676" s="87"/>
      <c r="BK1676" s="87"/>
      <c r="BL1676" s="87"/>
    </row>
    <row r="1677" spans="1:64" ht="15" customHeight="1">
      <c r="A1677" s="20">
        <v>8122019107</v>
      </c>
      <c r="B1677" s="21">
        <v>1006124</v>
      </c>
      <c r="C1677" s="20" t="s">
        <v>7561</v>
      </c>
      <c r="D1677" s="20" t="s">
        <v>5055</v>
      </c>
      <c r="E1677" s="20" t="s">
        <v>376</v>
      </c>
      <c r="F1677" s="20" t="s">
        <v>7562</v>
      </c>
      <c r="G1677" s="20" t="s">
        <v>7562</v>
      </c>
      <c r="H1677" s="20" t="s">
        <v>199</v>
      </c>
      <c r="I1677" s="20" t="s">
        <v>7562</v>
      </c>
      <c r="J1677" s="22" t="s">
        <v>7563</v>
      </c>
      <c r="K1677" s="22" t="s">
        <v>7563</v>
      </c>
      <c r="L1677" s="23" t="s">
        <v>92</v>
      </c>
      <c r="M1677" s="24" t="s">
        <v>7738</v>
      </c>
      <c r="N1677" s="23">
        <v>18848010</v>
      </c>
      <c r="O1677" s="25" t="s">
        <v>74</v>
      </c>
      <c r="P1677" s="25" t="s">
        <v>53</v>
      </c>
      <c r="Q1677" s="20" t="s">
        <v>7564</v>
      </c>
      <c r="R1677" s="20">
        <v>45142602</v>
      </c>
      <c r="S1677" s="25" t="s">
        <v>55</v>
      </c>
      <c r="T1677" s="26" t="s">
        <v>56</v>
      </c>
      <c r="U1677" s="23">
        <v>356638830211949</v>
      </c>
      <c r="V1677" s="27" t="s">
        <v>78</v>
      </c>
      <c r="W1677" s="20" t="s">
        <v>79</v>
      </c>
      <c r="X1677" s="20" t="s">
        <v>79</v>
      </c>
      <c r="Y1677" s="20" t="s">
        <v>79</v>
      </c>
      <c r="Z1677" s="20" t="s">
        <v>60</v>
      </c>
      <c r="AA1677" s="20" t="s">
        <v>61</v>
      </c>
      <c r="AB1677" s="20" t="s">
        <v>62</v>
      </c>
      <c r="AC1677" s="28">
        <v>197.41</v>
      </c>
      <c r="AD1677" s="28">
        <f>SUM(BASE[[#This Row],[MONTO DE RENTA ]]*1.16)</f>
        <v>228.99559999999997</v>
      </c>
      <c r="AE1677" s="28" t="s">
        <v>97</v>
      </c>
      <c r="AF1677" s="28">
        <v>473.27586206896552</v>
      </c>
      <c r="AG1677" s="28">
        <v>549</v>
      </c>
      <c r="AH1677" s="22" t="s">
        <v>64</v>
      </c>
      <c r="AI1677" s="63">
        <v>45703</v>
      </c>
      <c r="AJ1677" s="63">
        <v>46433</v>
      </c>
      <c r="AK167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77" s="30"/>
      <c r="AN1677" s="20" t="s">
        <v>65</v>
      </c>
      <c r="AO1677" s="20" t="s">
        <v>169</v>
      </c>
      <c r="AP1677" s="20" t="s">
        <v>66</v>
      </c>
      <c r="AQ1677" s="20" t="s">
        <v>100</v>
      </c>
    </row>
    <row r="1678" spans="1:64" ht="15" customHeight="1">
      <c r="A1678" s="20">
        <v>8123517213</v>
      </c>
      <c r="B1678" s="86">
        <v>1045547</v>
      </c>
      <c r="C1678" s="20" t="s">
        <v>7565</v>
      </c>
      <c r="D1678" s="20" t="s">
        <v>160</v>
      </c>
      <c r="E1678" s="20" t="s">
        <v>45</v>
      </c>
      <c r="F1678" s="20" t="s">
        <v>7566</v>
      </c>
      <c r="G1678" s="20" t="s">
        <v>7566</v>
      </c>
      <c r="H1678" s="20" t="s">
        <v>199</v>
      </c>
      <c r="I1678" s="20" t="s">
        <v>7566</v>
      </c>
      <c r="J1678" s="54" t="s">
        <v>7567</v>
      </c>
      <c r="K1678" s="54" t="s">
        <v>7567</v>
      </c>
      <c r="L1678" s="23" t="s">
        <v>92</v>
      </c>
      <c r="M1678" s="24" t="s">
        <v>7738</v>
      </c>
      <c r="N1678" s="23">
        <v>18848011</v>
      </c>
      <c r="O1678" s="25" t="s">
        <v>74</v>
      </c>
      <c r="P1678" s="25" t="s">
        <v>53</v>
      </c>
      <c r="Q1678" s="20" t="s">
        <v>7568</v>
      </c>
      <c r="R1678" s="20">
        <v>42896296</v>
      </c>
      <c r="S1678" s="25" t="s">
        <v>55</v>
      </c>
      <c r="T1678" s="65" t="s">
        <v>56</v>
      </c>
      <c r="U1678" s="23">
        <v>865356065670846</v>
      </c>
      <c r="V1678" s="27" t="s">
        <v>183</v>
      </c>
      <c r="W1678" s="20" t="s">
        <v>129</v>
      </c>
      <c r="X1678" s="20" t="s">
        <v>130</v>
      </c>
      <c r="Y1678" s="20" t="s">
        <v>130</v>
      </c>
      <c r="Z1678" s="20" t="s">
        <v>60</v>
      </c>
      <c r="AA1678" s="20" t="s">
        <v>61</v>
      </c>
      <c r="AB1678" s="20" t="s">
        <v>96</v>
      </c>
      <c r="AC1678" s="28">
        <v>369.83</v>
      </c>
      <c r="AD1678" s="28">
        <f>SUM(BASE[[#This Row],[MONTO DE RENTA ]]*1.16)</f>
        <v>429.00279999999998</v>
      </c>
      <c r="AE1678" s="28" t="s">
        <v>63</v>
      </c>
      <c r="AF1678" s="28">
        <v>369.82758620689657</v>
      </c>
      <c r="AG1678" s="28">
        <v>429</v>
      </c>
      <c r="AH1678" s="22" t="s">
        <v>116</v>
      </c>
      <c r="AI1678" s="63">
        <v>45377</v>
      </c>
      <c r="AJ1678" s="63">
        <v>46040</v>
      </c>
      <c r="AK167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78" s="30"/>
      <c r="AN1678" s="20" t="s">
        <v>99</v>
      </c>
      <c r="AP1678" s="20" t="s">
        <v>84</v>
      </c>
      <c r="AQ1678" s="20" t="s">
        <v>100</v>
      </c>
    </row>
    <row r="1679" spans="1:64" ht="15" customHeight="1">
      <c r="A1679" s="20">
        <v>8113892341</v>
      </c>
      <c r="B1679" s="21">
        <v>6575</v>
      </c>
      <c r="C1679" s="20" t="s">
        <v>7569</v>
      </c>
      <c r="D1679" s="20" t="s">
        <v>45</v>
      </c>
      <c r="E1679" s="20" t="s">
        <v>6077</v>
      </c>
      <c r="F1679" s="20" t="s">
        <v>7461</v>
      </c>
      <c r="G1679" s="20" t="s">
        <v>7461</v>
      </c>
      <c r="H1679" s="20" t="s">
        <v>199</v>
      </c>
      <c r="I1679" s="20" t="s">
        <v>7461</v>
      </c>
      <c r="J1679" s="234" t="s">
        <v>7570</v>
      </c>
      <c r="K1679" s="334" t="s">
        <v>7571</v>
      </c>
      <c r="L1679" s="23" t="s">
        <v>92</v>
      </c>
      <c r="M1679" s="24" t="s">
        <v>7738</v>
      </c>
      <c r="N1679" s="23">
        <v>18848010</v>
      </c>
      <c r="O1679" s="25" t="s">
        <v>74</v>
      </c>
      <c r="P1679" s="25" t="s">
        <v>53</v>
      </c>
      <c r="Q1679" s="20" t="s">
        <v>7572</v>
      </c>
      <c r="R1679" s="20">
        <v>43163593</v>
      </c>
      <c r="S1679" s="25" t="s">
        <v>7573</v>
      </c>
      <c r="T1679" s="26" t="s">
        <v>57</v>
      </c>
      <c r="U1679" s="23">
        <v>860900062336169</v>
      </c>
      <c r="V1679" s="27" t="s">
        <v>57</v>
      </c>
      <c r="W1679" s="20" t="s">
        <v>58</v>
      </c>
      <c r="X1679" s="20" t="s">
        <v>59</v>
      </c>
      <c r="Y1679" s="20" t="s">
        <v>59</v>
      </c>
      <c r="Z1679" s="20" t="s">
        <v>167</v>
      </c>
      <c r="AA1679" s="20" t="s">
        <v>168</v>
      </c>
      <c r="AB1679" s="20" t="s">
        <v>96</v>
      </c>
      <c r="AC1679" s="28">
        <v>369.83</v>
      </c>
      <c r="AD1679" s="28">
        <f>SUM(BASE[[#This Row],[MONTO DE RENTA ]]*1.16)</f>
        <v>429.00279999999998</v>
      </c>
      <c r="AE1679" s="28" t="s">
        <v>63</v>
      </c>
      <c r="AF1679" s="28">
        <v>369.82758620689657</v>
      </c>
      <c r="AG1679" s="28">
        <v>429</v>
      </c>
      <c r="AH1679" s="22" t="s">
        <v>64</v>
      </c>
      <c r="AI1679" s="63">
        <v>45703</v>
      </c>
      <c r="AJ1679" s="63">
        <v>46433</v>
      </c>
      <c r="AK167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79" s="30"/>
      <c r="AN1679" s="20" t="s">
        <v>65</v>
      </c>
      <c r="AP1679" s="20" t="s">
        <v>84</v>
      </c>
    </row>
    <row r="1680" spans="1:64" ht="15" customHeight="1">
      <c r="A1680" s="20">
        <v>8118223351</v>
      </c>
      <c r="B1680" s="21">
        <v>1032312</v>
      </c>
      <c r="C1680" s="20" t="s">
        <v>7574</v>
      </c>
      <c r="D1680" s="20" t="s">
        <v>2538</v>
      </c>
      <c r="E1680" s="20" t="s">
        <v>376</v>
      </c>
      <c r="F1680" s="20" t="s">
        <v>5612</v>
      </c>
      <c r="G1680" s="20" t="s">
        <v>5612</v>
      </c>
      <c r="H1680" s="20" t="s">
        <v>199</v>
      </c>
      <c r="I1680" s="20" t="s">
        <v>5612</v>
      </c>
      <c r="J1680" s="22" t="s">
        <v>7575</v>
      </c>
      <c r="K1680" s="32" t="s">
        <v>7576</v>
      </c>
      <c r="L1680" s="23" t="s">
        <v>92</v>
      </c>
      <c r="M1680" s="24" t="s">
        <v>7738</v>
      </c>
      <c r="N1680" s="23">
        <v>18848076</v>
      </c>
      <c r="O1680" s="25" t="s">
        <v>74</v>
      </c>
      <c r="P1680" s="25" t="s">
        <v>53</v>
      </c>
      <c r="Q1680" s="20" t="s">
        <v>7577</v>
      </c>
      <c r="R1680" s="20">
        <v>43149870</v>
      </c>
      <c r="S1680" s="25" t="s">
        <v>7578</v>
      </c>
      <c r="T1680" s="26" t="s">
        <v>57</v>
      </c>
      <c r="U1680" s="23">
        <v>860900062238647</v>
      </c>
      <c r="V1680" s="27" t="s">
        <v>57</v>
      </c>
      <c r="W1680" s="20" t="s">
        <v>58</v>
      </c>
      <c r="X1680" s="20" t="s">
        <v>59</v>
      </c>
      <c r="Y1680" s="20" t="s">
        <v>59</v>
      </c>
      <c r="Z1680" s="20" t="s">
        <v>131</v>
      </c>
      <c r="AA1680" s="20" t="s">
        <v>132</v>
      </c>
      <c r="AB1680" s="20" t="s">
        <v>96</v>
      </c>
      <c r="AC1680" s="28">
        <v>369.83</v>
      </c>
      <c r="AD1680" s="28">
        <f>SUM(BASE[[#This Row],[MONTO DE RENTA ]]*1.16)</f>
        <v>429.00279999999998</v>
      </c>
      <c r="AE1680" s="28" t="s">
        <v>63</v>
      </c>
      <c r="AF1680" s="28">
        <v>369.82758620689657</v>
      </c>
      <c r="AG1680" s="28">
        <v>429</v>
      </c>
      <c r="AH1680" s="22" t="s">
        <v>64</v>
      </c>
      <c r="AI1680" s="63">
        <v>45703</v>
      </c>
      <c r="AJ1680" s="63">
        <v>46433</v>
      </c>
      <c r="AK168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80" s="30"/>
      <c r="AN1680" s="20" t="s">
        <v>65</v>
      </c>
      <c r="AP1680" s="20" t="s">
        <v>84</v>
      </c>
    </row>
    <row r="1681" spans="1:43" ht="15" customHeight="1">
      <c r="A1681" s="20">
        <v>8126800088</v>
      </c>
      <c r="B1681" s="335">
        <v>1009706</v>
      </c>
      <c r="C1681" s="20" t="s">
        <v>7579</v>
      </c>
      <c r="D1681" s="20" t="s">
        <v>797</v>
      </c>
      <c r="E1681" s="20" t="s">
        <v>6205</v>
      </c>
      <c r="F1681" s="20" t="s">
        <v>7580</v>
      </c>
      <c r="G1681" s="20" t="s">
        <v>7580</v>
      </c>
      <c r="H1681" s="20" t="s">
        <v>199</v>
      </c>
      <c r="I1681" s="20" t="s">
        <v>7580</v>
      </c>
      <c r="J1681" s="32" t="s">
        <v>7581</v>
      </c>
      <c r="K1681" s="32" t="s">
        <v>7582</v>
      </c>
      <c r="L1681" s="23" t="s">
        <v>6637</v>
      </c>
      <c r="M1681" s="24" t="s">
        <v>7738</v>
      </c>
      <c r="N1681" s="23">
        <v>11313000</v>
      </c>
      <c r="O1681" s="25" t="s">
        <v>74</v>
      </c>
      <c r="P1681" s="25" t="s">
        <v>53</v>
      </c>
      <c r="Q1681" s="20" t="s">
        <v>7583</v>
      </c>
      <c r="R1681" s="20">
        <v>44114347</v>
      </c>
      <c r="S1681" s="25" t="s">
        <v>55</v>
      </c>
      <c r="T1681" s="26" t="s">
        <v>56</v>
      </c>
      <c r="U1681" s="23">
        <v>865356065688780</v>
      </c>
      <c r="V1681" s="27" t="s">
        <v>183</v>
      </c>
      <c r="W1681" s="20" t="s">
        <v>129</v>
      </c>
      <c r="X1681" s="20" t="s">
        <v>130</v>
      </c>
      <c r="Y1681" s="20" t="s">
        <v>130</v>
      </c>
      <c r="Z1681" s="20" t="s">
        <v>60</v>
      </c>
      <c r="AA1681" s="20" t="s">
        <v>61</v>
      </c>
      <c r="AB1681" s="20" t="s">
        <v>96</v>
      </c>
      <c r="AC1681" s="28">
        <v>369.83</v>
      </c>
      <c r="AD1681" s="28">
        <f>SUM(BASE[[#This Row],[MONTO DE RENTA ]]*1.16)</f>
        <v>429.00279999999998</v>
      </c>
      <c r="AE1681" s="28" t="s">
        <v>63</v>
      </c>
      <c r="AF1681" s="28">
        <v>369.82758620689657</v>
      </c>
      <c r="AG1681" s="28">
        <v>429</v>
      </c>
      <c r="AI1681" s="63">
        <v>44937</v>
      </c>
      <c r="AJ1681" s="73">
        <v>46043</v>
      </c>
      <c r="AK168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81" s="30"/>
      <c r="AN1681" s="20" t="s">
        <v>99</v>
      </c>
      <c r="AP1681" s="20" t="s">
        <v>84</v>
      </c>
      <c r="AQ1681" s="20" t="s">
        <v>100</v>
      </c>
    </row>
    <row r="1682" spans="1:43" ht="15" customHeight="1">
      <c r="A1682" s="20">
        <v>8116103460</v>
      </c>
      <c r="B1682" s="318">
        <v>1016332</v>
      </c>
      <c r="C1682" s="20" t="s">
        <v>2139</v>
      </c>
      <c r="D1682" s="20" t="s">
        <v>6123</v>
      </c>
      <c r="E1682" s="20" t="s">
        <v>143</v>
      </c>
      <c r="F1682" s="20" t="s">
        <v>7584</v>
      </c>
      <c r="G1682" s="20" t="s">
        <v>7584</v>
      </c>
      <c r="H1682" s="20" t="s">
        <v>5381</v>
      </c>
      <c r="I1682" s="20" t="s">
        <v>7584</v>
      </c>
      <c r="J1682" s="54" t="s">
        <v>7585</v>
      </c>
      <c r="K1682" s="54" t="s">
        <v>7585</v>
      </c>
      <c r="L1682" s="23" t="s">
        <v>92</v>
      </c>
      <c r="M1682" s="24" t="s">
        <v>7738</v>
      </c>
      <c r="N1682" s="23">
        <v>18848014</v>
      </c>
      <c r="O1682" s="25" t="s">
        <v>74</v>
      </c>
      <c r="P1682" s="25" t="s">
        <v>53</v>
      </c>
      <c r="Q1682" s="20" t="s">
        <v>7586</v>
      </c>
      <c r="R1682" s="20">
        <v>43149869</v>
      </c>
      <c r="S1682" s="25" t="s">
        <v>7587</v>
      </c>
      <c r="T1682" s="191" t="s">
        <v>77</v>
      </c>
      <c r="U1682" s="23">
        <v>351835921028274</v>
      </c>
      <c r="V1682" s="27" t="s">
        <v>78</v>
      </c>
      <c r="W1682" s="20" t="s">
        <v>95</v>
      </c>
      <c r="X1682" s="20" t="s">
        <v>95</v>
      </c>
      <c r="Y1682" s="20" t="s">
        <v>95</v>
      </c>
      <c r="Z1682" s="20" t="s">
        <v>167</v>
      </c>
      <c r="AA1682" s="20" t="s">
        <v>168</v>
      </c>
      <c r="AB1682" s="20" t="s">
        <v>82</v>
      </c>
      <c r="AC1682" s="28">
        <v>559.48</v>
      </c>
      <c r="AD1682" s="28">
        <f>SUM(BASE[[#This Row],[MONTO DE RENTA ]]*1.16)</f>
        <v>648.99680000000001</v>
      </c>
      <c r="AE1682" s="28" t="s">
        <v>83</v>
      </c>
      <c r="AF1682" s="28">
        <v>559.48275862068965</v>
      </c>
      <c r="AG1682" s="28">
        <v>649</v>
      </c>
      <c r="AH1682" s="22" t="s">
        <v>116</v>
      </c>
      <c r="AI1682" s="63">
        <v>45406</v>
      </c>
      <c r="AJ1682" s="63">
        <v>46136</v>
      </c>
      <c r="AK1682" s="30">
        <f ca="1">IFERROR(IF(BASE[[#This Row],[FECHA DE RENOVACION ]]&gt;TODAY(), DATEDIF(TODAY(),BASE[[#This Row],[FECHA DE RENOVACION ]],"M"), -DATEDIF(BASE[[#This Row],[FECHA DE RENOVACION ]],TODAY(),"M")), "Sin fecha")</f>
        <v>1</v>
      </c>
      <c r="AM1682" s="30" t="s">
        <v>7588</v>
      </c>
      <c r="AN1682" s="20" t="s">
        <v>99</v>
      </c>
      <c r="AP1682" s="20" t="s">
        <v>84</v>
      </c>
      <c r="AQ1682" s="20" t="s">
        <v>100</v>
      </c>
    </row>
    <row r="1683" spans="1:43" s="34" customFormat="1" ht="15" customHeight="1">
      <c r="A1683" s="20">
        <v>8112063969</v>
      </c>
      <c r="B1683" s="49">
        <v>10011</v>
      </c>
      <c r="C1683" s="20" t="s">
        <v>7589</v>
      </c>
      <c r="D1683" s="20" t="s">
        <v>376</v>
      </c>
      <c r="E1683" s="20" t="s">
        <v>1433</v>
      </c>
      <c r="F1683" s="20" t="s">
        <v>7590</v>
      </c>
      <c r="G1683" s="20" t="s">
        <v>7590</v>
      </c>
      <c r="H1683" s="20" t="s">
        <v>5320</v>
      </c>
      <c r="I1683" s="20" t="s">
        <v>7590</v>
      </c>
      <c r="J1683" s="22" t="s">
        <v>7591</v>
      </c>
      <c r="K1683" s="22" t="s">
        <v>7592</v>
      </c>
      <c r="L1683" s="23" t="s">
        <v>92</v>
      </c>
      <c r="M1683" s="24" t="s">
        <v>7738</v>
      </c>
      <c r="N1683" s="23">
        <v>18848107</v>
      </c>
      <c r="O1683" s="25" t="s">
        <v>74</v>
      </c>
      <c r="P1683" s="25" t="s">
        <v>53</v>
      </c>
      <c r="Q1683" s="20" t="s">
        <v>7593</v>
      </c>
      <c r="R1683" s="20">
        <v>42805698</v>
      </c>
      <c r="S1683" s="25" t="s">
        <v>55</v>
      </c>
      <c r="T1683" s="26" t="s">
        <v>56</v>
      </c>
      <c r="U1683" s="23">
        <v>357654178451467</v>
      </c>
      <c r="V1683" s="27" t="s">
        <v>78</v>
      </c>
      <c r="W1683" s="20" t="s">
        <v>95</v>
      </c>
      <c r="X1683" s="20" t="s">
        <v>95</v>
      </c>
      <c r="Y1683" s="20" t="s">
        <v>95</v>
      </c>
      <c r="Z1683" s="20" t="s">
        <v>60</v>
      </c>
      <c r="AA1683" s="20" t="s">
        <v>61</v>
      </c>
      <c r="AB1683" s="20" t="s">
        <v>82</v>
      </c>
      <c r="AC1683" s="28">
        <v>559.48</v>
      </c>
      <c r="AD1683" s="28">
        <f>SUM(BASE[[#This Row],[MONTO DE RENTA ]]*1.16)</f>
        <v>648.99680000000001</v>
      </c>
      <c r="AE1683" s="28" t="s">
        <v>83</v>
      </c>
      <c r="AF1683" s="28">
        <v>559.48275862068965</v>
      </c>
      <c r="AG1683" s="28">
        <v>649</v>
      </c>
      <c r="AH1683" s="22"/>
      <c r="AI1683" s="63">
        <v>44937</v>
      </c>
      <c r="AJ1683" s="73">
        <v>46043</v>
      </c>
      <c r="AK168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683" s="20"/>
      <c r="AM1683" s="30"/>
      <c r="AN1683" s="20" t="s">
        <v>99</v>
      </c>
      <c r="AO1683" s="20"/>
      <c r="AP1683" s="20" t="s">
        <v>84</v>
      </c>
      <c r="AQ1683" s="20" t="s">
        <v>100</v>
      </c>
    </row>
    <row r="1684" spans="1:43" ht="15" customHeight="1">
      <c r="A1684" s="20">
        <v>8122009423</v>
      </c>
      <c r="B1684" s="59">
        <v>1031985</v>
      </c>
      <c r="C1684" s="20" t="s">
        <v>7594</v>
      </c>
      <c r="D1684" s="20" t="s">
        <v>4323</v>
      </c>
      <c r="E1684" s="20" t="s">
        <v>357</v>
      </c>
      <c r="F1684" s="20" t="s">
        <v>5329</v>
      </c>
      <c r="G1684" s="20" t="s">
        <v>5329</v>
      </c>
      <c r="H1684" s="20" t="s">
        <v>155</v>
      </c>
      <c r="I1684" s="20" t="s">
        <v>5329</v>
      </c>
      <c r="J1684" s="22" t="s">
        <v>7595</v>
      </c>
      <c r="K1684" s="22" t="s">
        <v>7595</v>
      </c>
      <c r="L1684" s="23" t="s">
        <v>92</v>
      </c>
      <c r="M1684" s="24" t="s">
        <v>7738</v>
      </c>
      <c r="N1684" s="23">
        <v>18848013</v>
      </c>
      <c r="O1684" s="25" t="s">
        <v>74</v>
      </c>
      <c r="P1684" s="25" t="s">
        <v>53</v>
      </c>
      <c r="Q1684" s="20" t="s">
        <v>7596</v>
      </c>
      <c r="R1684" s="20">
        <v>45142543</v>
      </c>
      <c r="S1684" s="25" t="s">
        <v>7597</v>
      </c>
      <c r="T1684" s="26" t="s">
        <v>77</v>
      </c>
      <c r="U1684" s="23">
        <v>860900062337738</v>
      </c>
      <c r="V1684" s="27" t="s">
        <v>958</v>
      </c>
      <c r="W1684" s="20" t="s">
        <v>58</v>
      </c>
      <c r="X1684" s="20" t="s">
        <v>59</v>
      </c>
      <c r="Y1684" s="20" t="s">
        <v>59</v>
      </c>
      <c r="Z1684" s="20" t="s">
        <v>167</v>
      </c>
      <c r="AA1684" s="20" t="s">
        <v>168</v>
      </c>
      <c r="AB1684" s="20" t="s">
        <v>82</v>
      </c>
      <c r="AC1684" s="28">
        <v>559.48</v>
      </c>
      <c r="AD1684" s="28">
        <f>SUM(BASE[[#This Row],[MONTO DE RENTA ]]*1.16)</f>
        <v>648.99680000000001</v>
      </c>
      <c r="AE1684" s="28" t="s">
        <v>63</v>
      </c>
      <c r="AF1684" s="28">
        <v>369.82758620689657</v>
      </c>
      <c r="AG1684" s="28">
        <v>429</v>
      </c>
      <c r="AH1684" s="22" t="s">
        <v>64</v>
      </c>
      <c r="AI1684" s="63">
        <v>45703</v>
      </c>
      <c r="AJ1684" s="63">
        <v>46433</v>
      </c>
      <c r="AK168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84" s="30"/>
      <c r="AN1684" s="20" t="s">
        <v>65</v>
      </c>
      <c r="AP1684" s="20" t="s">
        <v>118</v>
      </c>
    </row>
    <row r="1685" spans="1:43" s="87" customFormat="1" ht="15" customHeight="1">
      <c r="A1685" s="20">
        <v>8123517973</v>
      </c>
      <c r="B1685" s="21">
        <v>1008600</v>
      </c>
      <c r="C1685" s="20" t="s">
        <v>7598</v>
      </c>
      <c r="D1685" s="20" t="s">
        <v>1330</v>
      </c>
      <c r="E1685" s="20" t="s">
        <v>3189</v>
      </c>
      <c r="F1685" s="20" t="s">
        <v>6124</v>
      </c>
      <c r="G1685" s="20" t="s">
        <v>6124</v>
      </c>
      <c r="H1685" s="20" t="s">
        <v>5320</v>
      </c>
      <c r="I1685" s="20" t="s">
        <v>6124</v>
      </c>
      <c r="J1685" s="22" t="s">
        <v>7599</v>
      </c>
      <c r="K1685" s="22" t="s">
        <v>7599</v>
      </c>
      <c r="L1685" s="23" t="s">
        <v>92</v>
      </c>
      <c r="M1685" s="24" t="s">
        <v>7738</v>
      </c>
      <c r="N1685" s="23">
        <v>18848047</v>
      </c>
      <c r="O1685" s="25" t="s">
        <v>74</v>
      </c>
      <c r="P1685" s="25" t="s">
        <v>53</v>
      </c>
      <c r="Q1685" s="20" t="s">
        <v>7600</v>
      </c>
      <c r="R1685" s="20">
        <v>45142660</v>
      </c>
      <c r="S1685" s="25" t="s">
        <v>55</v>
      </c>
      <c r="T1685" s="26" t="s">
        <v>56</v>
      </c>
      <c r="U1685" s="23">
        <v>860900062336847</v>
      </c>
      <c r="V1685" s="27" t="s">
        <v>57</v>
      </c>
      <c r="W1685" s="20" t="s">
        <v>58</v>
      </c>
      <c r="X1685" s="20" t="s">
        <v>59</v>
      </c>
      <c r="Y1685" s="20" t="s">
        <v>59</v>
      </c>
      <c r="Z1685" s="20" t="s">
        <v>60</v>
      </c>
      <c r="AA1685" s="20" t="s">
        <v>61</v>
      </c>
      <c r="AB1685" s="20" t="s">
        <v>62</v>
      </c>
      <c r="AC1685" s="28">
        <v>197.41</v>
      </c>
      <c r="AD1685" s="28">
        <f>SUM(BASE[[#This Row],[MONTO DE RENTA ]]*1.16)</f>
        <v>228.99559999999997</v>
      </c>
      <c r="AE1685" s="28" t="s">
        <v>63</v>
      </c>
      <c r="AF1685" s="28">
        <v>369.82758620689657</v>
      </c>
      <c r="AG1685" s="28">
        <v>429</v>
      </c>
      <c r="AH1685" s="22" t="s">
        <v>64</v>
      </c>
      <c r="AI1685" s="63">
        <v>45703</v>
      </c>
      <c r="AJ1685" s="63">
        <v>46433</v>
      </c>
      <c r="AK1685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85" s="20"/>
      <c r="AM1685" s="30"/>
      <c r="AN1685" s="20" t="s">
        <v>65</v>
      </c>
      <c r="AO1685" s="20"/>
      <c r="AP1685" s="20" t="s">
        <v>66</v>
      </c>
      <c r="AQ1685" s="20"/>
    </row>
    <row r="1686" spans="1:43" ht="15" customHeight="1">
      <c r="A1686" s="20">
        <v>6643689325</v>
      </c>
      <c r="B1686" s="49">
        <v>825160</v>
      </c>
      <c r="C1686" s="20" t="s">
        <v>3114</v>
      </c>
      <c r="D1686" s="20" t="s">
        <v>405</v>
      </c>
      <c r="E1686" s="20" t="s">
        <v>5161</v>
      </c>
      <c r="F1686" s="20" t="s">
        <v>483</v>
      </c>
      <c r="G1686" s="20" t="s">
        <v>257</v>
      </c>
      <c r="H1686" s="20" t="s">
        <v>48</v>
      </c>
      <c r="I1686" s="20" t="s">
        <v>483</v>
      </c>
      <c r="J1686" s="336" t="s">
        <v>7601</v>
      </c>
      <c r="K1686" s="336" t="s">
        <v>7602</v>
      </c>
      <c r="L1686" s="23" t="s">
        <v>532</v>
      </c>
      <c r="M1686" s="24" t="s">
        <v>7745</v>
      </c>
      <c r="N1686" s="23">
        <v>11168000</v>
      </c>
      <c r="O1686" s="25" t="s">
        <v>126</v>
      </c>
      <c r="P1686" s="25" t="s">
        <v>53</v>
      </c>
      <c r="Q1686" s="20" t="s">
        <v>7603</v>
      </c>
      <c r="R1686" s="20">
        <v>11985285</v>
      </c>
      <c r="S1686" s="25" t="s">
        <v>55</v>
      </c>
      <c r="T1686" s="44" t="s">
        <v>56</v>
      </c>
      <c r="U1686" s="23">
        <v>867353050206627</v>
      </c>
      <c r="V1686" s="45" t="s">
        <v>110</v>
      </c>
      <c r="W1686" s="20" t="s">
        <v>149</v>
      </c>
      <c r="X1686" s="20" t="s">
        <v>150</v>
      </c>
      <c r="Y1686" s="20" t="s">
        <v>150</v>
      </c>
      <c r="Z1686" s="20" t="s">
        <v>60</v>
      </c>
      <c r="AA1686" s="20" t="s">
        <v>61</v>
      </c>
      <c r="AB1686" s="20" t="s">
        <v>96</v>
      </c>
      <c r="AC1686" s="28">
        <v>369.83</v>
      </c>
      <c r="AD1686" s="28">
        <f>SUM(BASE[[#This Row],[MONTO DE RENTA ]]*1.16)</f>
        <v>429.00279999999998</v>
      </c>
      <c r="AE1686" s="28" t="s">
        <v>97</v>
      </c>
      <c r="AF1686" s="28">
        <v>473.27586206896552</v>
      </c>
      <c r="AG1686" s="28">
        <v>549</v>
      </c>
      <c r="AI1686" s="63">
        <v>44937</v>
      </c>
      <c r="AJ1686" s="73">
        <v>46043</v>
      </c>
      <c r="AK1686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86" s="30"/>
      <c r="AN1686" s="20" t="s">
        <v>99</v>
      </c>
      <c r="AP1686" s="20" t="s">
        <v>66</v>
      </c>
      <c r="AQ1686" s="20" t="s">
        <v>100</v>
      </c>
    </row>
    <row r="1687" spans="1:43" s="83" customFormat="1" ht="15" customHeight="1">
      <c r="A1687" s="83">
        <v>9981800860</v>
      </c>
      <c r="B1687" s="117">
        <v>755016</v>
      </c>
      <c r="C1687" s="83" t="s">
        <v>4206</v>
      </c>
      <c r="D1687" s="83" t="s">
        <v>317</v>
      </c>
      <c r="E1687" s="83" t="s">
        <v>2359</v>
      </c>
      <c r="F1687" s="83" t="s">
        <v>257</v>
      </c>
      <c r="G1687" s="20" t="s">
        <v>257</v>
      </c>
      <c r="H1687" s="83" t="s">
        <v>48</v>
      </c>
      <c r="I1687" s="83" t="s">
        <v>257</v>
      </c>
      <c r="J1687" s="121" t="s">
        <v>7604</v>
      </c>
      <c r="K1687" s="121" t="s">
        <v>7604</v>
      </c>
      <c r="L1687" s="202" t="s">
        <v>1141</v>
      </c>
      <c r="M1687" s="337" t="s">
        <v>7751</v>
      </c>
      <c r="N1687" s="202">
        <v>11331000</v>
      </c>
      <c r="O1687" s="338" t="s">
        <v>1035</v>
      </c>
      <c r="P1687" s="25" t="s">
        <v>53</v>
      </c>
      <c r="Q1687" s="83" t="s">
        <v>7605</v>
      </c>
      <c r="R1687" s="83">
        <v>83596129</v>
      </c>
      <c r="S1687" s="338" t="s">
        <v>55</v>
      </c>
      <c r="T1687" s="339" t="s">
        <v>56</v>
      </c>
      <c r="U1687" s="202">
        <v>867353050249114</v>
      </c>
      <c r="V1687" s="340" t="s">
        <v>110</v>
      </c>
      <c r="W1687" s="83" t="s">
        <v>149</v>
      </c>
      <c r="X1687" s="20" t="s">
        <v>150</v>
      </c>
      <c r="Y1687" s="20" t="s">
        <v>150</v>
      </c>
      <c r="Z1687" s="83" t="s">
        <v>60</v>
      </c>
      <c r="AA1687" s="83" t="s">
        <v>61</v>
      </c>
      <c r="AB1687" s="83" t="s">
        <v>96</v>
      </c>
      <c r="AC1687" s="120">
        <v>369.83</v>
      </c>
      <c r="AD1687" s="120">
        <f>SUM(BASE[[#This Row],[MONTO DE RENTA ]]*1.16)</f>
        <v>429.00279999999998</v>
      </c>
      <c r="AE1687" s="28" t="s">
        <v>97</v>
      </c>
      <c r="AF1687" s="120">
        <v>473.27586206896552</v>
      </c>
      <c r="AG1687" s="120">
        <v>549</v>
      </c>
      <c r="AH1687" s="121" t="s">
        <v>253</v>
      </c>
      <c r="AI1687" s="122">
        <v>46074</v>
      </c>
      <c r="AJ1687" s="122">
        <v>46804</v>
      </c>
      <c r="AK1687" s="123">
        <f ca="1">IFERROR(IF(BASE[[#This Row],[FECHA DE RENOVACION ]]&gt;TODAY(), DATEDIF(TODAY(),BASE[[#This Row],[FECHA DE RENOVACION ]],"M"), -DATEDIF(BASE[[#This Row],[FECHA DE RENOVACION ]],TODAY(),"M")), "Sin fecha")</f>
        <v>23</v>
      </c>
      <c r="AM1687" s="123" t="s">
        <v>7606</v>
      </c>
      <c r="AN1687" s="83" t="s">
        <v>4574</v>
      </c>
      <c r="AP1687" s="20" t="s">
        <v>66</v>
      </c>
      <c r="AQ1687" s="83" t="s">
        <v>100</v>
      </c>
    </row>
    <row r="1688" spans="1:43" ht="15" customHeight="1">
      <c r="A1688" s="87">
        <v>8119100341</v>
      </c>
      <c r="B1688" s="235">
        <v>0</v>
      </c>
      <c r="C1688" s="20" t="s">
        <v>1653</v>
      </c>
      <c r="D1688" s="20" t="s">
        <v>1654</v>
      </c>
      <c r="E1688" s="20" t="s">
        <v>1655</v>
      </c>
      <c r="F1688" s="20" t="s">
        <v>1656</v>
      </c>
      <c r="G1688" s="20" t="s">
        <v>1656</v>
      </c>
      <c r="H1688" s="20" t="s">
        <v>1657</v>
      </c>
      <c r="I1688" s="20" t="s">
        <v>1658</v>
      </c>
      <c r="J1688" s="341" t="s">
        <v>7607</v>
      </c>
      <c r="K1688" s="216" t="s">
        <v>7607</v>
      </c>
      <c r="L1688" s="218" t="s">
        <v>92</v>
      </c>
      <c r="M1688" s="219" t="s">
        <v>7738</v>
      </c>
      <c r="N1688" s="23" t="s">
        <v>1661</v>
      </c>
      <c r="O1688" s="25" t="s">
        <v>74</v>
      </c>
      <c r="P1688" s="25" t="s">
        <v>3857</v>
      </c>
      <c r="Q1688" s="20" t="s">
        <v>7608</v>
      </c>
      <c r="R1688" s="20">
        <v>44918872</v>
      </c>
      <c r="S1688" s="25" t="s">
        <v>7609</v>
      </c>
      <c r="T1688" s="221" t="s">
        <v>57</v>
      </c>
      <c r="U1688" s="23" t="s">
        <v>193</v>
      </c>
      <c r="V1688" s="27" t="s">
        <v>78</v>
      </c>
      <c r="W1688" s="20" t="s">
        <v>194</v>
      </c>
      <c r="X1688" s="20" t="s">
        <v>194</v>
      </c>
      <c r="Y1688" s="20" t="s">
        <v>194</v>
      </c>
      <c r="Z1688" s="20" t="s">
        <v>131</v>
      </c>
      <c r="AA1688" s="20" t="s">
        <v>132</v>
      </c>
      <c r="AB1688" s="20" t="s">
        <v>96</v>
      </c>
      <c r="AC1688" s="28">
        <v>369.83</v>
      </c>
      <c r="AD1688" s="223">
        <f>SUM(BASE[[#This Row],[MONTO DE RENTA ]]*1.16)</f>
        <v>429.00279999999998</v>
      </c>
      <c r="AE1688" s="28" t="s">
        <v>63</v>
      </c>
      <c r="AF1688" s="223">
        <v>369.82758620689657</v>
      </c>
      <c r="AG1688" s="223">
        <v>429</v>
      </c>
      <c r="AH1688" s="217" t="s">
        <v>116</v>
      </c>
      <c r="AI1688" s="232">
        <v>45689</v>
      </c>
      <c r="AJ1688" s="232">
        <v>46419</v>
      </c>
      <c r="AK1688" s="225">
        <f ca="1">IFERROR(IF(BASE[[#This Row],[FECHA DE RENOVACION ]]&gt;TODAY(), DATEDIF(TODAY(),BASE[[#This Row],[FECHA DE RENOVACION ]],"M"), -DATEDIF(BASE[[#This Row],[FECHA DE RENOVACION ]],TODAY(),"M")), "Sin fecha")</f>
        <v>10</v>
      </c>
      <c r="AL1688" s="87"/>
      <c r="AM1688" s="225" t="s">
        <v>7610</v>
      </c>
      <c r="AN1688" s="20" t="s">
        <v>65</v>
      </c>
      <c r="AO1688" s="20" t="s">
        <v>169</v>
      </c>
      <c r="AP1688" s="20" t="s">
        <v>84</v>
      </c>
      <c r="AQ1688" s="20" t="s">
        <v>100</v>
      </c>
    </row>
    <row r="1689" spans="1:43" ht="15" customHeight="1">
      <c r="A1689" s="20">
        <v>8119119992</v>
      </c>
      <c r="B1689" s="21">
        <v>890427</v>
      </c>
      <c r="C1689" s="20" t="s">
        <v>857</v>
      </c>
      <c r="D1689" s="20" t="s">
        <v>4828</v>
      </c>
      <c r="E1689" s="20" t="s">
        <v>45</v>
      </c>
      <c r="F1689" s="20" t="s">
        <v>257</v>
      </c>
      <c r="G1689" s="20" t="s">
        <v>257</v>
      </c>
      <c r="H1689" s="20" t="s">
        <v>48</v>
      </c>
      <c r="I1689" s="20" t="s">
        <v>257</v>
      </c>
      <c r="J1689" s="22" t="s">
        <v>7611</v>
      </c>
      <c r="K1689" s="22" t="s">
        <v>7611</v>
      </c>
      <c r="L1689" s="23" t="s">
        <v>1169</v>
      </c>
      <c r="M1689" s="24" t="s">
        <v>7737</v>
      </c>
      <c r="N1689" s="23">
        <v>11333000</v>
      </c>
      <c r="O1689" s="25" t="s">
        <v>74</v>
      </c>
      <c r="P1689" s="25" t="s">
        <v>53</v>
      </c>
      <c r="Q1689" s="20" t="s">
        <v>7612</v>
      </c>
      <c r="R1689" s="20">
        <v>44918823</v>
      </c>
      <c r="S1689" s="25" t="s">
        <v>2843</v>
      </c>
      <c r="T1689" s="26" t="s">
        <v>57</v>
      </c>
      <c r="U1689" s="23">
        <v>860478064949644</v>
      </c>
      <c r="V1689" s="45" t="s">
        <v>110</v>
      </c>
      <c r="W1689" s="20" t="s">
        <v>302</v>
      </c>
      <c r="X1689" s="20" t="s">
        <v>303</v>
      </c>
      <c r="Y1689" s="20" t="s">
        <v>303</v>
      </c>
      <c r="Z1689" s="20" t="s">
        <v>167</v>
      </c>
      <c r="AA1689" s="20" t="s">
        <v>168</v>
      </c>
      <c r="AB1689" s="20" t="s">
        <v>96</v>
      </c>
      <c r="AC1689" s="28">
        <v>369.83</v>
      </c>
      <c r="AD1689" s="28">
        <f>SUM(BASE[[#This Row],[MONTO DE RENTA ]]*1.16)</f>
        <v>429.00279999999998</v>
      </c>
      <c r="AE1689" s="28" t="s">
        <v>97</v>
      </c>
      <c r="AF1689" s="28">
        <v>473.27586206896552</v>
      </c>
      <c r="AG1689" s="28">
        <v>549</v>
      </c>
      <c r="AI1689" s="63">
        <v>45940</v>
      </c>
      <c r="AJ1689" s="63">
        <v>46438</v>
      </c>
      <c r="AK1689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89" s="30"/>
      <c r="AN1689" s="20" t="s">
        <v>65</v>
      </c>
      <c r="AP1689" s="20" t="s">
        <v>66</v>
      </c>
    </row>
    <row r="1690" spans="1:43" ht="15" customHeight="1">
      <c r="A1690" s="20">
        <v>5516267112</v>
      </c>
      <c r="B1690" s="21">
        <v>21707</v>
      </c>
      <c r="C1690" s="20" t="s">
        <v>7613</v>
      </c>
      <c r="D1690" s="20" t="s">
        <v>749</v>
      </c>
      <c r="E1690" s="20" t="s">
        <v>507</v>
      </c>
      <c r="F1690" s="20" t="s">
        <v>257</v>
      </c>
      <c r="G1690" s="20" t="s">
        <v>257</v>
      </c>
      <c r="H1690" s="20" t="s">
        <v>48</v>
      </c>
      <c r="I1690" s="20" t="s">
        <v>257</v>
      </c>
      <c r="J1690" s="22" t="s">
        <v>7614</v>
      </c>
      <c r="K1690" s="22" t="s">
        <v>7615</v>
      </c>
      <c r="L1690" s="23" t="s">
        <v>3856</v>
      </c>
      <c r="M1690" s="24" t="s">
        <v>7736</v>
      </c>
      <c r="N1690" s="23">
        <v>18744003</v>
      </c>
      <c r="O1690" s="25" t="s">
        <v>52</v>
      </c>
      <c r="P1690" s="25" t="s">
        <v>53</v>
      </c>
      <c r="Q1690" s="20" t="s">
        <v>7616</v>
      </c>
      <c r="R1690" s="20">
        <v>90069953</v>
      </c>
      <c r="S1690" s="25" t="s">
        <v>7617</v>
      </c>
      <c r="T1690" s="26" t="s">
        <v>57</v>
      </c>
      <c r="U1690" s="23">
        <v>860478063794603</v>
      </c>
      <c r="V1690" s="27" t="s">
        <v>57</v>
      </c>
      <c r="W1690" s="20" t="s">
        <v>302</v>
      </c>
      <c r="X1690" s="20" t="s">
        <v>303</v>
      </c>
      <c r="Y1690" s="20" t="s">
        <v>303</v>
      </c>
      <c r="Z1690" s="20" t="s">
        <v>60</v>
      </c>
      <c r="AA1690" s="20" t="s">
        <v>61</v>
      </c>
      <c r="AB1690" s="20" t="s">
        <v>96</v>
      </c>
      <c r="AC1690" s="28">
        <v>369.83</v>
      </c>
      <c r="AD1690" s="28">
        <f>SUM(BASE[[#This Row],[MONTO DE RENTA ]]*1.16)</f>
        <v>429.00279999999998</v>
      </c>
      <c r="AE1690" s="28" t="s">
        <v>97</v>
      </c>
      <c r="AF1690" s="28">
        <v>473.27586206896552</v>
      </c>
      <c r="AG1690" s="28">
        <v>549</v>
      </c>
      <c r="AH1690" s="22" t="s">
        <v>64</v>
      </c>
      <c r="AI1690" s="63">
        <v>45703</v>
      </c>
      <c r="AJ1690" s="63">
        <v>46433</v>
      </c>
      <c r="AK169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90" s="30"/>
      <c r="AN1690" s="20" t="s">
        <v>65</v>
      </c>
      <c r="AP1690" s="20" t="s">
        <v>66</v>
      </c>
    </row>
    <row r="1691" spans="1:43" ht="15" customHeight="1">
      <c r="A1691" s="20">
        <v>2226078831</v>
      </c>
      <c r="B1691" s="21">
        <v>350060</v>
      </c>
      <c r="C1691" s="20" t="s">
        <v>7618</v>
      </c>
      <c r="D1691" s="20" t="s">
        <v>45</v>
      </c>
      <c r="E1691" s="20" t="s">
        <v>7619</v>
      </c>
      <c r="F1691" s="20" t="s">
        <v>257</v>
      </c>
      <c r="G1691" s="20" t="s">
        <v>257</v>
      </c>
      <c r="H1691" s="20" t="s">
        <v>48</v>
      </c>
      <c r="I1691" s="20" t="s">
        <v>257</v>
      </c>
      <c r="J1691" s="336" t="s">
        <v>7620</v>
      </c>
      <c r="K1691" s="54" t="s">
        <v>7621</v>
      </c>
      <c r="L1691" s="23" t="s">
        <v>4397</v>
      </c>
      <c r="M1691" s="24" t="s">
        <v>7753</v>
      </c>
      <c r="N1691" s="23">
        <v>18768000</v>
      </c>
      <c r="O1691" s="25" t="s">
        <v>828</v>
      </c>
      <c r="P1691" s="25" t="s">
        <v>53</v>
      </c>
      <c r="Q1691" s="20" t="s">
        <v>7622</v>
      </c>
      <c r="R1691" s="20">
        <v>73076057</v>
      </c>
      <c r="S1691" s="25" t="s">
        <v>7623</v>
      </c>
      <c r="T1691" s="81" t="s">
        <v>57</v>
      </c>
      <c r="U1691" s="23">
        <v>860796063912986</v>
      </c>
      <c r="V1691" s="45" t="s">
        <v>110</v>
      </c>
      <c r="W1691" s="20" t="s">
        <v>353</v>
      </c>
      <c r="X1691" s="20" t="s">
        <v>354</v>
      </c>
      <c r="Y1691" s="20" t="s">
        <v>354</v>
      </c>
      <c r="Z1691" s="20" t="s">
        <v>80</v>
      </c>
      <c r="AA1691" s="20" t="s">
        <v>81</v>
      </c>
      <c r="AB1691" s="20" t="s">
        <v>82</v>
      </c>
      <c r="AC1691" s="28">
        <v>559.48</v>
      </c>
      <c r="AD1691" s="28">
        <f>SUM(BASE[[#This Row],[MONTO DE RENTA ]]*1.16)</f>
        <v>648.99680000000001</v>
      </c>
      <c r="AE1691" s="28" t="s">
        <v>83</v>
      </c>
      <c r="AF1691" s="28">
        <v>559.48275862068965</v>
      </c>
      <c r="AG1691" s="28">
        <v>649</v>
      </c>
      <c r="AI1691" s="63">
        <v>45384</v>
      </c>
      <c r="AJ1691" s="63">
        <v>46114</v>
      </c>
      <c r="AK1691" s="30">
        <f ca="1">IFERROR(IF(BASE[[#This Row],[FECHA DE RENOVACION ]]&gt;TODAY(), DATEDIF(TODAY(),BASE[[#This Row],[FECHA DE RENOVACION ]],"M"), -DATEDIF(BASE[[#This Row],[FECHA DE RENOVACION ]],TODAY(),"M")), "Sin fecha")</f>
        <v>0</v>
      </c>
      <c r="AM1691" s="30"/>
      <c r="AN1691" s="20" t="s">
        <v>99</v>
      </c>
      <c r="AP1691" s="20" t="s">
        <v>84</v>
      </c>
      <c r="AQ1691" s="20" t="s">
        <v>100</v>
      </c>
    </row>
    <row r="1692" spans="1:43" s="87" customFormat="1" ht="15" customHeight="1">
      <c r="A1692" s="20">
        <v>7712203586</v>
      </c>
      <c r="B1692" s="21">
        <v>1003894</v>
      </c>
      <c r="C1692" s="20" t="s">
        <v>176</v>
      </c>
      <c r="D1692" s="20" t="s">
        <v>7624</v>
      </c>
      <c r="E1692" s="20" t="s">
        <v>627</v>
      </c>
      <c r="F1692" s="20" t="s">
        <v>384</v>
      </c>
      <c r="G1692" s="20" t="s">
        <v>104</v>
      </c>
      <c r="H1692" s="20" t="s">
        <v>48</v>
      </c>
      <c r="I1692" s="20" t="s">
        <v>384</v>
      </c>
      <c r="J1692" s="342" t="s">
        <v>7625</v>
      </c>
      <c r="K1692" s="32" t="s">
        <v>4533</v>
      </c>
      <c r="L1692" s="23" t="s">
        <v>4524</v>
      </c>
      <c r="M1692" s="24" t="s">
        <v>7753</v>
      </c>
      <c r="N1692" s="23">
        <v>18774000</v>
      </c>
      <c r="O1692" s="25" t="s">
        <v>52</v>
      </c>
      <c r="P1692" s="25" t="s">
        <v>53</v>
      </c>
      <c r="Q1692" s="20" t="s">
        <v>7626</v>
      </c>
      <c r="R1692" s="20">
        <v>90244849</v>
      </c>
      <c r="S1692" s="25" t="s">
        <v>7627</v>
      </c>
      <c r="T1692" s="26" t="s">
        <v>57</v>
      </c>
      <c r="U1692" s="23">
        <v>860478064969345</v>
      </c>
      <c r="V1692" s="45" t="s">
        <v>110</v>
      </c>
      <c r="W1692" s="20" t="s">
        <v>302</v>
      </c>
      <c r="X1692" s="20" t="s">
        <v>303</v>
      </c>
      <c r="Y1692" s="20" t="s">
        <v>303</v>
      </c>
      <c r="Z1692" s="20" t="s">
        <v>80</v>
      </c>
      <c r="AA1692" s="20" t="s">
        <v>81</v>
      </c>
      <c r="AB1692" s="20" t="s">
        <v>82</v>
      </c>
      <c r="AC1692" s="28">
        <v>559.48</v>
      </c>
      <c r="AD1692" s="28">
        <f>SUM(BASE[[#This Row],[MONTO DE RENTA ]]*1.16)</f>
        <v>648.99680000000001</v>
      </c>
      <c r="AE1692" s="28" t="s">
        <v>83</v>
      </c>
      <c r="AF1692" s="28">
        <v>559.48275862068965</v>
      </c>
      <c r="AG1692" s="28">
        <v>649</v>
      </c>
      <c r="AH1692" s="22" t="s">
        <v>64</v>
      </c>
      <c r="AI1692" s="63">
        <v>45703</v>
      </c>
      <c r="AJ1692" s="63">
        <v>46433</v>
      </c>
      <c r="AK169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92" s="20"/>
      <c r="AM1692" s="30"/>
      <c r="AN1692" s="20" t="s">
        <v>65</v>
      </c>
      <c r="AO1692" s="20"/>
      <c r="AP1692" s="20" t="s">
        <v>84</v>
      </c>
      <c r="AQ1692" s="20"/>
    </row>
    <row r="1693" spans="1:43" ht="15" customHeight="1">
      <c r="A1693" s="20">
        <v>4423720421</v>
      </c>
      <c r="B1693" s="59">
        <v>1004658</v>
      </c>
      <c r="C1693" s="20" t="s">
        <v>2056</v>
      </c>
      <c r="D1693" s="20" t="s">
        <v>3640</v>
      </c>
      <c r="E1693" s="20" t="s">
        <v>6593</v>
      </c>
      <c r="F1693" s="20" t="s">
        <v>88</v>
      </c>
      <c r="G1693" s="20" t="s">
        <v>257</v>
      </c>
      <c r="H1693" s="20" t="s">
        <v>89</v>
      </c>
      <c r="I1693" s="20" t="s">
        <v>88</v>
      </c>
      <c r="J1693" s="22" t="s">
        <v>7628</v>
      </c>
      <c r="K1693" s="22" t="s">
        <v>7629</v>
      </c>
      <c r="L1693" s="23" t="s">
        <v>1508</v>
      </c>
      <c r="M1693" s="24" t="s">
        <v>7742</v>
      </c>
      <c r="N1693" s="23">
        <v>18848041</v>
      </c>
      <c r="O1693" s="25" t="s">
        <v>93</v>
      </c>
      <c r="P1693" s="25" t="s">
        <v>53</v>
      </c>
      <c r="Q1693" s="20" t="s">
        <v>7630</v>
      </c>
      <c r="R1693" s="20">
        <v>62144747</v>
      </c>
      <c r="S1693" s="25" t="s">
        <v>7631</v>
      </c>
      <c r="T1693" s="26" t="s">
        <v>57</v>
      </c>
      <c r="U1693" s="23">
        <v>860478062353914</v>
      </c>
      <c r="V1693" s="45" t="s">
        <v>110</v>
      </c>
      <c r="W1693" s="20" t="s">
        <v>302</v>
      </c>
      <c r="X1693" s="20" t="s">
        <v>303</v>
      </c>
      <c r="Y1693" s="20" t="s">
        <v>303</v>
      </c>
      <c r="Z1693" s="20" t="s">
        <v>131</v>
      </c>
      <c r="AA1693" s="20" t="s">
        <v>132</v>
      </c>
      <c r="AB1693" s="20" t="s">
        <v>82</v>
      </c>
      <c r="AC1693" s="28">
        <v>559.48</v>
      </c>
      <c r="AD1693" s="28">
        <f>SUM(BASE[[#This Row],[MONTO DE RENTA ]]*1.16)</f>
        <v>648.99680000000001</v>
      </c>
      <c r="AE1693" s="28" t="s">
        <v>83</v>
      </c>
      <c r="AF1693" s="28">
        <v>559.48275862068965</v>
      </c>
      <c r="AG1693" s="28">
        <v>649</v>
      </c>
      <c r="AI1693" s="63">
        <v>45940</v>
      </c>
      <c r="AJ1693" s="63">
        <v>46438</v>
      </c>
      <c r="AK169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93" s="30"/>
      <c r="AN1693" s="20" t="s">
        <v>65</v>
      </c>
      <c r="AP1693" s="20" t="s">
        <v>84</v>
      </c>
    </row>
    <row r="1694" spans="1:43" ht="15" customHeight="1">
      <c r="A1694" s="20">
        <v>3222169337</v>
      </c>
      <c r="B1694" s="49">
        <v>997535</v>
      </c>
      <c r="C1694" s="20" t="s">
        <v>4503</v>
      </c>
      <c r="D1694" s="20" t="s">
        <v>4504</v>
      </c>
      <c r="E1694" s="20" t="s">
        <v>756</v>
      </c>
      <c r="F1694" s="20" t="s">
        <v>257</v>
      </c>
      <c r="G1694" s="20" t="s">
        <v>257</v>
      </c>
      <c r="H1694" s="20" t="s">
        <v>48</v>
      </c>
      <c r="I1694" s="20" t="s">
        <v>257</v>
      </c>
      <c r="J1694" s="47" t="s">
        <v>7632</v>
      </c>
      <c r="K1694" s="169" t="s">
        <v>7632</v>
      </c>
      <c r="L1694" s="23" t="s">
        <v>4786</v>
      </c>
      <c r="M1694" s="24" t="s">
        <v>7746</v>
      </c>
      <c r="N1694" s="23">
        <v>18786000</v>
      </c>
      <c r="O1694" s="25" t="s">
        <v>677</v>
      </c>
      <c r="P1694" s="25" t="s">
        <v>53</v>
      </c>
      <c r="Q1694" s="20" t="s">
        <v>7633</v>
      </c>
      <c r="R1694" s="20">
        <v>55775927</v>
      </c>
      <c r="S1694" s="25" t="s">
        <v>7634</v>
      </c>
      <c r="T1694" s="44" t="s">
        <v>57</v>
      </c>
      <c r="U1694" s="23">
        <v>861383070408925</v>
      </c>
      <c r="V1694" s="45" t="s">
        <v>110</v>
      </c>
      <c r="W1694" s="20" t="s">
        <v>111</v>
      </c>
      <c r="X1694" s="20" t="s">
        <v>112</v>
      </c>
      <c r="Y1694" s="20" t="s">
        <v>112</v>
      </c>
      <c r="Z1694" s="20" t="s">
        <v>113</v>
      </c>
      <c r="AA1694" s="20" t="s">
        <v>114</v>
      </c>
      <c r="AB1694" s="20" t="s">
        <v>115</v>
      </c>
      <c r="AC1694" s="28">
        <v>559.48</v>
      </c>
      <c r="AD1694" s="28">
        <f>SUM(BASE[[#This Row],[MONTO DE RENTA ]]*1.16)</f>
        <v>648.99680000000001</v>
      </c>
      <c r="AE1694" s="28" t="s">
        <v>83</v>
      </c>
      <c r="AF1694" s="28">
        <v>559.48275862068965</v>
      </c>
      <c r="AG1694" s="28">
        <v>649</v>
      </c>
      <c r="AH1694" s="22" t="s">
        <v>116</v>
      </c>
      <c r="AI1694" s="63">
        <v>45931</v>
      </c>
      <c r="AJ1694" s="63">
        <v>46753</v>
      </c>
      <c r="AK1694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694" s="20" t="s">
        <v>7635</v>
      </c>
      <c r="AM1694" s="30"/>
      <c r="AN1694" s="20" t="s">
        <v>65</v>
      </c>
      <c r="AP1694" s="20" t="s">
        <v>84</v>
      </c>
    </row>
    <row r="1695" spans="1:43" ht="15" customHeight="1">
      <c r="A1695" s="20">
        <v>8112417091</v>
      </c>
      <c r="B1695" s="70">
        <v>890124</v>
      </c>
      <c r="C1695" s="20" t="s">
        <v>5684</v>
      </c>
      <c r="D1695" s="20" t="s">
        <v>598</v>
      </c>
      <c r="E1695" s="20" t="s">
        <v>1432</v>
      </c>
      <c r="F1695" s="20" t="s">
        <v>5685</v>
      </c>
      <c r="G1695" s="20" t="s">
        <v>5685</v>
      </c>
      <c r="H1695" s="20" t="s">
        <v>5320</v>
      </c>
      <c r="I1695" s="20" t="s">
        <v>5685</v>
      </c>
      <c r="J1695" s="196" t="s">
        <v>7636</v>
      </c>
      <c r="K1695" s="196" t="s">
        <v>7636</v>
      </c>
      <c r="L1695" s="38" t="s">
        <v>92</v>
      </c>
      <c r="M1695" s="24" t="s">
        <v>7738</v>
      </c>
      <c r="N1695" s="23">
        <v>18848048</v>
      </c>
      <c r="O1695" s="25" t="s">
        <v>74</v>
      </c>
      <c r="P1695" s="25" t="s">
        <v>53</v>
      </c>
      <c r="Q1695" s="20" t="s">
        <v>7637</v>
      </c>
      <c r="R1695" s="20">
        <v>45542959</v>
      </c>
      <c r="S1695" s="25" t="s">
        <v>55</v>
      </c>
      <c r="T1695" s="39" t="s">
        <v>56</v>
      </c>
      <c r="U1695" s="23">
        <v>860900062338215</v>
      </c>
      <c r="V1695" s="60" t="s">
        <v>183</v>
      </c>
      <c r="W1695" s="20" t="s">
        <v>58</v>
      </c>
      <c r="X1695" s="20" t="s">
        <v>59</v>
      </c>
      <c r="Y1695" s="20" t="s">
        <v>59</v>
      </c>
      <c r="Z1695" s="20" t="s">
        <v>5527</v>
      </c>
      <c r="AA1695" s="20" t="s">
        <v>5528</v>
      </c>
      <c r="AB1695" s="20" t="s">
        <v>244</v>
      </c>
      <c r="AC1695" s="28">
        <v>473.28</v>
      </c>
      <c r="AD1695" s="28">
        <f>SUM(BASE[[#This Row],[MONTO DE RENTA ]]*1.16)</f>
        <v>549.00479999999993</v>
      </c>
      <c r="AE1695" s="28" t="s">
        <v>63</v>
      </c>
      <c r="AF1695" s="28">
        <v>369.82758620689657</v>
      </c>
      <c r="AG1695" s="28">
        <v>429</v>
      </c>
      <c r="AH1695" s="36" t="s">
        <v>64</v>
      </c>
      <c r="AI1695" s="84">
        <v>45994</v>
      </c>
      <c r="AJ1695" s="63">
        <v>46753</v>
      </c>
      <c r="AK1695" s="30">
        <f ca="1">IFERROR(IF(BASE[[#This Row],[FECHA DE RENOVACION ]]&gt;TODAY(), DATEDIF(TODAY(),BASE[[#This Row],[FECHA DE RENOVACION ]],"M"), -DATEDIF(BASE[[#This Row],[FECHA DE RENOVACION ]],TODAY(),"M")), "Sin fecha")</f>
        <v>21</v>
      </c>
      <c r="AL1695" s="34"/>
      <c r="AM1695" s="42"/>
      <c r="AN1695" s="20" t="s">
        <v>65</v>
      </c>
      <c r="AP1695" s="20" t="s">
        <v>118</v>
      </c>
    </row>
    <row r="1696" spans="1:43" ht="15" customHeight="1">
      <c r="A1696" s="20">
        <v>4424644004</v>
      </c>
      <c r="B1696" s="49">
        <v>1004658</v>
      </c>
      <c r="C1696" s="20" t="s">
        <v>2056</v>
      </c>
      <c r="D1696" s="20" t="s">
        <v>3640</v>
      </c>
      <c r="E1696" s="20" t="s">
        <v>6593</v>
      </c>
      <c r="F1696" s="20" t="s">
        <v>88</v>
      </c>
      <c r="G1696" s="20" t="s">
        <v>88</v>
      </c>
      <c r="H1696" s="20" t="s">
        <v>89</v>
      </c>
      <c r="I1696" s="20" t="s">
        <v>88</v>
      </c>
      <c r="J1696" s="145" t="s">
        <v>7638</v>
      </c>
      <c r="K1696" s="145" t="s">
        <v>7638</v>
      </c>
      <c r="L1696" s="23" t="s">
        <v>92</v>
      </c>
      <c r="M1696" s="24" t="s">
        <v>7738</v>
      </c>
      <c r="N1696" s="23">
        <v>18848041</v>
      </c>
      <c r="O1696" s="25" t="s">
        <v>93</v>
      </c>
      <c r="P1696" s="25" t="s">
        <v>53</v>
      </c>
      <c r="Q1696" s="20" t="s">
        <v>7639</v>
      </c>
      <c r="R1696" s="20">
        <v>63662383</v>
      </c>
      <c r="S1696" s="25" t="s">
        <v>7640</v>
      </c>
      <c r="T1696" s="26" t="s">
        <v>57</v>
      </c>
      <c r="U1696" s="23">
        <v>860478064066639</v>
      </c>
      <c r="V1696" s="45" t="s">
        <v>110</v>
      </c>
      <c r="W1696" s="20" t="s">
        <v>302</v>
      </c>
      <c r="X1696" s="20" t="s">
        <v>303</v>
      </c>
      <c r="Y1696" s="20" t="s">
        <v>303</v>
      </c>
      <c r="Z1696" s="20" t="s">
        <v>131</v>
      </c>
      <c r="AA1696" s="20" t="s">
        <v>132</v>
      </c>
      <c r="AB1696" s="20" t="s">
        <v>82</v>
      </c>
      <c r="AC1696" s="28">
        <v>559.48</v>
      </c>
      <c r="AD1696" s="28">
        <f>SUM(BASE[[#This Row],[MONTO DE RENTA ]]*1.16)</f>
        <v>648.99680000000001</v>
      </c>
      <c r="AE1696" s="28" t="s">
        <v>83</v>
      </c>
      <c r="AF1696" s="28">
        <v>559.48275862068965</v>
      </c>
      <c r="AG1696" s="28">
        <v>649</v>
      </c>
      <c r="AI1696" s="63">
        <v>45940</v>
      </c>
      <c r="AJ1696" s="63">
        <v>46438</v>
      </c>
      <c r="AK1696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696" s="30"/>
      <c r="AN1696" s="20" t="s">
        <v>65</v>
      </c>
      <c r="AP1696" s="20" t="s">
        <v>84</v>
      </c>
    </row>
    <row r="1697" spans="1:43" s="87" customFormat="1" ht="15" customHeight="1">
      <c r="A1697" s="20">
        <v>8135515214</v>
      </c>
      <c r="B1697" s="21">
        <v>1043124</v>
      </c>
      <c r="C1697" s="20" t="s">
        <v>7641</v>
      </c>
      <c r="D1697" s="20" t="s">
        <v>3074</v>
      </c>
      <c r="E1697" s="20" t="s">
        <v>7642</v>
      </c>
      <c r="F1697" s="20" t="s">
        <v>7643</v>
      </c>
      <c r="G1697" s="20" t="s">
        <v>7643</v>
      </c>
      <c r="H1697" s="20" t="s">
        <v>199</v>
      </c>
      <c r="I1697" s="20" t="s">
        <v>7643</v>
      </c>
      <c r="J1697" s="22" t="s">
        <v>7644</v>
      </c>
      <c r="K1697" s="32" t="s">
        <v>7645</v>
      </c>
      <c r="L1697" s="23" t="s">
        <v>92</v>
      </c>
      <c r="M1697" s="24" t="s">
        <v>7738</v>
      </c>
      <c r="N1697" s="23">
        <v>18848010</v>
      </c>
      <c r="O1697" s="25" t="s">
        <v>74</v>
      </c>
      <c r="P1697" s="25" t="s">
        <v>53</v>
      </c>
      <c r="Q1697" s="20" t="s">
        <v>7646</v>
      </c>
      <c r="R1697" s="20">
        <v>44918892</v>
      </c>
      <c r="S1697" s="25" t="s">
        <v>7647</v>
      </c>
      <c r="T1697" s="26" t="s">
        <v>57</v>
      </c>
      <c r="U1697" s="23">
        <v>860900062337878</v>
      </c>
      <c r="V1697" s="27" t="s">
        <v>57</v>
      </c>
      <c r="W1697" s="20" t="s">
        <v>58</v>
      </c>
      <c r="X1697" s="20" t="s">
        <v>59</v>
      </c>
      <c r="Y1697" s="20" t="s">
        <v>59</v>
      </c>
      <c r="Z1697" s="20" t="s">
        <v>167</v>
      </c>
      <c r="AA1697" s="20" t="s">
        <v>168</v>
      </c>
      <c r="AB1697" s="20" t="s">
        <v>96</v>
      </c>
      <c r="AC1697" s="28">
        <v>369.83</v>
      </c>
      <c r="AD1697" s="28">
        <f>SUM(BASE[[#This Row],[MONTO DE RENTA ]]*1.16)</f>
        <v>429.00279999999998</v>
      </c>
      <c r="AE1697" s="28" t="s">
        <v>63</v>
      </c>
      <c r="AF1697" s="28">
        <v>369.82758620689657</v>
      </c>
      <c r="AG1697" s="28">
        <v>429</v>
      </c>
      <c r="AH1697" s="22" t="s">
        <v>64</v>
      </c>
      <c r="AI1697" s="63">
        <v>45713</v>
      </c>
      <c r="AJ1697" s="63">
        <v>46433</v>
      </c>
      <c r="AK1697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97" s="20"/>
      <c r="AM1697" s="30"/>
      <c r="AN1697" s="20" t="s">
        <v>65</v>
      </c>
      <c r="AO1697" s="20"/>
      <c r="AP1697" s="20" t="s">
        <v>84</v>
      </c>
      <c r="AQ1697" s="20"/>
    </row>
    <row r="1698" spans="1:43" s="34" customFormat="1" ht="15" customHeight="1">
      <c r="A1698" s="20">
        <v>8115616065</v>
      </c>
      <c r="B1698" s="21">
        <v>6716</v>
      </c>
      <c r="C1698" s="20" t="s">
        <v>7648</v>
      </c>
      <c r="D1698" s="20" t="s">
        <v>1524</v>
      </c>
      <c r="E1698" s="20" t="s">
        <v>580</v>
      </c>
      <c r="F1698" s="20" t="s">
        <v>7649</v>
      </c>
      <c r="G1698" s="20" t="s">
        <v>7649</v>
      </c>
      <c r="H1698" s="20" t="s">
        <v>155</v>
      </c>
      <c r="I1698" s="20" t="s">
        <v>7649</v>
      </c>
      <c r="J1698" s="22" t="s">
        <v>7650</v>
      </c>
      <c r="K1698" s="22" t="s">
        <v>7651</v>
      </c>
      <c r="L1698" s="23" t="s">
        <v>92</v>
      </c>
      <c r="M1698" s="24" t="s">
        <v>7738</v>
      </c>
      <c r="N1698" s="23">
        <v>18848059</v>
      </c>
      <c r="O1698" s="25" t="s">
        <v>74</v>
      </c>
      <c r="P1698" s="25" t="s">
        <v>53</v>
      </c>
      <c r="Q1698" s="20" t="s">
        <v>7652</v>
      </c>
      <c r="R1698" s="20">
        <v>43163589</v>
      </c>
      <c r="S1698" s="25" t="s">
        <v>7653</v>
      </c>
      <c r="T1698" s="26" t="s">
        <v>57</v>
      </c>
      <c r="U1698" s="23">
        <v>860900062336151</v>
      </c>
      <c r="V1698" s="27" t="s">
        <v>57</v>
      </c>
      <c r="W1698" s="20" t="s">
        <v>58</v>
      </c>
      <c r="X1698" s="20" t="s">
        <v>59</v>
      </c>
      <c r="Y1698" s="20" t="s">
        <v>59</v>
      </c>
      <c r="Z1698" s="20" t="s">
        <v>167</v>
      </c>
      <c r="AA1698" s="20" t="s">
        <v>168</v>
      </c>
      <c r="AB1698" s="20" t="s">
        <v>96</v>
      </c>
      <c r="AC1698" s="28">
        <v>369.83</v>
      </c>
      <c r="AD1698" s="28">
        <f>SUM(BASE[[#This Row],[MONTO DE RENTA ]]*1.16)</f>
        <v>429.00279999999998</v>
      </c>
      <c r="AE1698" s="28" t="s">
        <v>63</v>
      </c>
      <c r="AF1698" s="28">
        <v>369.82758620689657</v>
      </c>
      <c r="AG1698" s="28">
        <v>429</v>
      </c>
      <c r="AH1698" s="22" t="s">
        <v>64</v>
      </c>
      <c r="AI1698" s="63">
        <v>45703</v>
      </c>
      <c r="AJ1698" s="63">
        <v>46433</v>
      </c>
      <c r="AK169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698" s="20"/>
      <c r="AM1698" s="30"/>
      <c r="AN1698" s="20" t="s">
        <v>65</v>
      </c>
      <c r="AO1698" s="20"/>
      <c r="AP1698" s="20" t="s">
        <v>84</v>
      </c>
      <c r="AQ1698" s="20"/>
    </row>
    <row r="1699" spans="1:43" ht="15" customHeight="1">
      <c r="A1699" s="20">
        <v>8115638179</v>
      </c>
      <c r="B1699" s="49">
        <v>6895</v>
      </c>
      <c r="C1699" s="20" t="s">
        <v>7654</v>
      </c>
      <c r="D1699" s="20" t="s">
        <v>7655</v>
      </c>
      <c r="E1699" s="20" t="s">
        <v>329</v>
      </c>
      <c r="F1699" s="20" t="s">
        <v>6903</v>
      </c>
      <c r="G1699" s="20" t="s">
        <v>6903</v>
      </c>
      <c r="H1699" s="20" t="s">
        <v>208</v>
      </c>
      <c r="I1699" s="20" t="s">
        <v>6903</v>
      </c>
      <c r="J1699" s="22" t="s">
        <v>7656</v>
      </c>
      <c r="K1699" s="32" t="s">
        <v>7657</v>
      </c>
      <c r="L1699" s="23" t="s">
        <v>92</v>
      </c>
      <c r="M1699" s="24" t="s">
        <v>7738</v>
      </c>
      <c r="N1699" s="23">
        <v>18848049</v>
      </c>
      <c r="O1699" s="25" t="s">
        <v>74</v>
      </c>
      <c r="P1699" s="25" t="s">
        <v>53</v>
      </c>
      <c r="Q1699" s="20" t="s">
        <v>7658</v>
      </c>
      <c r="R1699" s="20">
        <v>42888669</v>
      </c>
      <c r="S1699" s="25" t="s">
        <v>55</v>
      </c>
      <c r="T1699" s="26" t="s">
        <v>56</v>
      </c>
      <c r="U1699" s="23">
        <v>865356065668196</v>
      </c>
      <c r="V1699" s="27" t="s">
        <v>183</v>
      </c>
      <c r="W1699" s="20" t="s">
        <v>129</v>
      </c>
      <c r="X1699" s="20" t="s">
        <v>130</v>
      </c>
      <c r="Y1699" s="20" t="s">
        <v>130</v>
      </c>
      <c r="Z1699" s="20" t="s">
        <v>60</v>
      </c>
      <c r="AA1699" s="20" t="s">
        <v>61</v>
      </c>
      <c r="AB1699" s="20" t="s">
        <v>96</v>
      </c>
      <c r="AC1699" s="28">
        <v>369.83</v>
      </c>
      <c r="AD1699" s="28">
        <f>SUM(BASE[[#This Row],[MONTO DE RENTA ]]*1.16)</f>
        <v>429.00279999999998</v>
      </c>
      <c r="AE1699" s="28" t="s">
        <v>63</v>
      </c>
      <c r="AF1699" s="28">
        <v>369.82758620689657</v>
      </c>
      <c r="AG1699" s="28">
        <v>429</v>
      </c>
      <c r="AI1699" s="63">
        <v>44937</v>
      </c>
      <c r="AJ1699" s="73">
        <v>46043</v>
      </c>
      <c r="AK1699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699" s="30"/>
      <c r="AN1699" s="20" t="s">
        <v>99</v>
      </c>
      <c r="AP1699" s="20" t="s">
        <v>84</v>
      </c>
      <c r="AQ1699" s="20" t="s">
        <v>100</v>
      </c>
    </row>
    <row r="1700" spans="1:43" s="34" customFormat="1" ht="15" customHeight="1">
      <c r="A1700" s="20">
        <v>8118243249</v>
      </c>
      <c r="B1700" s="178">
        <v>990076</v>
      </c>
      <c r="C1700" s="20" t="s">
        <v>1319</v>
      </c>
      <c r="D1700" s="20" t="s">
        <v>3458</v>
      </c>
      <c r="E1700" s="20" t="s">
        <v>627</v>
      </c>
      <c r="F1700" s="20" t="s">
        <v>7659</v>
      </c>
      <c r="G1700" s="20" t="s">
        <v>7659</v>
      </c>
      <c r="H1700" s="20" t="s">
        <v>48</v>
      </c>
      <c r="I1700" s="20" t="s">
        <v>7659</v>
      </c>
      <c r="J1700" s="96" t="s">
        <v>7660</v>
      </c>
      <c r="K1700" s="96" t="s">
        <v>7660</v>
      </c>
      <c r="L1700" s="23" t="s">
        <v>1298</v>
      </c>
      <c r="M1700" s="24" t="s">
        <v>7752</v>
      </c>
      <c r="N1700" s="23">
        <v>18061000</v>
      </c>
      <c r="O1700" s="25" t="s">
        <v>74</v>
      </c>
      <c r="P1700" s="25" t="s">
        <v>53</v>
      </c>
      <c r="Q1700" s="20" t="s">
        <v>7661</v>
      </c>
      <c r="R1700" s="20">
        <v>45017334</v>
      </c>
      <c r="S1700" s="25" t="s">
        <v>7662</v>
      </c>
      <c r="T1700" s="26" t="s">
        <v>57</v>
      </c>
      <c r="U1700" s="23">
        <v>860900062338298</v>
      </c>
      <c r="V1700" s="27" t="s">
        <v>57</v>
      </c>
      <c r="W1700" s="20" t="s">
        <v>58</v>
      </c>
      <c r="X1700" s="20" t="s">
        <v>59</v>
      </c>
      <c r="Y1700" s="20" t="s">
        <v>59</v>
      </c>
      <c r="Z1700" s="20" t="s">
        <v>167</v>
      </c>
      <c r="AA1700" s="20" t="s">
        <v>168</v>
      </c>
      <c r="AB1700" s="20" t="s">
        <v>96</v>
      </c>
      <c r="AC1700" s="28">
        <v>369.83</v>
      </c>
      <c r="AD1700" s="28">
        <f>SUM(BASE[[#This Row],[MONTO DE RENTA ]]*1.16)</f>
        <v>429.00279999999998</v>
      </c>
      <c r="AE1700" s="28" t="s">
        <v>63</v>
      </c>
      <c r="AF1700" s="28">
        <v>369.82758620689657</v>
      </c>
      <c r="AG1700" s="28">
        <v>429</v>
      </c>
      <c r="AH1700" s="22" t="s">
        <v>64</v>
      </c>
      <c r="AI1700" s="63">
        <v>45703</v>
      </c>
      <c r="AJ1700" s="63">
        <v>46433</v>
      </c>
      <c r="AK170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700" s="20"/>
      <c r="AM1700" s="30"/>
      <c r="AN1700" s="20" t="s">
        <v>65</v>
      </c>
      <c r="AO1700" s="20"/>
      <c r="AP1700" s="20" t="s">
        <v>84</v>
      </c>
      <c r="AQ1700" s="20"/>
    </row>
    <row r="1701" spans="1:43" ht="15" customHeight="1">
      <c r="A1701" s="20">
        <v>7711345133</v>
      </c>
      <c r="B1701" s="21">
        <v>990009</v>
      </c>
      <c r="C1701" s="20" t="s">
        <v>2549</v>
      </c>
      <c r="D1701" s="20" t="s">
        <v>657</v>
      </c>
      <c r="E1701" s="20" t="s">
        <v>1186</v>
      </c>
      <c r="F1701" s="20" t="s">
        <v>1427</v>
      </c>
      <c r="G1701" s="20" t="s">
        <v>1427</v>
      </c>
      <c r="H1701" s="20" t="s">
        <v>48</v>
      </c>
      <c r="I1701" s="20" t="s">
        <v>1427</v>
      </c>
      <c r="J1701" s="32" t="s">
        <v>7663</v>
      </c>
      <c r="K1701" s="32" t="s">
        <v>7663</v>
      </c>
      <c r="L1701" s="23" t="s">
        <v>5007</v>
      </c>
      <c r="M1701" s="24" t="s">
        <v>7752</v>
      </c>
      <c r="N1701" s="23">
        <v>18799000</v>
      </c>
      <c r="O1701" s="25" t="s">
        <v>52</v>
      </c>
      <c r="P1701" s="25" t="s">
        <v>53</v>
      </c>
      <c r="Q1701" s="20" t="s">
        <v>7664</v>
      </c>
      <c r="R1701" s="20">
        <v>90069425</v>
      </c>
      <c r="S1701" s="25" t="s">
        <v>7665</v>
      </c>
      <c r="T1701" s="26" t="s">
        <v>57</v>
      </c>
      <c r="U1701" s="23">
        <v>860900062319124</v>
      </c>
      <c r="V1701" s="27" t="s">
        <v>57</v>
      </c>
      <c r="W1701" s="20" t="s">
        <v>58</v>
      </c>
      <c r="X1701" s="20" t="s">
        <v>59</v>
      </c>
      <c r="Y1701" s="20" t="s">
        <v>59</v>
      </c>
      <c r="Z1701" s="20" t="s">
        <v>167</v>
      </c>
      <c r="AA1701" s="20" t="s">
        <v>168</v>
      </c>
      <c r="AB1701" s="20" t="s">
        <v>96</v>
      </c>
      <c r="AC1701" s="28">
        <v>369.83</v>
      </c>
      <c r="AD1701" s="28">
        <f>SUM(BASE[[#This Row],[MONTO DE RENTA ]]*1.16)</f>
        <v>429.00279999999998</v>
      </c>
      <c r="AE1701" s="28" t="s">
        <v>63</v>
      </c>
      <c r="AF1701" s="28">
        <v>369.82758620689657</v>
      </c>
      <c r="AG1701" s="28">
        <v>429</v>
      </c>
      <c r="AH1701" s="22" t="s">
        <v>64</v>
      </c>
      <c r="AI1701" s="63">
        <v>45703</v>
      </c>
      <c r="AJ1701" s="63">
        <v>46433</v>
      </c>
      <c r="AK1701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01" s="30"/>
      <c r="AN1701" s="20" t="s">
        <v>65</v>
      </c>
      <c r="AP1701" s="20" t="s">
        <v>84</v>
      </c>
    </row>
    <row r="1702" spans="1:43" ht="15" customHeight="1">
      <c r="A1702" s="20">
        <v>8135515219</v>
      </c>
      <c r="B1702" s="21">
        <v>7002</v>
      </c>
      <c r="C1702" s="20" t="s">
        <v>7666</v>
      </c>
      <c r="D1702" s="20" t="s">
        <v>7667</v>
      </c>
      <c r="E1702" s="20" t="s">
        <v>556</v>
      </c>
      <c r="F1702" s="20" t="s">
        <v>7668</v>
      </c>
      <c r="G1702" s="20" t="s">
        <v>7668</v>
      </c>
      <c r="H1702" s="20" t="s">
        <v>5730</v>
      </c>
      <c r="I1702" s="20" t="s">
        <v>7668</v>
      </c>
      <c r="J1702" s="22" t="s">
        <v>7669</v>
      </c>
      <c r="K1702" s="32" t="s">
        <v>7670</v>
      </c>
      <c r="L1702" s="23" t="s">
        <v>92</v>
      </c>
      <c r="M1702" s="24" t="s">
        <v>7738</v>
      </c>
      <c r="N1702" s="23">
        <v>18848015</v>
      </c>
      <c r="O1702" s="25" t="s">
        <v>74</v>
      </c>
      <c r="P1702" s="25" t="s">
        <v>53</v>
      </c>
      <c r="Q1702" s="20" t="s">
        <v>7671</v>
      </c>
      <c r="R1702" s="20">
        <v>44918848</v>
      </c>
      <c r="S1702" s="25" t="s">
        <v>7672</v>
      </c>
      <c r="T1702" s="26" t="s">
        <v>57</v>
      </c>
      <c r="U1702" s="23">
        <v>359928213566135</v>
      </c>
      <c r="V1702" s="27" t="s">
        <v>78</v>
      </c>
      <c r="W1702" s="20" t="s">
        <v>79</v>
      </c>
      <c r="X1702" s="20" t="s">
        <v>79</v>
      </c>
      <c r="Y1702" s="20" t="s">
        <v>79</v>
      </c>
      <c r="Z1702" s="20" t="s">
        <v>167</v>
      </c>
      <c r="AA1702" s="20" t="s">
        <v>168</v>
      </c>
      <c r="AB1702" s="20" t="s">
        <v>115</v>
      </c>
      <c r="AC1702" s="28">
        <v>559.48</v>
      </c>
      <c r="AD1702" s="28">
        <f>SUM(BASE[[#This Row],[MONTO DE RENTA ]]*1.16)</f>
        <v>648.99680000000001</v>
      </c>
      <c r="AE1702" s="28" t="s">
        <v>83</v>
      </c>
      <c r="AF1702" s="28">
        <v>559.48275862068965</v>
      </c>
      <c r="AG1702" s="28">
        <v>649</v>
      </c>
      <c r="AH1702" s="22" t="s">
        <v>64</v>
      </c>
      <c r="AI1702" s="63">
        <v>45713</v>
      </c>
      <c r="AJ1702" s="63">
        <v>46433</v>
      </c>
      <c r="AK1702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02" s="30"/>
      <c r="AN1702" s="20" t="s">
        <v>65</v>
      </c>
      <c r="AP1702" s="20" t="s">
        <v>84</v>
      </c>
    </row>
    <row r="1703" spans="1:43" s="87" customFormat="1" ht="15" customHeight="1">
      <c r="A1703" s="20">
        <v>8113229880</v>
      </c>
      <c r="B1703" s="49">
        <v>6222</v>
      </c>
      <c r="C1703" s="20" t="s">
        <v>4551</v>
      </c>
      <c r="D1703" s="20" t="s">
        <v>7673</v>
      </c>
      <c r="E1703" s="20" t="s">
        <v>7674</v>
      </c>
      <c r="F1703" s="20" t="s">
        <v>6542</v>
      </c>
      <c r="G1703" s="20" t="s">
        <v>6542</v>
      </c>
      <c r="H1703" s="20" t="s">
        <v>155</v>
      </c>
      <c r="I1703" s="20" t="s">
        <v>6542</v>
      </c>
      <c r="J1703" s="22" t="s">
        <v>7675</v>
      </c>
      <c r="K1703" s="22" t="s">
        <v>7675</v>
      </c>
      <c r="L1703" s="23" t="s">
        <v>92</v>
      </c>
      <c r="M1703" s="24" t="s">
        <v>7738</v>
      </c>
      <c r="N1703" s="23">
        <v>18848059</v>
      </c>
      <c r="O1703" s="25" t="s">
        <v>74</v>
      </c>
      <c r="P1703" s="25" t="s">
        <v>53</v>
      </c>
      <c r="Q1703" s="20" t="s">
        <v>7676</v>
      </c>
      <c r="R1703" s="20">
        <v>42896263</v>
      </c>
      <c r="S1703" s="25" t="s">
        <v>55</v>
      </c>
      <c r="T1703" s="26" t="s">
        <v>56</v>
      </c>
      <c r="U1703" s="23">
        <v>357894929390149</v>
      </c>
      <c r="V1703" s="27" t="s">
        <v>78</v>
      </c>
      <c r="W1703" s="20" t="s">
        <v>95</v>
      </c>
      <c r="X1703" s="20" t="s">
        <v>95</v>
      </c>
      <c r="Y1703" s="20" t="s">
        <v>95</v>
      </c>
      <c r="Z1703" s="20" t="s">
        <v>60</v>
      </c>
      <c r="AA1703" s="20" t="s">
        <v>61</v>
      </c>
      <c r="AB1703" s="20" t="s">
        <v>82</v>
      </c>
      <c r="AC1703" s="28">
        <v>559.48</v>
      </c>
      <c r="AD1703" s="28">
        <f>SUM(BASE[[#This Row],[MONTO DE RENTA ]]*1.16)</f>
        <v>648.99680000000001</v>
      </c>
      <c r="AE1703" s="28" t="s">
        <v>83</v>
      </c>
      <c r="AF1703" s="28">
        <v>559.48275862068965</v>
      </c>
      <c r="AG1703" s="28">
        <v>649</v>
      </c>
      <c r="AH1703" s="22"/>
      <c r="AI1703" s="63">
        <v>44937</v>
      </c>
      <c r="AJ1703" s="73">
        <v>46043</v>
      </c>
      <c r="AK1703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03" s="20"/>
      <c r="AM1703" s="30"/>
      <c r="AN1703" s="20" t="s">
        <v>99</v>
      </c>
      <c r="AO1703" s="20"/>
      <c r="AP1703" s="20" t="s">
        <v>84</v>
      </c>
      <c r="AQ1703" s="20" t="s">
        <v>100</v>
      </c>
    </row>
    <row r="1704" spans="1:43" ht="15" customHeight="1">
      <c r="A1704" s="20">
        <v>8113890376</v>
      </c>
      <c r="B1704" s="21">
        <v>1020595</v>
      </c>
      <c r="C1704" s="20" t="s">
        <v>4487</v>
      </c>
      <c r="D1704" s="20" t="s">
        <v>1807</v>
      </c>
      <c r="E1704" s="20" t="s">
        <v>2982</v>
      </c>
      <c r="F1704" s="20" t="s">
        <v>7677</v>
      </c>
      <c r="G1704" s="20" t="s">
        <v>7677</v>
      </c>
      <c r="H1704" s="20" t="s">
        <v>5381</v>
      </c>
      <c r="I1704" s="20" t="s">
        <v>7677</v>
      </c>
      <c r="J1704" s="54" t="s">
        <v>7678</v>
      </c>
      <c r="K1704" s="54" t="s">
        <v>7678</v>
      </c>
      <c r="L1704" s="23" t="s">
        <v>92</v>
      </c>
      <c r="M1704" s="24" t="s">
        <v>7738</v>
      </c>
      <c r="N1704" s="23">
        <v>18848016</v>
      </c>
      <c r="O1704" s="25" t="s">
        <v>74</v>
      </c>
      <c r="P1704" s="25" t="s">
        <v>53</v>
      </c>
      <c r="Q1704" s="20" t="s">
        <v>7679</v>
      </c>
      <c r="R1704" s="20">
        <v>43090360</v>
      </c>
      <c r="S1704" s="25" t="s">
        <v>7680</v>
      </c>
      <c r="T1704" s="44" t="s">
        <v>57</v>
      </c>
      <c r="U1704" s="23">
        <v>860900062337837</v>
      </c>
      <c r="V1704" s="27" t="s">
        <v>57</v>
      </c>
      <c r="W1704" s="20" t="s">
        <v>58</v>
      </c>
      <c r="X1704" s="20" t="s">
        <v>59</v>
      </c>
      <c r="Y1704" s="20" t="s">
        <v>59</v>
      </c>
      <c r="Z1704" s="20" t="s">
        <v>167</v>
      </c>
      <c r="AA1704" s="20" t="s">
        <v>168</v>
      </c>
      <c r="AB1704" s="20" t="s">
        <v>96</v>
      </c>
      <c r="AC1704" s="28">
        <v>369.83</v>
      </c>
      <c r="AD1704" s="28">
        <f>SUM(BASE[[#This Row],[MONTO DE RENTA ]]*1.16)</f>
        <v>429.00279999999998</v>
      </c>
      <c r="AE1704" s="28" t="s">
        <v>63</v>
      </c>
      <c r="AF1704" s="28">
        <v>369.82758620689657</v>
      </c>
      <c r="AG1704" s="28">
        <v>429</v>
      </c>
      <c r="AH1704" s="22" t="s">
        <v>98</v>
      </c>
      <c r="AI1704" s="63">
        <v>45287</v>
      </c>
      <c r="AJ1704" s="63">
        <v>46383</v>
      </c>
      <c r="AK1704" s="30">
        <f ca="1">IFERROR(IF(BASE[[#This Row],[FECHA DE RENOVACION ]]&gt;TODAY(), DATEDIF(TODAY(),BASE[[#This Row],[FECHA DE RENOVACION ]],"M"), -DATEDIF(BASE[[#This Row],[FECHA DE RENOVACION ]],TODAY(),"M")), "Sin fecha")</f>
        <v>9</v>
      </c>
      <c r="AM1704" s="30"/>
      <c r="AN1704" s="20" t="s">
        <v>65</v>
      </c>
      <c r="AP1704" s="20" t="s">
        <v>84</v>
      </c>
    </row>
    <row r="1705" spans="1:43" s="87" customFormat="1" ht="15" customHeight="1">
      <c r="A1705" s="20">
        <v>8111210477</v>
      </c>
      <c r="B1705" s="49">
        <v>4068</v>
      </c>
      <c r="C1705" s="20" t="s">
        <v>1319</v>
      </c>
      <c r="D1705" s="20" t="s">
        <v>1638</v>
      </c>
      <c r="E1705" s="20" t="s">
        <v>7681</v>
      </c>
      <c r="F1705" s="20" t="s">
        <v>7682</v>
      </c>
      <c r="G1705" s="20" t="s">
        <v>7682</v>
      </c>
      <c r="H1705" s="20" t="s">
        <v>208</v>
      </c>
      <c r="I1705" s="20" t="s">
        <v>7682</v>
      </c>
      <c r="J1705" s="22" t="s">
        <v>7683</v>
      </c>
      <c r="K1705" s="22" t="s">
        <v>7684</v>
      </c>
      <c r="L1705" s="23" t="s">
        <v>92</v>
      </c>
      <c r="M1705" s="24" t="s">
        <v>7738</v>
      </c>
      <c r="N1705" s="23">
        <v>18848090</v>
      </c>
      <c r="O1705" s="25" t="s">
        <v>74</v>
      </c>
      <c r="P1705" s="25" t="s">
        <v>53</v>
      </c>
      <c r="Q1705" s="20" t="s">
        <v>7685</v>
      </c>
      <c r="R1705" s="20">
        <v>42896260</v>
      </c>
      <c r="S1705" s="25" t="s">
        <v>55</v>
      </c>
      <c r="T1705" s="26" t="s">
        <v>56</v>
      </c>
      <c r="U1705" s="23">
        <v>350739823238000</v>
      </c>
      <c r="V1705" s="27" t="s">
        <v>78</v>
      </c>
      <c r="W1705" s="20" t="s">
        <v>5347</v>
      </c>
      <c r="X1705" s="20" t="s">
        <v>5347</v>
      </c>
      <c r="Y1705" s="20" t="s">
        <v>5347</v>
      </c>
      <c r="Z1705" s="20" t="s">
        <v>60</v>
      </c>
      <c r="AA1705" s="20" t="s">
        <v>61</v>
      </c>
      <c r="AB1705" s="20" t="s">
        <v>82</v>
      </c>
      <c r="AC1705" s="28">
        <v>559.48</v>
      </c>
      <c r="AD1705" s="28">
        <f>SUM(BASE[[#This Row],[MONTO DE RENTA ]]*1.16)</f>
        <v>648.99680000000001</v>
      </c>
      <c r="AE1705" s="28" t="s">
        <v>83</v>
      </c>
      <c r="AF1705" s="28">
        <v>559.48275862068965</v>
      </c>
      <c r="AG1705" s="28">
        <v>649</v>
      </c>
      <c r="AH1705" s="22"/>
      <c r="AI1705" s="63">
        <v>44937</v>
      </c>
      <c r="AJ1705" s="73">
        <v>46043</v>
      </c>
      <c r="AK170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05" s="20"/>
      <c r="AM1705" s="30"/>
      <c r="AN1705" s="20" t="s">
        <v>99</v>
      </c>
      <c r="AO1705" s="20"/>
      <c r="AP1705" s="20" t="s">
        <v>84</v>
      </c>
      <c r="AQ1705" s="20" t="s">
        <v>100</v>
      </c>
    </row>
    <row r="1706" spans="1:43" ht="15" customHeight="1">
      <c r="A1706" s="20">
        <v>8120224845</v>
      </c>
      <c r="B1706" s="178">
        <v>1055551</v>
      </c>
      <c r="C1706" s="20" t="s">
        <v>2549</v>
      </c>
      <c r="D1706" s="20" t="s">
        <v>2554</v>
      </c>
      <c r="E1706" s="20" t="s">
        <v>7686</v>
      </c>
      <c r="F1706" s="20" t="s">
        <v>6347</v>
      </c>
      <c r="G1706" s="20" t="s">
        <v>6347</v>
      </c>
      <c r="H1706" s="20" t="s">
        <v>5320</v>
      </c>
      <c r="I1706" s="20" t="s">
        <v>6347</v>
      </c>
      <c r="J1706" s="336" t="s">
        <v>7687</v>
      </c>
      <c r="K1706" s="336" t="s">
        <v>7687</v>
      </c>
      <c r="L1706" s="23" t="s">
        <v>92</v>
      </c>
      <c r="M1706" s="24" t="s">
        <v>7738</v>
      </c>
      <c r="N1706" s="23">
        <v>18848111</v>
      </c>
      <c r="O1706" s="25" t="s">
        <v>74</v>
      </c>
      <c r="P1706" s="25" t="s">
        <v>53</v>
      </c>
      <c r="Q1706" s="20" t="s">
        <v>7688</v>
      </c>
      <c r="R1706" s="20">
        <v>45142576</v>
      </c>
      <c r="S1706" s="25" t="s">
        <v>7689</v>
      </c>
      <c r="T1706" s="44" t="s">
        <v>57</v>
      </c>
      <c r="U1706" s="23">
        <v>860900062255583</v>
      </c>
      <c r="V1706" s="27" t="s">
        <v>57</v>
      </c>
      <c r="W1706" s="20" t="s">
        <v>58</v>
      </c>
      <c r="X1706" s="20" t="s">
        <v>59</v>
      </c>
      <c r="Y1706" s="20" t="s">
        <v>59</v>
      </c>
      <c r="Z1706" s="20" t="s">
        <v>131</v>
      </c>
      <c r="AA1706" s="20" t="s">
        <v>132</v>
      </c>
      <c r="AB1706" s="20" t="s">
        <v>96</v>
      </c>
      <c r="AC1706" s="28">
        <v>369.83</v>
      </c>
      <c r="AD1706" s="28">
        <f>SUM(BASE[[#This Row],[MONTO DE RENTA ]]*1.16)</f>
        <v>429.00279999999998</v>
      </c>
      <c r="AE1706" s="28" t="s">
        <v>63</v>
      </c>
      <c r="AF1706" s="28">
        <v>369.82758620689657</v>
      </c>
      <c r="AG1706" s="28">
        <v>429</v>
      </c>
      <c r="AH1706" s="22" t="s">
        <v>116</v>
      </c>
      <c r="AI1706" s="68">
        <v>45112</v>
      </c>
      <c r="AJ1706" s="68">
        <v>46208</v>
      </c>
      <c r="AK1706" s="30">
        <f ca="1">IFERROR(IF(BASE[[#This Row],[FECHA DE RENOVACION ]]&gt;TODAY(), DATEDIF(TODAY(),BASE[[#This Row],[FECHA DE RENOVACION ]],"M"), -DATEDIF(BASE[[#This Row],[FECHA DE RENOVACION ]],TODAY(),"M")), "Sin fecha")</f>
        <v>4</v>
      </c>
      <c r="AL1706" s="343"/>
      <c r="AM1706" s="30"/>
      <c r="AN1706" s="20" t="s">
        <v>65</v>
      </c>
      <c r="AP1706" s="20" t="s">
        <v>84</v>
      </c>
    </row>
    <row r="1707" spans="1:43" s="87" customFormat="1" ht="15" customHeight="1">
      <c r="A1707" s="344">
        <v>5543565892</v>
      </c>
      <c r="B1707" s="345">
        <v>680078</v>
      </c>
      <c r="C1707" s="20" t="s">
        <v>2549</v>
      </c>
      <c r="D1707" s="20" t="s">
        <v>1221</v>
      </c>
      <c r="E1707" s="20" t="s">
        <v>1135</v>
      </c>
      <c r="F1707" s="20" t="s">
        <v>5334</v>
      </c>
      <c r="G1707" s="20" t="s">
        <v>5334</v>
      </c>
      <c r="H1707" s="20" t="s">
        <v>5320</v>
      </c>
      <c r="I1707" s="20" t="s">
        <v>5334</v>
      </c>
      <c r="J1707" s="22" t="s">
        <v>7690</v>
      </c>
      <c r="K1707" s="22" t="s">
        <v>7691</v>
      </c>
      <c r="L1707" s="23" t="s">
        <v>92</v>
      </c>
      <c r="M1707" s="24" t="s">
        <v>7738</v>
      </c>
      <c r="N1707" s="23">
        <v>18848038</v>
      </c>
      <c r="O1707" s="25" t="s">
        <v>52</v>
      </c>
      <c r="P1707" s="25" t="s">
        <v>53</v>
      </c>
      <c r="Q1707" s="20" t="s">
        <v>7692</v>
      </c>
      <c r="R1707" s="20">
        <v>90980851</v>
      </c>
      <c r="S1707" s="25" t="s">
        <v>55</v>
      </c>
      <c r="T1707" s="346" t="s">
        <v>56</v>
      </c>
      <c r="U1707" s="23">
        <v>357654179818243</v>
      </c>
      <c r="V1707" s="347" t="s">
        <v>78</v>
      </c>
      <c r="W1707" s="20" t="s">
        <v>5299</v>
      </c>
      <c r="X1707" s="20" t="s">
        <v>5299</v>
      </c>
      <c r="Y1707" s="20" t="s">
        <v>5299</v>
      </c>
      <c r="Z1707" s="20" t="s">
        <v>60</v>
      </c>
      <c r="AA1707" s="20" t="s">
        <v>61</v>
      </c>
      <c r="AB1707" s="20" t="s">
        <v>82</v>
      </c>
      <c r="AC1707" s="28">
        <v>559.48</v>
      </c>
      <c r="AD1707" s="348">
        <f>SUM(BASE[[#This Row],[MONTO DE RENTA ]]*1.16)</f>
        <v>648.99680000000001</v>
      </c>
      <c r="AE1707" s="28" t="s">
        <v>83</v>
      </c>
      <c r="AF1707" s="348">
        <v>559.48275862068965</v>
      </c>
      <c r="AG1707" s="348">
        <v>649</v>
      </c>
      <c r="AH1707" s="349"/>
      <c r="AI1707" s="63">
        <v>44937</v>
      </c>
      <c r="AJ1707" s="73">
        <v>46043</v>
      </c>
      <c r="AK170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07" s="344"/>
      <c r="AM1707" s="350"/>
      <c r="AN1707" s="20" t="s">
        <v>99</v>
      </c>
      <c r="AO1707" s="20"/>
      <c r="AP1707" s="20" t="s">
        <v>84</v>
      </c>
      <c r="AQ1707" s="20" t="s">
        <v>100</v>
      </c>
    </row>
    <row r="1708" spans="1:43" s="34" customFormat="1" ht="15" customHeight="1">
      <c r="A1708" s="344">
        <v>8126800089</v>
      </c>
      <c r="B1708" s="345">
        <v>1037564</v>
      </c>
      <c r="C1708" s="20" t="s">
        <v>2549</v>
      </c>
      <c r="D1708" s="20" t="s">
        <v>657</v>
      </c>
      <c r="E1708" s="20" t="s">
        <v>7693</v>
      </c>
      <c r="F1708" s="20" t="s">
        <v>5326</v>
      </c>
      <c r="G1708" s="20" t="s">
        <v>5326</v>
      </c>
      <c r="H1708" s="20" t="s">
        <v>155</v>
      </c>
      <c r="I1708" s="20" t="s">
        <v>5326</v>
      </c>
      <c r="J1708" s="32" t="s">
        <v>7694</v>
      </c>
      <c r="K1708" s="22" t="s">
        <v>7694</v>
      </c>
      <c r="L1708" s="23" t="s">
        <v>92</v>
      </c>
      <c r="M1708" s="24" t="s">
        <v>7738</v>
      </c>
      <c r="N1708" s="23">
        <v>18848003</v>
      </c>
      <c r="O1708" s="25" t="s">
        <v>74</v>
      </c>
      <c r="P1708" s="25" t="s">
        <v>53</v>
      </c>
      <c r="Q1708" s="20" t="s">
        <v>7695</v>
      </c>
      <c r="R1708" s="20">
        <v>44114352</v>
      </c>
      <c r="S1708" s="25" t="s">
        <v>55</v>
      </c>
      <c r="T1708" s="26" t="s">
        <v>56</v>
      </c>
      <c r="U1708" s="23">
        <v>865356065730475</v>
      </c>
      <c r="V1708" s="27" t="s">
        <v>183</v>
      </c>
      <c r="W1708" s="20" t="s">
        <v>129</v>
      </c>
      <c r="X1708" s="20" t="s">
        <v>130</v>
      </c>
      <c r="Y1708" s="20" t="s">
        <v>130</v>
      </c>
      <c r="Z1708" s="20" t="s">
        <v>60</v>
      </c>
      <c r="AA1708" s="20" t="s">
        <v>61</v>
      </c>
      <c r="AB1708" s="20" t="s">
        <v>96</v>
      </c>
      <c r="AC1708" s="28">
        <v>369.83</v>
      </c>
      <c r="AD1708" s="28">
        <f>SUM(BASE[[#This Row],[MONTO DE RENTA ]]*1.16)</f>
        <v>429.00279999999998</v>
      </c>
      <c r="AE1708" s="28" t="s">
        <v>63</v>
      </c>
      <c r="AF1708" s="28">
        <v>369.82758620689657</v>
      </c>
      <c r="AG1708" s="28">
        <v>429</v>
      </c>
      <c r="AH1708" s="22"/>
      <c r="AI1708" s="313">
        <v>44937</v>
      </c>
      <c r="AJ1708" s="317">
        <v>46043</v>
      </c>
      <c r="AK1708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08" s="20"/>
      <c r="AM1708" s="30"/>
      <c r="AN1708" s="20" t="s">
        <v>99</v>
      </c>
      <c r="AO1708" s="20"/>
      <c r="AP1708" s="20" t="s">
        <v>84</v>
      </c>
      <c r="AQ1708" s="20" t="s">
        <v>100</v>
      </c>
    </row>
    <row r="1709" spans="1:43" s="34" customFormat="1" ht="15" customHeight="1">
      <c r="A1709" s="351">
        <v>8117792611</v>
      </c>
      <c r="B1709" s="352">
        <v>1074197</v>
      </c>
      <c r="C1709" s="20" t="s">
        <v>7693</v>
      </c>
      <c r="D1709" s="20" t="s">
        <v>3074</v>
      </c>
      <c r="E1709" s="20" t="s">
        <v>7696</v>
      </c>
      <c r="F1709" s="20" t="s">
        <v>6291</v>
      </c>
      <c r="G1709" s="20" t="s">
        <v>6291</v>
      </c>
      <c r="H1709" s="20" t="s">
        <v>5437</v>
      </c>
      <c r="I1709" s="20" t="s">
        <v>6291</v>
      </c>
      <c r="J1709" s="71" t="s">
        <v>7697</v>
      </c>
      <c r="K1709" s="71" t="s">
        <v>7697</v>
      </c>
      <c r="L1709" s="288" t="s">
        <v>92</v>
      </c>
      <c r="M1709" s="24" t="s">
        <v>7738</v>
      </c>
      <c r="N1709" s="23">
        <v>18848064</v>
      </c>
      <c r="O1709" s="25" t="s">
        <v>74</v>
      </c>
      <c r="P1709" s="25" t="s">
        <v>53</v>
      </c>
      <c r="Q1709" s="20" t="s">
        <v>7698</v>
      </c>
      <c r="R1709" s="20">
        <v>44114410</v>
      </c>
      <c r="S1709" s="25" t="s">
        <v>55</v>
      </c>
      <c r="T1709" s="72" t="s">
        <v>56</v>
      </c>
      <c r="U1709" s="23">
        <v>860900062730924</v>
      </c>
      <c r="V1709" s="45" t="s">
        <v>57</v>
      </c>
      <c r="W1709" s="20" t="s">
        <v>58</v>
      </c>
      <c r="X1709" s="20" t="s">
        <v>59</v>
      </c>
      <c r="Y1709" s="20" t="s">
        <v>59</v>
      </c>
      <c r="Z1709" s="20" t="s">
        <v>60</v>
      </c>
      <c r="AA1709" s="20" t="s">
        <v>61</v>
      </c>
      <c r="AB1709" s="20" t="s">
        <v>96</v>
      </c>
      <c r="AC1709" s="28">
        <v>369.83</v>
      </c>
      <c r="AD1709" s="28">
        <f>SUM(BASE[[#This Row],[MONTO DE RENTA ]]*1.16)</f>
        <v>429.00279999999998</v>
      </c>
      <c r="AE1709" s="28" t="s">
        <v>63</v>
      </c>
      <c r="AF1709" s="28">
        <v>369.82758620689657</v>
      </c>
      <c r="AG1709" s="28">
        <v>429</v>
      </c>
      <c r="AH1709" s="53" t="s">
        <v>116</v>
      </c>
      <c r="AI1709" s="317">
        <v>45609</v>
      </c>
      <c r="AJ1709" s="313">
        <v>46413</v>
      </c>
      <c r="AK1709" s="30">
        <f ca="1">IFERROR(IF(BASE[[#This Row],[FECHA DE RENOVACION ]]&gt;TODAY(), DATEDIF(TODAY(),BASE[[#This Row],[FECHA DE RENOVACION ]],"M"), -DATEDIF(BASE[[#This Row],[FECHA DE RENOVACION ]],TODAY(),"M")), "Sin fecha")</f>
        <v>10</v>
      </c>
      <c r="AL1709" s="69">
        <v>18848043</v>
      </c>
      <c r="AM1709" s="144"/>
      <c r="AN1709" s="20" t="s">
        <v>65</v>
      </c>
      <c r="AO1709" s="20"/>
      <c r="AP1709" s="20" t="s">
        <v>84</v>
      </c>
      <c r="AQ1709" s="20"/>
    </row>
    <row r="1710" spans="1:43" s="34" customFormat="1" ht="15" customHeight="1">
      <c r="A1710" s="344">
        <v>8113890555</v>
      </c>
      <c r="B1710" s="353">
        <v>996912</v>
      </c>
      <c r="C1710" s="20" t="s">
        <v>7699</v>
      </c>
      <c r="D1710" s="20" t="s">
        <v>7700</v>
      </c>
      <c r="E1710" s="20" t="s">
        <v>1822</v>
      </c>
      <c r="F1710" s="20" t="s">
        <v>7701</v>
      </c>
      <c r="G1710" s="20" t="s">
        <v>7701</v>
      </c>
      <c r="H1710" s="20" t="s">
        <v>5289</v>
      </c>
      <c r="I1710" s="20" t="s">
        <v>7701</v>
      </c>
      <c r="J1710" s="22" t="s">
        <v>7702</v>
      </c>
      <c r="K1710" s="32" t="s">
        <v>7703</v>
      </c>
      <c r="L1710" s="23" t="s">
        <v>92</v>
      </c>
      <c r="M1710" s="24" t="s">
        <v>7738</v>
      </c>
      <c r="N1710" s="23">
        <v>18848027</v>
      </c>
      <c r="O1710" s="25" t="s">
        <v>74</v>
      </c>
      <c r="P1710" s="25" t="s">
        <v>53</v>
      </c>
      <c r="Q1710" s="20" t="s">
        <v>7704</v>
      </c>
      <c r="R1710" s="20">
        <v>43163584</v>
      </c>
      <c r="S1710" s="25" t="s">
        <v>7705</v>
      </c>
      <c r="T1710" s="26" t="s">
        <v>57</v>
      </c>
      <c r="U1710" s="23">
        <v>860900062336136</v>
      </c>
      <c r="V1710" s="27" t="s">
        <v>57</v>
      </c>
      <c r="W1710" s="20" t="s">
        <v>58</v>
      </c>
      <c r="X1710" s="20" t="s">
        <v>59</v>
      </c>
      <c r="Y1710" s="20" t="s">
        <v>59</v>
      </c>
      <c r="Z1710" s="20" t="s">
        <v>167</v>
      </c>
      <c r="AA1710" s="20" t="s">
        <v>168</v>
      </c>
      <c r="AB1710" s="20" t="s">
        <v>96</v>
      </c>
      <c r="AC1710" s="28">
        <v>369.83</v>
      </c>
      <c r="AD1710" s="28">
        <f>SUM(BASE[[#This Row],[MONTO DE RENTA ]]*1.16)</f>
        <v>429.00279999999998</v>
      </c>
      <c r="AE1710" s="28" t="s">
        <v>63</v>
      </c>
      <c r="AF1710" s="28">
        <v>369.82758620689657</v>
      </c>
      <c r="AG1710" s="28">
        <v>429</v>
      </c>
      <c r="AH1710" s="22" t="s">
        <v>64</v>
      </c>
      <c r="AI1710" s="313">
        <v>45703</v>
      </c>
      <c r="AJ1710" s="313">
        <v>46433</v>
      </c>
      <c r="AK1710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710" s="20"/>
      <c r="AM1710" s="30"/>
      <c r="AN1710" s="20" t="s">
        <v>65</v>
      </c>
      <c r="AO1710" s="20"/>
      <c r="AP1710" s="20" t="s">
        <v>84</v>
      </c>
      <c r="AQ1710" s="20"/>
    </row>
    <row r="1711" spans="1:43" s="87" customFormat="1" ht="15" customHeight="1">
      <c r="A1711" s="344">
        <v>8118000566</v>
      </c>
      <c r="B1711" s="345">
        <v>7055</v>
      </c>
      <c r="C1711" s="20" t="s">
        <v>7706</v>
      </c>
      <c r="D1711" s="20" t="s">
        <v>1295</v>
      </c>
      <c r="E1711" s="20" t="s">
        <v>7655</v>
      </c>
      <c r="F1711" s="20" t="s">
        <v>5724</v>
      </c>
      <c r="G1711" s="20" t="s">
        <v>5724</v>
      </c>
      <c r="H1711" s="20" t="s">
        <v>208</v>
      </c>
      <c r="I1711" s="20" t="s">
        <v>5724</v>
      </c>
      <c r="J1711" s="22" t="s">
        <v>7707</v>
      </c>
      <c r="K1711" s="22" t="s">
        <v>7708</v>
      </c>
      <c r="L1711" s="23" t="s">
        <v>92</v>
      </c>
      <c r="M1711" s="24" t="s">
        <v>7738</v>
      </c>
      <c r="N1711" s="23">
        <v>18848087</v>
      </c>
      <c r="O1711" s="25" t="s">
        <v>74</v>
      </c>
      <c r="P1711" s="25" t="s">
        <v>53</v>
      </c>
      <c r="Q1711" s="20" t="s">
        <v>7709</v>
      </c>
      <c r="R1711" s="20">
        <v>43625188</v>
      </c>
      <c r="S1711" s="25" t="s">
        <v>55</v>
      </c>
      <c r="T1711" s="26" t="s">
        <v>56</v>
      </c>
      <c r="U1711" s="23">
        <v>357654179871317</v>
      </c>
      <c r="V1711" s="27" t="s">
        <v>78</v>
      </c>
      <c r="W1711" s="20" t="s">
        <v>95</v>
      </c>
      <c r="X1711" s="20" t="s">
        <v>95</v>
      </c>
      <c r="Y1711" s="20" t="s">
        <v>95</v>
      </c>
      <c r="Z1711" s="20" t="s">
        <v>60</v>
      </c>
      <c r="AA1711" s="20" t="s">
        <v>61</v>
      </c>
      <c r="AB1711" s="20" t="s">
        <v>96</v>
      </c>
      <c r="AC1711" s="28">
        <v>369.83</v>
      </c>
      <c r="AD1711" s="28">
        <f>SUM(BASE[[#This Row],[MONTO DE RENTA ]]*1.16)</f>
        <v>429.00279999999998</v>
      </c>
      <c r="AE1711" s="28" t="s">
        <v>97</v>
      </c>
      <c r="AF1711" s="28">
        <v>473.27586206896552</v>
      </c>
      <c r="AG1711" s="28">
        <v>549</v>
      </c>
      <c r="AH1711" s="22"/>
      <c r="AI1711" s="313">
        <v>44937</v>
      </c>
      <c r="AJ1711" s="317">
        <v>46043</v>
      </c>
      <c r="AK1711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11" s="20"/>
      <c r="AM1711" s="30"/>
      <c r="AN1711" s="20" t="s">
        <v>99</v>
      </c>
      <c r="AO1711" s="20"/>
      <c r="AP1711" s="20" t="s">
        <v>66</v>
      </c>
      <c r="AQ1711" s="20" t="s">
        <v>100</v>
      </c>
    </row>
    <row r="1712" spans="1:43" ht="15" customHeight="1">
      <c r="A1712" s="344">
        <v>3317014664</v>
      </c>
      <c r="B1712" s="335">
        <v>6398</v>
      </c>
      <c r="C1712" s="20" t="s">
        <v>7710</v>
      </c>
      <c r="D1712" s="20" t="s">
        <v>172</v>
      </c>
      <c r="E1712" s="20" t="s">
        <v>1056</v>
      </c>
      <c r="F1712" s="20" t="s">
        <v>5334</v>
      </c>
      <c r="G1712" s="20" t="s">
        <v>5334</v>
      </c>
      <c r="H1712" s="20" t="s">
        <v>5320</v>
      </c>
      <c r="I1712" s="20" t="s">
        <v>5334</v>
      </c>
      <c r="J1712" s="234" t="s">
        <v>7711</v>
      </c>
      <c r="K1712" s="234" t="s">
        <v>7712</v>
      </c>
      <c r="L1712" s="23" t="s">
        <v>92</v>
      </c>
      <c r="M1712" s="24" t="s">
        <v>7738</v>
      </c>
      <c r="N1712" s="23">
        <v>18848034</v>
      </c>
      <c r="O1712" s="25" t="s">
        <v>677</v>
      </c>
      <c r="P1712" s="25" t="s">
        <v>53</v>
      </c>
      <c r="Q1712" s="20" t="s">
        <v>7713</v>
      </c>
      <c r="R1712" s="20">
        <v>53658838</v>
      </c>
      <c r="S1712" s="25" t="s">
        <v>55</v>
      </c>
      <c r="T1712" s="26" t="s">
        <v>56</v>
      </c>
      <c r="U1712" s="23">
        <v>352556229327858</v>
      </c>
      <c r="V1712" s="27" t="s">
        <v>78</v>
      </c>
      <c r="W1712" s="20" t="s">
        <v>5299</v>
      </c>
      <c r="X1712" s="20" t="s">
        <v>5299</v>
      </c>
      <c r="Y1712" s="20" t="s">
        <v>5299</v>
      </c>
      <c r="Z1712" s="20" t="s">
        <v>60</v>
      </c>
      <c r="AA1712" s="20" t="s">
        <v>61</v>
      </c>
      <c r="AB1712" s="20" t="s">
        <v>82</v>
      </c>
      <c r="AC1712" s="28">
        <v>559.48</v>
      </c>
      <c r="AD1712" s="28">
        <f>SUM(BASE[[#This Row],[MONTO DE RENTA ]]*1.16)</f>
        <v>648.99680000000001</v>
      </c>
      <c r="AE1712" s="28" t="s">
        <v>83</v>
      </c>
      <c r="AF1712" s="28">
        <v>559.48275862068965</v>
      </c>
      <c r="AG1712" s="28">
        <v>649</v>
      </c>
      <c r="AI1712" s="29">
        <v>44937</v>
      </c>
      <c r="AJ1712" s="73">
        <v>46043</v>
      </c>
      <c r="AK1712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12" s="30"/>
      <c r="AN1712" s="20" t="s">
        <v>99</v>
      </c>
      <c r="AP1712" s="20" t="s">
        <v>84</v>
      </c>
      <c r="AQ1712" s="20" t="s">
        <v>100</v>
      </c>
    </row>
    <row r="1713" spans="1:43" s="87" customFormat="1" ht="15" customHeight="1">
      <c r="A1713" s="344">
        <v>8113216278</v>
      </c>
      <c r="B1713" s="318">
        <v>6798</v>
      </c>
      <c r="C1713" s="20" t="s">
        <v>7714</v>
      </c>
      <c r="D1713" s="20" t="s">
        <v>2859</v>
      </c>
      <c r="E1713" s="20" t="s">
        <v>1524</v>
      </c>
      <c r="F1713" s="20" t="s">
        <v>7715</v>
      </c>
      <c r="G1713" s="20" t="s">
        <v>7715</v>
      </c>
      <c r="H1713" s="20" t="s">
        <v>5320</v>
      </c>
      <c r="I1713" s="20" t="s">
        <v>7715</v>
      </c>
      <c r="J1713" s="22" t="s">
        <v>7716</v>
      </c>
      <c r="K1713" s="54" t="s">
        <v>7716</v>
      </c>
      <c r="L1713" s="23" t="s">
        <v>92</v>
      </c>
      <c r="M1713" s="24" t="s">
        <v>7738</v>
      </c>
      <c r="N1713" s="23">
        <v>18848047</v>
      </c>
      <c r="O1713" s="25" t="s">
        <v>74</v>
      </c>
      <c r="P1713" s="25" t="s">
        <v>53</v>
      </c>
      <c r="Q1713" s="20" t="s">
        <v>7717</v>
      </c>
      <c r="R1713" s="20">
        <v>43163548</v>
      </c>
      <c r="S1713" s="25" t="s">
        <v>7718</v>
      </c>
      <c r="T1713" s="251" t="s">
        <v>77</v>
      </c>
      <c r="U1713" s="23">
        <v>358366320078614</v>
      </c>
      <c r="V1713" s="27" t="s">
        <v>78</v>
      </c>
      <c r="W1713" s="20" t="s">
        <v>79</v>
      </c>
      <c r="X1713" s="20" t="s">
        <v>79</v>
      </c>
      <c r="Y1713" s="20" t="s">
        <v>79</v>
      </c>
      <c r="Z1713" s="20" t="s">
        <v>167</v>
      </c>
      <c r="AA1713" s="20" t="s">
        <v>168</v>
      </c>
      <c r="AB1713" s="20" t="s">
        <v>82</v>
      </c>
      <c r="AC1713" s="28">
        <v>559.48</v>
      </c>
      <c r="AD1713" s="28">
        <f>SUM(BASE[[#This Row],[MONTO DE RENTA ]]*1.16)</f>
        <v>648.99680000000001</v>
      </c>
      <c r="AE1713" s="28" t="s">
        <v>83</v>
      </c>
      <c r="AF1713" s="28">
        <v>559.48275862068965</v>
      </c>
      <c r="AG1713" s="28">
        <v>649</v>
      </c>
      <c r="AH1713" s="22"/>
      <c r="AI1713" s="63">
        <v>45940</v>
      </c>
      <c r="AJ1713" s="63">
        <v>46438</v>
      </c>
      <c r="AK1713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713" s="20"/>
      <c r="AM1713" s="30"/>
      <c r="AN1713" s="20" t="s">
        <v>65</v>
      </c>
      <c r="AO1713" s="20"/>
      <c r="AP1713" s="20" t="s">
        <v>84</v>
      </c>
      <c r="AQ1713" s="20"/>
    </row>
    <row r="1714" spans="1:43" ht="15" customHeight="1">
      <c r="A1714" s="344">
        <v>8118223347</v>
      </c>
      <c r="B1714" s="318">
        <v>890124</v>
      </c>
      <c r="C1714" s="20" t="s">
        <v>5684</v>
      </c>
      <c r="D1714" s="20" t="s">
        <v>598</v>
      </c>
      <c r="E1714" s="20" t="s">
        <v>1432</v>
      </c>
      <c r="F1714" s="20" t="s">
        <v>5685</v>
      </c>
      <c r="G1714" s="20" t="s">
        <v>5685</v>
      </c>
      <c r="H1714" s="20" t="s">
        <v>5320</v>
      </c>
      <c r="I1714" s="20" t="s">
        <v>5685</v>
      </c>
      <c r="J1714" s="234" t="s">
        <v>7719</v>
      </c>
      <c r="K1714" s="234" t="s">
        <v>7719</v>
      </c>
      <c r="L1714" s="23" t="s">
        <v>92</v>
      </c>
      <c r="M1714" s="24" t="s">
        <v>7738</v>
      </c>
      <c r="N1714" s="23">
        <v>18848048</v>
      </c>
      <c r="O1714" s="25" t="s">
        <v>74</v>
      </c>
      <c r="P1714" s="25" t="s">
        <v>53</v>
      </c>
      <c r="Q1714" s="20" t="s">
        <v>7720</v>
      </c>
      <c r="R1714" s="20">
        <v>43163441</v>
      </c>
      <c r="S1714" s="25" t="s">
        <v>7721</v>
      </c>
      <c r="T1714" s="26" t="s">
        <v>57</v>
      </c>
      <c r="U1714" s="23">
        <v>860900062255682</v>
      </c>
      <c r="V1714" s="27" t="s">
        <v>57</v>
      </c>
      <c r="W1714" s="20" t="s">
        <v>58</v>
      </c>
      <c r="X1714" s="20" t="s">
        <v>59</v>
      </c>
      <c r="Y1714" s="20" t="s">
        <v>59</v>
      </c>
      <c r="Z1714" s="20" t="s">
        <v>131</v>
      </c>
      <c r="AA1714" s="20" t="s">
        <v>132</v>
      </c>
      <c r="AB1714" s="20" t="s">
        <v>96</v>
      </c>
      <c r="AC1714" s="28">
        <v>369.83</v>
      </c>
      <c r="AD1714" s="28">
        <f>SUM(BASE[[#This Row],[MONTO DE RENTA ]]*1.16)</f>
        <v>429.00279999999998</v>
      </c>
      <c r="AE1714" s="28" t="s">
        <v>63</v>
      </c>
      <c r="AF1714" s="28">
        <v>369.82758620689657</v>
      </c>
      <c r="AG1714" s="28">
        <v>429</v>
      </c>
      <c r="AH1714" s="22" t="s">
        <v>64</v>
      </c>
      <c r="AI1714" s="29">
        <v>45703</v>
      </c>
      <c r="AJ1714" s="63">
        <v>46433</v>
      </c>
      <c r="AK1714" s="30">
        <f ca="1">IFERROR(IF(BASE[[#This Row],[FECHA DE RENOVACION ]]&gt;TODAY(), DATEDIF(TODAY(),BASE[[#This Row],[FECHA DE RENOVACION ]],"M"), -DATEDIF(BASE[[#This Row],[FECHA DE RENOVACION ]],TODAY(),"M")), "Sin fecha")</f>
        <v>11</v>
      </c>
      <c r="AM1714" s="30"/>
      <c r="AN1714" s="20" t="s">
        <v>65</v>
      </c>
      <c r="AP1714" s="20" t="s">
        <v>84</v>
      </c>
    </row>
    <row r="1715" spans="1:43" ht="15" customHeight="1">
      <c r="A1715" s="344">
        <v>8115557973</v>
      </c>
      <c r="B1715" s="345">
        <v>1066227</v>
      </c>
      <c r="C1715" s="20" t="s">
        <v>7722</v>
      </c>
      <c r="D1715" s="20" t="s">
        <v>6030</v>
      </c>
      <c r="E1715" s="20" t="s">
        <v>186</v>
      </c>
      <c r="F1715" s="20" t="s">
        <v>7339</v>
      </c>
      <c r="G1715" s="20" t="s">
        <v>7339</v>
      </c>
      <c r="H1715" s="20" t="s">
        <v>5381</v>
      </c>
      <c r="I1715" s="20" t="s">
        <v>7339</v>
      </c>
      <c r="J1715" s="78" t="s">
        <v>7723</v>
      </c>
      <c r="K1715" s="78" t="s">
        <v>7723</v>
      </c>
      <c r="L1715" s="23" t="s">
        <v>92</v>
      </c>
      <c r="M1715" s="24" t="s">
        <v>7738</v>
      </c>
      <c r="N1715" s="23">
        <v>18848084</v>
      </c>
      <c r="O1715" s="25" t="s">
        <v>74</v>
      </c>
      <c r="P1715" s="25" t="s">
        <v>53</v>
      </c>
      <c r="Q1715" s="20" t="s">
        <v>7724</v>
      </c>
      <c r="R1715" s="20">
        <v>42988987</v>
      </c>
      <c r="S1715" s="25" t="s">
        <v>55</v>
      </c>
      <c r="T1715" s="65" t="s">
        <v>56</v>
      </c>
      <c r="U1715" s="23">
        <v>865356065670127</v>
      </c>
      <c r="V1715" s="27" t="s">
        <v>183</v>
      </c>
      <c r="W1715" s="20" t="s">
        <v>129</v>
      </c>
      <c r="X1715" s="20" t="s">
        <v>130</v>
      </c>
      <c r="Y1715" s="20" t="s">
        <v>130</v>
      </c>
      <c r="Z1715" s="20" t="s">
        <v>60</v>
      </c>
      <c r="AA1715" s="20" t="s">
        <v>61</v>
      </c>
      <c r="AB1715" s="20" t="s">
        <v>82</v>
      </c>
      <c r="AC1715" s="28">
        <v>559.48</v>
      </c>
      <c r="AD1715" s="28">
        <f>SUM(BASE[[#This Row],[MONTO DE RENTA ]]*1.16)</f>
        <v>648.99680000000001</v>
      </c>
      <c r="AE1715" s="28" t="s">
        <v>83</v>
      </c>
      <c r="AF1715" s="28">
        <v>559.48275862068965</v>
      </c>
      <c r="AG1715" s="28">
        <v>649</v>
      </c>
      <c r="AH1715" s="22" t="s">
        <v>116</v>
      </c>
      <c r="AI1715" s="29">
        <v>45392</v>
      </c>
      <c r="AJ1715" s="63">
        <v>46040</v>
      </c>
      <c r="AK1715" s="30">
        <f ca="1">IFERROR(IF(BASE[[#This Row],[FECHA DE RENOVACION ]]&gt;TODAY(), DATEDIF(TODAY(),BASE[[#This Row],[FECHA DE RENOVACION ]],"M"), -DATEDIF(BASE[[#This Row],[FECHA DE RENOVACION ]],TODAY(),"M")), "Sin fecha")</f>
        <v>-1</v>
      </c>
      <c r="AM1715" s="30"/>
      <c r="AN1715" s="20" t="s">
        <v>99</v>
      </c>
      <c r="AP1715" s="20" t="s">
        <v>84</v>
      </c>
      <c r="AQ1715" s="20" t="s">
        <v>100</v>
      </c>
    </row>
    <row r="1716" spans="1:43" s="230" customFormat="1" ht="15" customHeight="1">
      <c r="A1716" s="354">
        <v>5545546273</v>
      </c>
      <c r="B1716" s="235">
        <v>0</v>
      </c>
      <c r="C1716" s="271" t="e">
        <v>#N/A</v>
      </c>
      <c r="D1716" s="230" t="e">
        <v>#N/A</v>
      </c>
      <c r="E1716" s="230" t="e">
        <v>#N/A</v>
      </c>
      <c r="F1716" s="230" t="e">
        <v>#N/A</v>
      </c>
      <c r="H1716" s="230" t="e">
        <v>#N/A</v>
      </c>
      <c r="I1716" s="230" t="e">
        <v>#N/A</v>
      </c>
      <c r="J1716" s="355"/>
      <c r="K1716" s="355"/>
      <c r="L1716" s="266" t="s">
        <v>4978</v>
      </c>
      <c r="M1716" s="265" t="s">
        <v>7753</v>
      </c>
      <c r="N1716" s="266" t="e">
        <v>#N/A</v>
      </c>
      <c r="O1716" s="267" t="s">
        <v>52</v>
      </c>
      <c r="P1716" s="25" t="s">
        <v>1662</v>
      </c>
      <c r="Q1716" s="230" t="s">
        <v>7725</v>
      </c>
      <c r="R1716" s="230">
        <v>90241132</v>
      </c>
      <c r="S1716" s="266" t="s">
        <v>3564</v>
      </c>
      <c r="T1716" s="279" t="s">
        <v>57</v>
      </c>
      <c r="U1716" s="266" t="e">
        <v>#N/A</v>
      </c>
      <c r="V1716" s="280" t="s">
        <v>57</v>
      </c>
      <c r="W1716" s="20" t="s">
        <v>194</v>
      </c>
      <c r="X1716" s="20" t="s">
        <v>194</v>
      </c>
      <c r="Y1716" s="20" t="s">
        <v>194</v>
      </c>
      <c r="Z1716" s="230" t="s">
        <v>167</v>
      </c>
      <c r="AA1716" s="230" t="s">
        <v>168</v>
      </c>
      <c r="AB1716" s="230" t="s">
        <v>96</v>
      </c>
      <c r="AC1716" s="270">
        <v>369.83</v>
      </c>
      <c r="AD1716" s="270">
        <f>SUM(BASE[[#This Row],[MONTO DE RENTA ]]*1.16)</f>
        <v>429.00279999999998</v>
      </c>
      <c r="AE1716" s="270" t="s">
        <v>63</v>
      </c>
      <c r="AF1716" s="270">
        <v>369.82758620689657</v>
      </c>
      <c r="AG1716" s="270">
        <v>429</v>
      </c>
      <c r="AH1716" s="271" t="s">
        <v>116</v>
      </c>
      <c r="AI1716" s="315">
        <v>46036</v>
      </c>
      <c r="AJ1716" s="272">
        <v>46766</v>
      </c>
      <c r="AK1716" s="273">
        <f ca="1">IFERROR(DATEDIF(TODAY(),BASE[[#This Row],[FECHA DE RENOVACION ]],"M"),"Sin valor de rev")</f>
        <v>22</v>
      </c>
      <c r="AM1716" s="273"/>
      <c r="AN1716" s="230" t="s">
        <v>65</v>
      </c>
      <c r="AP1716" s="230" t="s">
        <v>84</v>
      </c>
    </row>
    <row r="1717" spans="1:43" s="34" customFormat="1" ht="15" customHeight="1">
      <c r="A1717" s="344">
        <v>8123519649</v>
      </c>
      <c r="B1717" s="345">
        <v>1003116</v>
      </c>
      <c r="C1717" s="20" t="s">
        <v>7726</v>
      </c>
      <c r="D1717" s="20" t="s">
        <v>2158</v>
      </c>
      <c r="E1717" s="20" t="s">
        <v>1433</v>
      </c>
      <c r="F1717" s="20" t="s">
        <v>7701</v>
      </c>
      <c r="G1717" s="20" t="s">
        <v>7701</v>
      </c>
      <c r="H1717" s="20" t="s">
        <v>5289</v>
      </c>
      <c r="I1717" s="20" t="s">
        <v>7701</v>
      </c>
      <c r="J1717" s="22" t="s">
        <v>7727</v>
      </c>
      <c r="K1717" s="22" t="s">
        <v>7728</v>
      </c>
      <c r="L1717" s="23" t="s">
        <v>92</v>
      </c>
      <c r="M1717" s="24" t="s">
        <v>7738</v>
      </c>
      <c r="N1717" s="23">
        <v>18848027</v>
      </c>
      <c r="O1717" s="25" t="s">
        <v>74</v>
      </c>
      <c r="P1717" s="25" t="s">
        <v>53</v>
      </c>
      <c r="Q1717" s="20" t="s">
        <v>7729</v>
      </c>
      <c r="R1717" s="20">
        <v>42888678</v>
      </c>
      <c r="S1717" s="25" t="s">
        <v>55</v>
      </c>
      <c r="T1717" s="26" t="s">
        <v>56</v>
      </c>
      <c r="U1717" s="23">
        <v>865356065670697</v>
      </c>
      <c r="V1717" s="27" t="s">
        <v>183</v>
      </c>
      <c r="W1717" s="20" t="s">
        <v>129</v>
      </c>
      <c r="X1717" s="20" t="s">
        <v>130</v>
      </c>
      <c r="Y1717" s="20" t="s">
        <v>130</v>
      </c>
      <c r="Z1717" s="20" t="s">
        <v>60</v>
      </c>
      <c r="AA1717" s="20" t="s">
        <v>61</v>
      </c>
      <c r="AB1717" s="20" t="s">
        <v>96</v>
      </c>
      <c r="AC1717" s="28">
        <v>369.83</v>
      </c>
      <c r="AD1717" s="28">
        <f>SUM(BASE[[#This Row],[MONTO DE RENTA ]]*1.16)</f>
        <v>429.00279999999998</v>
      </c>
      <c r="AE1717" s="28" t="s">
        <v>63</v>
      </c>
      <c r="AF1717" s="28">
        <v>369.82758620689657</v>
      </c>
      <c r="AG1717" s="28">
        <v>429</v>
      </c>
      <c r="AH1717" s="22"/>
      <c r="AI1717" s="29">
        <v>44937</v>
      </c>
      <c r="AJ1717" s="73">
        <v>46043</v>
      </c>
      <c r="AK1717" s="30">
        <f ca="1">IFERROR(IF(BASE[[#This Row],[FECHA DE RENOVACION ]]&gt;TODAY(), DATEDIF(TODAY(),BASE[[#This Row],[FECHA DE RENOVACION ]],"M"), -DATEDIF(BASE[[#This Row],[FECHA DE RENOVACION ]],TODAY(),"M")), "Sin fecha")</f>
        <v>-1</v>
      </c>
      <c r="AL1717" s="20"/>
      <c r="AM1717" s="30"/>
      <c r="AN1717" s="20" t="s">
        <v>99</v>
      </c>
      <c r="AO1717" s="20"/>
      <c r="AP1717" s="20" t="s">
        <v>84</v>
      </c>
      <c r="AQ1717" s="20" t="s">
        <v>100</v>
      </c>
    </row>
    <row r="1718" spans="1:43" s="87" customFormat="1" ht="16">
      <c r="A1718" s="20">
        <v>8122015561</v>
      </c>
      <c r="B1718" s="21">
        <v>6860</v>
      </c>
      <c r="C1718" s="20" t="s">
        <v>7730</v>
      </c>
      <c r="D1718" s="20" t="s">
        <v>1903</v>
      </c>
      <c r="E1718" s="20" t="s">
        <v>1109</v>
      </c>
      <c r="F1718" s="20" t="s">
        <v>7731</v>
      </c>
      <c r="G1718" s="20" t="s">
        <v>7731</v>
      </c>
      <c r="H1718" s="20" t="s">
        <v>5730</v>
      </c>
      <c r="I1718" s="20" t="s">
        <v>7731</v>
      </c>
      <c r="J1718" s="22" t="s">
        <v>7732</v>
      </c>
      <c r="K1718" s="22" t="s">
        <v>7732</v>
      </c>
      <c r="L1718" s="23" t="s">
        <v>92</v>
      </c>
      <c r="M1718" s="24" t="s">
        <v>7738</v>
      </c>
      <c r="N1718" s="23">
        <v>18848085</v>
      </c>
      <c r="O1718" s="25" t="s">
        <v>74</v>
      </c>
      <c r="P1718" s="25" t="s">
        <v>53</v>
      </c>
      <c r="Q1718" s="20" t="s">
        <v>7733</v>
      </c>
      <c r="R1718" s="20">
        <v>43168993</v>
      </c>
      <c r="S1718" s="25" t="s">
        <v>7734</v>
      </c>
      <c r="T1718" s="26" t="s">
        <v>77</v>
      </c>
      <c r="U1718" s="23">
        <v>358366320308383</v>
      </c>
      <c r="V1718" s="27" t="s">
        <v>78</v>
      </c>
      <c r="W1718" s="20" t="s">
        <v>79</v>
      </c>
      <c r="X1718" s="20" t="s">
        <v>79</v>
      </c>
      <c r="Y1718" s="20" t="s">
        <v>79</v>
      </c>
      <c r="Z1718" s="20" t="s">
        <v>167</v>
      </c>
      <c r="AA1718" s="20" t="s">
        <v>168</v>
      </c>
      <c r="AB1718" s="20" t="s">
        <v>82</v>
      </c>
      <c r="AC1718" s="28">
        <v>559.48</v>
      </c>
      <c r="AD1718" s="28">
        <f>SUM(BASE[[#This Row],[MONTO DE RENTA ]]*1.16)</f>
        <v>648.99680000000001</v>
      </c>
      <c r="AE1718" s="28" t="s">
        <v>83</v>
      </c>
      <c r="AF1718" s="28">
        <v>559.48275862068965</v>
      </c>
      <c r="AG1718" s="28">
        <v>649</v>
      </c>
      <c r="AH1718" s="22" t="s">
        <v>64</v>
      </c>
      <c r="AI1718" s="29">
        <v>45703</v>
      </c>
      <c r="AJ1718" s="29">
        <v>46433</v>
      </c>
      <c r="AK1718" s="30">
        <f ca="1">IFERROR(IF(BASE[[#This Row],[FECHA DE RENOVACION ]]&gt;TODAY(), DATEDIF(TODAY(),BASE[[#This Row],[FECHA DE RENOVACION ]],"M"), -DATEDIF(BASE[[#This Row],[FECHA DE RENOVACION ]],TODAY(),"M")), "Sin fecha")</f>
        <v>11</v>
      </c>
      <c r="AL1718" s="20"/>
      <c r="AM1718" s="30"/>
      <c r="AN1718" s="20" t="s">
        <v>65</v>
      </c>
      <c r="AO1718" s="20"/>
      <c r="AP1718" s="20" t="s">
        <v>84</v>
      </c>
      <c r="AQ1718" s="20"/>
    </row>
    <row r="1719" spans="1:43" ht="0" hidden="1" customHeight="1">
      <c r="C1719" s="22" t="e">
        <v>#N/A</v>
      </c>
      <c r="D1719" s="20" t="e">
        <v>#N/A</v>
      </c>
      <c r="E1719" s="20" t="e">
        <v>#N/A</v>
      </c>
      <c r="F1719" s="20" t="e">
        <v>#N/A</v>
      </c>
      <c r="G1719" s="20"/>
      <c r="H1719" s="20" t="e">
        <v>#N/A</v>
      </c>
      <c r="I1719" s="20" t="e">
        <v>#N/A</v>
      </c>
      <c r="N1719" s="23" t="e">
        <v>#N/A</v>
      </c>
      <c r="O1719" s="25" t="e">
        <v>#N/A</v>
      </c>
      <c r="P1719" s="25" t="s">
        <v>53</v>
      </c>
      <c r="Q1719" s="20" t="e">
        <v>#N/A</v>
      </c>
      <c r="R1719" s="20" t="e">
        <v>#N/A</v>
      </c>
      <c r="S1719" s="23" t="e">
        <v>#N/A</v>
      </c>
      <c r="T1719" s="26" t="s">
        <v>7352</v>
      </c>
      <c r="U1719" s="23" t="e">
        <v>#N/A</v>
      </c>
      <c r="W1719" s="20" t="e">
        <v>#N/A</v>
      </c>
      <c r="X1719" s="20" t="s">
        <v>194</v>
      </c>
      <c r="Z1719" s="20" t="e">
        <v>#N/A</v>
      </c>
      <c r="AA1719" s="20" t="e">
        <v>#N/A</v>
      </c>
      <c r="AB1719" s="20" t="e">
        <v>#N/A</v>
      </c>
      <c r="AC1719" s="28" t="e">
        <v>#N/A</v>
      </c>
      <c r="AD1719" s="28" t="e">
        <f>SUM(BASE[[#This Row],[MONTO DE RENTA ]]*1.16)</f>
        <v>#N/A</v>
      </c>
      <c r="AF1719" s="28" t="s">
        <v>7754</v>
      </c>
      <c r="AG1719" s="28" t="s">
        <v>7755</v>
      </c>
      <c r="AI1719" s="29"/>
      <c r="AK1719" s="20" t="str">
        <f ca="1">IFERROR(DATEDIF(TODAY(),BASE[[#This Row],[FECHA DE RENOVACION ]],"M"),"Sin valor de rev")</f>
        <v>Sin valor de rev</v>
      </c>
      <c r="AM1719" s="30"/>
      <c r="AN1719" s="356"/>
      <c r="AO1719" s="356"/>
      <c r="AP1719" s="356"/>
      <c r="AQ1719" s="356"/>
    </row>
    <row r="1720" spans="1:43" ht="0" hidden="1" customHeight="1">
      <c r="A1720" t="s">
        <v>7735</v>
      </c>
      <c r="B1720" s="59"/>
      <c r="C1720" s="357"/>
      <c r="D1720" s="357"/>
      <c r="E1720" s="357"/>
      <c r="F1720" s="357"/>
      <c r="G1720" s="357"/>
      <c r="H1720" s="357"/>
      <c r="I1720" s="357"/>
      <c r="J1720" s="357"/>
      <c r="K1720" s="357"/>
      <c r="L1720" s="357"/>
      <c r="M1720" s="357"/>
      <c r="N1720" s="357"/>
      <c r="O1720" s="358"/>
      <c r="P1720" s="358"/>
      <c r="Q1720" s="357"/>
      <c r="R1720" s="357"/>
      <c r="S1720" s="357"/>
      <c r="T1720" s="357"/>
      <c r="U1720" s="357"/>
      <c r="V1720" s="357"/>
      <c r="W1720" s="357"/>
      <c r="X1720" s="357"/>
      <c r="Y1720" s="357"/>
      <c r="Z1720" s="357"/>
      <c r="AA1720" s="357"/>
      <c r="AB1720" s="357"/>
      <c r="AC1720" s="359"/>
      <c r="AD1720" s="357"/>
      <c r="AE1720" s="357"/>
      <c r="AF1720" s="357"/>
      <c r="AG1720" s="357"/>
      <c r="AH1720" s="360"/>
      <c r="AI1720" s="361"/>
      <c r="AJ1720" s="357"/>
      <c r="AK1720" s="357"/>
      <c r="AL1720" s="357"/>
      <c r="AM1720" s="362"/>
      <c r="AN1720" s="357"/>
      <c r="AO1720" s="357"/>
      <c r="AP1720" s="357"/>
      <c r="AQ1720" s="357"/>
    </row>
  </sheetData>
  <conditionalFormatting sqref="A734">
    <cfRule type="duplicateValues" dxfId="145" priority="141"/>
  </conditionalFormatting>
  <conditionalFormatting sqref="A1660 A1657 A1662:A1664">
    <cfRule type="duplicateValues" dxfId="144" priority="145"/>
  </conditionalFormatting>
  <conditionalFormatting sqref="A1721:A1048576 A1666:A1669 A1659:A1660 A1657 A1503:A1654 A2:A184 A1675:A1718 A563:A743 A1321:A1501 A329:A530 A532:A561 A186:A216 A745:A1319 A1671:A1673 A218:A221 A223:A327 A1662:A1664">
    <cfRule type="duplicateValues" dxfId="143" priority="142"/>
  </conditionalFormatting>
  <conditionalFormatting sqref="A1721:A1048576 A1666:A1669 A1659:A1660 A1657 A1641 A2:A184 A1675:A1718 A1645:A1654 A1503:A1639 A563:A743 A1321:A1501 A329:A530 A532:A561 A186:A216 A745:A1319 A1671:A1673 A218:A221 A223:A327 A1662:A1664">
    <cfRule type="duplicateValues" dxfId="142" priority="143"/>
  </conditionalFormatting>
  <conditionalFormatting sqref="B1721:B1048576 B1:B4 B706:B713 B505:B589 B595:B612 B876:B877 B1701:B1711 B6:B190 B715:B725 B192:B231 B233:B403 B405:B503 B591:B593 B614:B616 B618:B620 B656:B704 B727:B806 B808:B823 B825:B849 B879:B890 B892:B897 B899:B903 B940:B970 B972:B985 B1679:B1699 B851:B874 B1105:B1125 B1149:B1245 B622:B654 B1127:B1147 B987:B1103 B905:B938 B1715:B1718 B1247:B1677">
    <cfRule type="duplicateValues" dxfId="141" priority="144"/>
  </conditionalFormatting>
  <conditionalFormatting sqref="J12">
    <cfRule type="duplicateValues" dxfId="140" priority="140"/>
  </conditionalFormatting>
  <conditionalFormatting sqref="J13">
    <cfRule type="duplicateValues" dxfId="139" priority="138"/>
  </conditionalFormatting>
  <conditionalFormatting sqref="J14">
    <cfRule type="duplicateValues" dxfId="138" priority="137"/>
  </conditionalFormatting>
  <conditionalFormatting sqref="J16">
    <cfRule type="duplicateValues" dxfId="137" priority="56"/>
  </conditionalFormatting>
  <conditionalFormatting sqref="J17">
    <cfRule type="duplicateValues" dxfId="136" priority="54"/>
  </conditionalFormatting>
  <conditionalFormatting sqref="J19">
    <cfRule type="duplicateValues" dxfId="135" priority="55"/>
  </conditionalFormatting>
  <conditionalFormatting sqref="J25">
    <cfRule type="duplicateValues" dxfId="134" priority="22"/>
  </conditionalFormatting>
  <conditionalFormatting sqref="J56:J60">
    <cfRule type="duplicateValues" dxfId="133" priority="53"/>
  </conditionalFormatting>
  <conditionalFormatting sqref="J72">
    <cfRule type="duplicateValues" dxfId="132" priority="52"/>
  </conditionalFormatting>
  <conditionalFormatting sqref="J100">
    <cfRule type="duplicateValues" dxfId="131" priority="11"/>
  </conditionalFormatting>
  <conditionalFormatting sqref="J101">
    <cfRule type="duplicateValues" dxfId="130" priority="25"/>
  </conditionalFormatting>
  <conditionalFormatting sqref="J105">
    <cfRule type="duplicateValues" dxfId="129" priority="51"/>
  </conditionalFormatting>
  <conditionalFormatting sqref="J146">
    <cfRule type="duplicateValues" dxfId="128" priority="98"/>
  </conditionalFormatting>
  <conditionalFormatting sqref="J152">
    <cfRule type="duplicateValues" dxfId="127" priority="50"/>
  </conditionalFormatting>
  <conditionalFormatting sqref="J157:J159">
    <cfRule type="duplicateValues" dxfId="126" priority="49"/>
  </conditionalFormatting>
  <conditionalFormatting sqref="J184">
    <cfRule type="duplicateValues" dxfId="125" priority="41"/>
  </conditionalFormatting>
  <conditionalFormatting sqref="J217">
    <cfRule type="duplicateValues" dxfId="124" priority="32"/>
  </conditionalFormatting>
  <conditionalFormatting sqref="J367">
    <cfRule type="duplicateValues" dxfId="123" priority="59"/>
  </conditionalFormatting>
  <conditionalFormatting sqref="J554">
    <cfRule type="duplicateValues" dxfId="122" priority="42"/>
  </conditionalFormatting>
  <conditionalFormatting sqref="J604">
    <cfRule type="duplicateValues" dxfId="121" priority="135"/>
  </conditionalFormatting>
  <conditionalFormatting sqref="J654">
    <cfRule type="duplicateValues" dxfId="120" priority="21"/>
  </conditionalFormatting>
  <conditionalFormatting sqref="J656">
    <cfRule type="duplicateValues" dxfId="119" priority="20"/>
  </conditionalFormatting>
  <conditionalFormatting sqref="J659">
    <cfRule type="duplicateValues" dxfId="118" priority="132"/>
  </conditionalFormatting>
  <conditionalFormatting sqref="J670">
    <cfRule type="duplicateValues" dxfId="117" priority="131"/>
  </conditionalFormatting>
  <conditionalFormatting sqref="J672">
    <cfRule type="duplicateValues" dxfId="116" priority="130"/>
  </conditionalFormatting>
  <conditionalFormatting sqref="J708">
    <cfRule type="duplicateValues" dxfId="115" priority="129"/>
  </conditionalFormatting>
  <conditionalFormatting sqref="J709">
    <cfRule type="duplicateValues" dxfId="114" priority="128"/>
  </conditionalFormatting>
  <conditionalFormatting sqref="J710">
    <cfRule type="duplicateValues" dxfId="113" priority="127"/>
  </conditionalFormatting>
  <conditionalFormatting sqref="J711">
    <cfRule type="duplicateValues" dxfId="112" priority="126"/>
  </conditionalFormatting>
  <conditionalFormatting sqref="J713">
    <cfRule type="duplicateValues" dxfId="111" priority="125"/>
  </conditionalFormatting>
  <conditionalFormatting sqref="J715">
    <cfRule type="duplicateValues" dxfId="110" priority="124"/>
  </conditionalFormatting>
  <conditionalFormatting sqref="J724">
    <cfRule type="duplicateValues" dxfId="109" priority="19"/>
  </conditionalFormatting>
  <conditionalFormatting sqref="J728">
    <cfRule type="duplicateValues" dxfId="108" priority="123"/>
  </conditionalFormatting>
  <conditionalFormatting sqref="J730">
    <cfRule type="duplicateValues" dxfId="107" priority="122"/>
  </conditionalFormatting>
  <conditionalFormatting sqref="J731">
    <cfRule type="duplicateValues" dxfId="106" priority="121"/>
  </conditionalFormatting>
  <conditionalFormatting sqref="J732">
    <cfRule type="duplicateValues" dxfId="105" priority="36"/>
  </conditionalFormatting>
  <conditionalFormatting sqref="J735">
    <cfRule type="duplicateValues" dxfId="104" priority="120"/>
  </conditionalFormatting>
  <conditionalFormatting sqref="J737">
    <cfRule type="duplicateValues" dxfId="103" priority="37"/>
  </conditionalFormatting>
  <conditionalFormatting sqref="J742">
    <cfRule type="duplicateValues" dxfId="102" priority="119"/>
  </conditionalFormatting>
  <conditionalFormatting sqref="J743">
    <cfRule type="duplicateValues" dxfId="101" priority="118"/>
  </conditionalFormatting>
  <conditionalFormatting sqref="J763">
    <cfRule type="duplicateValues" dxfId="100" priority="117"/>
  </conditionalFormatting>
  <conditionalFormatting sqref="J766">
    <cfRule type="duplicateValues" dxfId="99" priority="115"/>
  </conditionalFormatting>
  <conditionalFormatting sqref="J770">
    <cfRule type="duplicateValues" dxfId="98" priority="114"/>
  </conditionalFormatting>
  <conditionalFormatting sqref="J771">
    <cfRule type="duplicateValues" dxfId="97" priority="113"/>
  </conditionalFormatting>
  <conditionalFormatting sqref="J774">
    <cfRule type="duplicateValues" dxfId="96" priority="112"/>
  </conditionalFormatting>
  <conditionalFormatting sqref="J781">
    <cfRule type="duplicateValues" dxfId="95" priority="111"/>
  </conditionalFormatting>
  <conditionalFormatting sqref="J783">
    <cfRule type="duplicateValues" dxfId="94" priority="110"/>
  </conditionalFormatting>
  <conditionalFormatting sqref="J784">
    <cfRule type="duplicateValues" dxfId="93" priority="109"/>
  </conditionalFormatting>
  <conditionalFormatting sqref="J802">
    <cfRule type="duplicateValues" dxfId="92" priority="96"/>
  </conditionalFormatting>
  <conditionalFormatting sqref="J805">
    <cfRule type="duplicateValues" dxfId="91" priority="95"/>
  </conditionalFormatting>
  <conditionalFormatting sqref="J807">
    <cfRule type="duplicateValues" dxfId="90" priority="94"/>
  </conditionalFormatting>
  <conditionalFormatting sqref="J871">
    <cfRule type="duplicateValues" dxfId="89" priority="93"/>
  </conditionalFormatting>
  <conditionalFormatting sqref="J879">
    <cfRule type="duplicateValues" dxfId="88" priority="92"/>
  </conditionalFormatting>
  <conditionalFormatting sqref="J889">
    <cfRule type="duplicateValues" dxfId="87" priority="108"/>
  </conditionalFormatting>
  <conditionalFormatting sqref="J892">
    <cfRule type="duplicateValues" dxfId="86" priority="106"/>
  </conditionalFormatting>
  <conditionalFormatting sqref="J893">
    <cfRule type="duplicateValues" dxfId="85" priority="107"/>
  </conditionalFormatting>
  <conditionalFormatting sqref="J906">
    <cfRule type="duplicateValues" dxfId="84" priority="18"/>
  </conditionalFormatting>
  <conditionalFormatting sqref="J922">
    <cfRule type="duplicateValues" dxfId="83" priority="105"/>
  </conditionalFormatting>
  <conditionalFormatting sqref="J924">
    <cfRule type="duplicateValues" dxfId="82" priority="104"/>
  </conditionalFormatting>
  <conditionalFormatting sqref="J929">
    <cfRule type="duplicateValues" dxfId="81" priority="103"/>
  </conditionalFormatting>
  <conditionalFormatting sqref="J941">
    <cfRule type="duplicateValues" dxfId="80" priority="91"/>
  </conditionalFormatting>
  <conditionalFormatting sqref="J980">
    <cfRule type="duplicateValues" dxfId="79" priority="65"/>
  </conditionalFormatting>
  <conditionalFormatting sqref="J1009">
    <cfRule type="duplicateValues" dxfId="78" priority="35"/>
  </conditionalFormatting>
  <conditionalFormatting sqref="J1039">
    <cfRule type="duplicateValues" dxfId="77" priority="64"/>
  </conditionalFormatting>
  <conditionalFormatting sqref="J1101">
    <cfRule type="duplicateValues" dxfId="76" priority="44"/>
  </conditionalFormatting>
  <conditionalFormatting sqref="J1243">
    <cfRule type="duplicateValues" dxfId="75" priority="40"/>
  </conditionalFormatting>
  <conditionalFormatting sqref="J1439">
    <cfRule type="duplicateValues" dxfId="74" priority="89"/>
  </conditionalFormatting>
  <conditionalFormatting sqref="J1464">
    <cfRule type="duplicateValues" dxfId="73" priority="83"/>
  </conditionalFormatting>
  <conditionalFormatting sqref="J1466">
    <cfRule type="duplicateValues" dxfId="72" priority="82"/>
  </conditionalFormatting>
  <conditionalFormatting sqref="J1477">
    <cfRule type="duplicateValues" dxfId="71" priority="67"/>
  </conditionalFormatting>
  <conditionalFormatting sqref="J1478">
    <cfRule type="duplicateValues" dxfId="70" priority="87"/>
  </conditionalFormatting>
  <conditionalFormatting sqref="J1481">
    <cfRule type="duplicateValues" dxfId="69" priority="88"/>
  </conditionalFormatting>
  <conditionalFormatting sqref="J1492">
    <cfRule type="duplicateValues" dxfId="68" priority="86"/>
  </conditionalFormatting>
  <conditionalFormatting sqref="J1520">
    <cfRule type="duplicateValues" dxfId="67" priority="71"/>
  </conditionalFormatting>
  <conditionalFormatting sqref="J1530">
    <cfRule type="duplicateValues" dxfId="66" priority="81"/>
  </conditionalFormatting>
  <conditionalFormatting sqref="J1531">
    <cfRule type="duplicateValues" dxfId="65" priority="80"/>
  </conditionalFormatting>
  <conditionalFormatting sqref="J1546">
    <cfRule type="duplicateValues" dxfId="64" priority="79"/>
  </conditionalFormatting>
  <conditionalFormatting sqref="J1547">
    <cfRule type="duplicateValues" dxfId="63" priority="78"/>
  </conditionalFormatting>
  <conditionalFormatting sqref="J1548">
    <cfRule type="duplicateValues" dxfId="62" priority="77"/>
  </conditionalFormatting>
  <conditionalFormatting sqref="J1554">
    <cfRule type="duplicateValues" dxfId="61" priority="63"/>
  </conditionalFormatting>
  <conditionalFormatting sqref="J1558">
    <cfRule type="duplicateValues" dxfId="60" priority="75"/>
  </conditionalFormatting>
  <conditionalFormatting sqref="J1559">
    <cfRule type="duplicateValues" dxfId="59" priority="27"/>
  </conditionalFormatting>
  <conditionalFormatting sqref="J1561">
    <cfRule type="duplicateValues" dxfId="58" priority="76"/>
  </conditionalFormatting>
  <conditionalFormatting sqref="J1580">
    <cfRule type="duplicateValues" dxfId="57" priority="74"/>
  </conditionalFormatting>
  <conditionalFormatting sqref="J1588">
    <cfRule type="duplicateValues" dxfId="56" priority="73"/>
  </conditionalFormatting>
  <conditionalFormatting sqref="J1603">
    <cfRule type="duplicateValues" dxfId="55" priority="72"/>
  </conditionalFormatting>
  <conditionalFormatting sqref="J1605">
    <cfRule type="duplicateValues" dxfId="54" priority="14"/>
  </conditionalFormatting>
  <conditionalFormatting sqref="J1617">
    <cfRule type="duplicateValues" dxfId="53" priority="9"/>
  </conditionalFormatting>
  <conditionalFormatting sqref="J1618">
    <cfRule type="duplicateValues" dxfId="52" priority="70"/>
  </conditionalFormatting>
  <conditionalFormatting sqref="J1619">
    <cfRule type="duplicateValues" dxfId="51" priority="7"/>
  </conditionalFormatting>
  <conditionalFormatting sqref="J1620">
    <cfRule type="duplicateValues" dxfId="50" priority="4"/>
  </conditionalFormatting>
  <conditionalFormatting sqref="J1621">
    <cfRule type="duplicateValues" dxfId="49" priority="3"/>
  </conditionalFormatting>
  <conditionalFormatting sqref="J1622">
    <cfRule type="duplicateValues" dxfId="48" priority="6"/>
  </conditionalFormatting>
  <conditionalFormatting sqref="J1624">
    <cfRule type="duplicateValues" dxfId="47" priority="5"/>
  </conditionalFormatting>
  <conditionalFormatting sqref="J1662">
    <cfRule type="duplicateValues" dxfId="46" priority="58"/>
  </conditionalFormatting>
  <conditionalFormatting sqref="J1665">
    <cfRule type="duplicateValues" dxfId="45" priority="57"/>
  </conditionalFormatting>
  <conditionalFormatting sqref="J1696">
    <cfRule type="duplicateValues" dxfId="44" priority="33"/>
  </conditionalFormatting>
  <conditionalFormatting sqref="J1721:J1048576 J1440:J1463 J605:J653 J1:J11 J18 J657:J658 J660:J669 J671 J674:J675 J677:J707 J712 J714 J716:J723 J725:J727 J729 J733:J734 J736 J744:J762 J765 J767:J769 J772:J773 J775:J780 J782 J785:J801 J806 J890:J891 J894:J905 J923 J925:J928 J930:J940 J1061:J1100 J147:J151 J803:J804 J808:J870 J872:J878 J880:J888 J942:J979 J1482:J1491 J1479:J1480 J1493:J1519 J1521 J1523:J1529 J1465 J1467:J1471 J1532:J1545 J1549:J1553 J1562:J1579 J1560 J1581:J1587 J1589:J1602 J1604 J1623 J1635:J1661 J981:J1008 J1040:J1059 J1555:J1557 J1666:J1668 J368:J402 J1663 J20:J24 J61:J71 J73:J99 J106:J145 J153:J156 J160:J183 J405:J553 J555:J603 J185:J216 J1244:J1418 J1102:J1242 J738:J741 J1420:J1438 J1473:J1476 J1010:J1038 J913:J921 J218:J366 J102:J104 J26:J55 J907:J911 J1606:J1616 J1670:J1674 J1680:J1685 J1687 J1689:J1690 J1692:J1695 J1697:J1699 J1701:J1711 J1713 J1718 J1676:J1678 J1628:J1633 J1625:J1626">
    <cfRule type="duplicateValues" dxfId="43" priority="146"/>
  </conditionalFormatting>
  <conditionalFormatting sqref="J403:K403">
    <cfRule type="duplicateValues" dxfId="42" priority="47"/>
  </conditionalFormatting>
  <conditionalFormatting sqref="J404:K404">
    <cfRule type="duplicateValues" dxfId="41" priority="45"/>
  </conditionalFormatting>
  <conditionalFormatting sqref="J655:K655">
    <cfRule type="duplicateValues" dxfId="40" priority="133"/>
  </conditionalFormatting>
  <conditionalFormatting sqref="J764:K764">
    <cfRule type="duplicateValues" dxfId="39" priority="116"/>
  </conditionalFormatting>
  <conditionalFormatting sqref="J1522:K1522">
    <cfRule type="duplicateValues" dxfId="38" priority="85"/>
  </conditionalFormatting>
  <conditionalFormatting sqref="J1634:K1634">
    <cfRule type="duplicateValues" dxfId="37" priority="68"/>
  </conditionalFormatting>
  <conditionalFormatting sqref="K8 K1672 K1674 K1676 K1678 K1685 K1687 K1690 K1692 K1697 K1703 K1705 K1707 K1711 K1713 K1718">
    <cfRule type="duplicateValues" dxfId="36" priority="12"/>
  </conditionalFormatting>
  <conditionalFormatting sqref="K163">
    <cfRule type="duplicateValues" dxfId="35" priority="23"/>
  </conditionalFormatting>
  <conditionalFormatting sqref="K227">
    <cfRule type="duplicateValues" dxfId="34" priority="46"/>
  </conditionalFormatting>
  <conditionalFormatting sqref="K385">
    <cfRule type="duplicateValues" dxfId="33" priority="13"/>
  </conditionalFormatting>
  <conditionalFormatting sqref="K465">
    <cfRule type="duplicateValues" dxfId="32" priority="97"/>
  </conditionalFormatting>
  <conditionalFormatting sqref="K473">
    <cfRule type="duplicateValues" dxfId="31" priority="26"/>
  </conditionalFormatting>
  <conditionalFormatting sqref="K556">
    <cfRule type="duplicateValues" dxfId="30" priority="136"/>
  </conditionalFormatting>
  <conditionalFormatting sqref="K614">
    <cfRule type="duplicateValues" dxfId="29" priority="134"/>
  </conditionalFormatting>
  <conditionalFormatting sqref="K674">
    <cfRule type="duplicateValues" dxfId="28" priority="61"/>
  </conditionalFormatting>
  <conditionalFormatting sqref="K693">
    <cfRule type="duplicateValues" dxfId="27" priority="66"/>
  </conditionalFormatting>
  <conditionalFormatting sqref="K719">
    <cfRule type="duplicateValues" dxfId="26" priority="99"/>
  </conditionalFormatting>
  <conditionalFormatting sqref="K828">
    <cfRule type="duplicateValues" dxfId="25" priority="100"/>
  </conditionalFormatting>
  <conditionalFormatting sqref="K835">
    <cfRule type="duplicateValues" dxfId="24" priority="38"/>
  </conditionalFormatting>
  <conditionalFormatting sqref="K865">
    <cfRule type="duplicateValues" dxfId="23" priority="39"/>
  </conditionalFormatting>
  <conditionalFormatting sqref="K975">
    <cfRule type="duplicateValues" dxfId="22" priority="90"/>
  </conditionalFormatting>
  <conditionalFormatting sqref="K1006">
    <cfRule type="duplicateValues" dxfId="21" priority="101"/>
  </conditionalFormatting>
  <conditionalFormatting sqref="K1038">
    <cfRule type="duplicateValues" dxfId="20" priority="24"/>
  </conditionalFormatting>
  <conditionalFormatting sqref="K1091">
    <cfRule type="duplicateValues" dxfId="19" priority="102"/>
  </conditionalFormatting>
  <conditionalFormatting sqref="K1196">
    <cfRule type="duplicateValues" dxfId="18" priority="10"/>
  </conditionalFormatting>
  <conditionalFormatting sqref="K1248">
    <cfRule type="duplicateValues" dxfId="17" priority="34"/>
  </conditionalFormatting>
  <conditionalFormatting sqref="K1360">
    <cfRule type="duplicateValues" dxfId="16" priority="31"/>
  </conditionalFormatting>
  <conditionalFormatting sqref="K1365">
    <cfRule type="duplicateValues" dxfId="15" priority="62"/>
  </conditionalFormatting>
  <conditionalFormatting sqref="K1523">
    <cfRule type="duplicateValues" dxfId="14" priority="84"/>
  </conditionalFormatting>
  <conditionalFormatting sqref="K1579">
    <cfRule type="duplicateValues" dxfId="13" priority="48"/>
  </conditionalFormatting>
  <conditionalFormatting sqref="K1612">
    <cfRule type="duplicateValues" dxfId="12" priority="15"/>
  </conditionalFormatting>
  <conditionalFormatting sqref="K1614">
    <cfRule type="duplicateValues" dxfId="11" priority="43"/>
  </conditionalFormatting>
  <conditionalFormatting sqref="K1617">
    <cfRule type="duplicateValues" dxfId="10" priority="8"/>
  </conditionalFormatting>
  <conditionalFormatting sqref="K1619">
    <cfRule type="duplicateValues" dxfId="9" priority="69"/>
  </conditionalFormatting>
  <conditionalFormatting sqref="K1620">
    <cfRule type="duplicateValues" dxfId="8" priority="2"/>
  </conditionalFormatting>
  <conditionalFormatting sqref="K1621">
    <cfRule type="duplicateValues" dxfId="7" priority="1"/>
  </conditionalFormatting>
  <conditionalFormatting sqref="K1638">
    <cfRule type="duplicateValues" dxfId="6" priority="16"/>
  </conditionalFormatting>
  <conditionalFormatting sqref="K1661">
    <cfRule type="duplicateValues" dxfId="5" priority="17"/>
  </conditionalFormatting>
  <conditionalFormatting sqref="K1668">
    <cfRule type="duplicateValues" dxfId="4" priority="60"/>
  </conditionalFormatting>
  <conditionalFormatting sqref="K1675">
    <cfRule type="duplicateValues" dxfId="3" priority="30"/>
  </conditionalFormatting>
  <conditionalFormatting sqref="K1677">
    <cfRule type="duplicateValues" dxfId="2" priority="29"/>
  </conditionalFormatting>
  <conditionalFormatting sqref="K1680">
    <cfRule type="duplicateValues" dxfId="1" priority="28"/>
  </conditionalFormatting>
  <conditionalFormatting sqref="K1721:K1048576 K1688:K1689 K1524:K1578 K557:K560 K1:K7 K9:K84 K617:K632 K615 K1065:K1090 K1007:K1037 K829:K834 K601:K613 K720:K763 K976:K1005 K694:K706 K1366:K1418 K675 K405:K464 K228:K384 K1622:K1626 K1615:K1616 K1092:K1147 K1178:K1195 K866:K974 K836:K864 K1420:K1471 K1473:K1521 K1249:K1359 K1670:K1671 K1361:K1364 K86:K162 K1681:K1684 K474:K498 K1698:K1699 K1706 K1039:K1063 K164:K226 K656:K673 K634:K654 K1715:K1717 K1662:K1667 K1639:K1660 K1613 K1580:K1611 K386:K402 K1701:K1702 K1673 K1691 K1693:K1696 K1704 K1708:K1710 K1247 K1197:K1245 K1635:K1637 K765:K827 K466:K472 K500:K555 K562:K598 K677:K692 K708:K718 K1149:K1176 K1628:K1633 K1618">
    <cfRule type="duplicateValues" dxfId="0" priority="139"/>
  </conditionalFormatting>
  <dataValidations disablePrompts="1" count="1">
    <dataValidation allowBlank="1" showInputMessage="1" showErrorMessage="1" sqref="AL1280:AL1466 AL1040:AL1061 AL52:AL95 AL1264:AL1278 AL1063:AL1206 AL1:AL6 AL1224:AL1262 AL1208:AL1222 AL1556:AL1575 AL1468:AL1554 AL1014:AL1038 AL97:AL101 AJ1469:AJ1470 AJ1450 AJ1531:AJ1540 AL1670:AL1671 AL1577:AL1599 AL1601:AL1602 AL642:AL654 AL608:AL640 AJ1382 AL8:AL50 AJ1666:AJ1669 AJ109:AJ110 AJ114 AJ116:AJ123 AJ125:AJ126 AJ128:AJ132 AJ139:AJ143 AJ145:AJ149 AJ154 AJ156 AJ169 AJ173:AJ175 AJ159:AJ164 AJ1671:AJ1679 AJ1439:AJ1446 AJ177:AJ189 AJ201:AJ204 AJ210:AJ214 AJ216 AJ218:AJ220 AJ222:AJ226 AJ228:AJ236 AJ239 AJ241 AJ243:AJ249 AJ258:AJ264 AJ266:AJ267 AJ269:AJ270 AJ272:AJ273 AJ275:AJ279 AJ283:AJ286 AJ290:AJ292 AJ296:AJ301 AJ303 AJ305 AL656:AL1012 AJ313:AJ314 AJ316 AJ321:AJ323 AJ193:AJ194 AJ329:AJ341 AJ343:AJ344 AJ346 AJ251 AJ395:AJ408 AJ410:AJ411 AJ413:AJ415 AJ417 AJ422:AJ426 AJ429 AJ325 AJ462:AJ463 AJ469:AJ478 AJ480:AJ482 AJ255 AJ505 AJ507:AJ508 AJ512 AJ432:AJ438 AJ307:AJ311 AJ528:AJ530 AJ532:AJ534 AJ547 AJ549:AJ555 AJ560:AJ564 AJ440:AJ457 AJ570 AJ572:AJ575 AJ578:AJ586 AJ517:AJ525 AJ536:AJ545 AJ608:AJ615 AJ617:AJ618 AJ566:AJ568 AJ629:AJ641 AJ594:AJ606 AJ588:AJ590 AJ655 AJ658:AJ659 AJ661 AJ623:AJ627 AJ651:AJ652 AJ493:AJ495 AJ692:AJ695 AJ699 AJ663:AJ675 AJ710:AJ716 AJ643:AJ649 AJ727:AJ730 AJ732:AJ744 AJ748:AJ753 AJ755:AJ756 AJ701:AJ708 AJ768:AJ775 AJ777:AJ780 AJ679:AJ681 AJ792:AJ798 AJ800:AJ802 AJ758:AJ765 AJ782:AJ789 AJ834 AJ804:AJ825 AJ844:AJ847 AJ722:AJ725 AJ856:AJ860 AJ869 AJ871 AJ873 AJ879 AJ881:AJ882 AJ884 AJ886:AJ893 AJ903 AJ907:AJ909 AJ912:AJ913 AJ915 AJ917:AJ921 AJ927:AJ928 AJ930 AJ932:AJ933 AJ935 AJ938:AJ940 AJ850:AJ853 AJ946:AJ948 AJ950 AJ952 AJ956:AJ959 AJ839:AJ841 AJ986:AJ987 AJ896:AJ901 AJ981:AJ984 AJ1017:AJ1019 AJ1022 AJ1025 AJ1027 AJ1030 AJ992:AJ1007 AJ1009:AJ1014 AJ942:AJ943 AJ1053:AJ1056 AJ829:AJ832 AJ1065 AJ1067:AJ1069 AJ1071 AJ1073:AJ1076 AJ1078:AJ1079 AJ1081 AJ1085:AJ1086 AJ1088:AJ1089 AJ1091 AJ1035:AJ1039 AJ1049:AJ1051 AJ1114:AJ1120 AJ1122:AJ1124 AJ1126:AJ1132 AJ1136 AJ1094:AJ1104 AJ1059:AJ1062 AJ1169:AJ1172 AJ1174:AJ1175 AJ1177:AJ1179 AJ1183 AJ1108:AJ1111 AJ1192 AJ1140:AJ1153 AJ1201:AJ1202 AJ1204 AJ1206 AJ1041:AJ1047 AJ1155:AJ1163 AJ1214:AJ1215 AJ1223 AJ1228 AJ1231 AJ1233:AJ1237 AJ1240:AJ1242 AJ1245 AJ1186:AJ1190 AI1182:AI1207 AJ1281:AJ1283 AJ1288:AJ1293 AJ1296:AJ1297 AJ1247:AJ1264 AJ1310:AJ1311 AJ1272:AJ1278 AJ1326:AJ1330 AJ1268:AJ1269 AJ1341:AJ1344 AJ1349 AJ1322:AJ1324 AJ1360:AJ1363 AJ1365:AJ1369 AJ1371 AJ1375:AJ1380 AJ1333:AJ1336 AJ1388:AJ1393 AJ1351:AJ1358 AJ1400:AJ1405 AJ1408:AJ1416 AJ1419:AJ1422 AJ1210:AJ1211 AJ1300:AJ1305 AJ1313:AJ1319 AJ1452 AJ1454:AJ1455 AJ1457 AJ1459:AJ1463 AJ1395:AJ1398 AJ1424:AJ1434 AJ1477:AJ1481 AJ683:AJ690 AJ1484:AJ1529 AJ1619:AJ1620 AJ1580:AJ1593 AJ1473:AJ1475 AJ1691:AK1691 AJ1693:AJ1696 AJ1698:AJ1699 AJ1704:AK1704 AJ1701:AJ1702 AJ557:AJ558 AJ1706:AK1706 AJ1542:AJ1578 AK1602:AK1604 AK1606:AK1612 AK1689:AK1690 AK1692:AK1703 AK1705 AJ1622:AJ1630 AJ1225 AJ1632:AJ1633 AJ18:AJ106 AK1614:AK1687 AJ1652:AJ1664 AJ134:AJ136 AK1707:AK1718 AJ1708:AJ1718 AL1604:AL1660 AL1662:AL1668 AJ349:AJ393 AL103:AL606 AL1673:AL1718 AK1721:AL1048576 AJ253 AK1:AK1600 AJ515 AJ1635:AJ1649 AJ1610:AJ1612 AH1718 AI1690:AI1718 AI1:AJ17 AI1309:AI1466 AI1230:AI1307 AI1209:AI1219 AI1560:AI1583 AI1084:AI1180 AI962:AI1082 AI876:AI960 AI868:AI874 AI742:AI826 AI429:AI496 AI275:AI280 AI198:AI205 AI192:AI196 AI153:AI190 AI18:AI151 AI1635:AI1636 AI1646:AI1670 AJ1194:AJ1197 AI1643:AI1644 AI1625:AI1629 AI1620:AI1623 AI1468:AI1558 AI864:AJ866 AI828:AI841 AI498:AI740 AI207:AI273 AI843:AI862 AI1221:AI1228 AI1601:AK1601 AI1638:AI1641 AI167:AJ167 AI282:AI427 AI1613:AK1613 AI1607:AJ1608 AI1585:AI1594 AI1467:AJ1467 AI1308:AJ1308 AI1208:AJ1208 AI1220:AJ1220 AI1181:AJ1181 AI1083:AJ1083 AI961:AJ961 AI1672:AI1678 AI875:AJ875 AI827:AJ827 AI497:AJ497 AI281:AJ281 AI197:AJ197 AI191:AJ191 AI206:AJ206 AI152:AJ152 AI1597:AJ1599 AI1609:AI1612 AI1614 AI1605:AK1605 AI1631:AI1633 AI1681:AJ1686 AI1688:AK1688 AM1:AQ1" xr:uid="{CB8A7BA7-3493-0C49-939C-03321B2BEED9}"/>
  </dataValidations>
  <hyperlinks>
    <hyperlink ref="J1605" r:id="rId1" xr:uid="{09F9EE9E-8FD4-4742-8CE1-EDFADB9BA96B}"/>
    <hyperlink ref="K1605" r:id="rId2" xr:uid="{78C380CA-969D-A649-8324-E5D7D0F72E1E}"/>
    <hyperlink ref="K690" r:id="rId3" xr:uid="{330DEE61-AF9F-3B47-88E0-DDF1E7F00598}"/>
    <hyperlink ref="K404" r:id="rId4" xr:uid="{FA4705E1-6997-3342-AE49-487B988E5C4C}"/>
    <hyperlink ref="J404" r:id="rId5" xr:uid="{840D8778-ED6D-6244-99BB-101E376C5229}"/>
    <hyperlink ref="J474" r:id="rId6" xr:uid="{30059EB6-814B-E344-826E-A572109C7850}"/>
    <hyperlink ref="J1246" r:id="rId7" xr:uid="{BF946DA5-118D-DA41-B6D3-B8BC12353A25}"/>
    <hyperlink ref="J1634" r:id="rId8" xr:uid="{483E4518-D386-8749-BF51-F42CB5945687}"/>
    <hyperlink ref="K1634" r:id="rId9" xr:uid="{43C36BCD-BE33-3946-95E6-F624B91F7302}"/>
    <hyperlink ref="K5" r:id="rId10" xr:uid="{45E3FDC3-EE6F-9A4F-B16F-1C5396C067E8}"/>
    <hyperlink ref="K6" r:id="rId11" xr:uid="{9392024F-1F6F-A044-A9BF-70B69EE84031}"/>
    <hyperlink ref="K7" r:id="rId12" xr:uid="{C70F6094-0B19-6E48-BA1C-4D968C1EA76C}"/>
    <hyperlink ref="K8" r:id="rId13" xr:uid="{7F889D3C-4A7B-FC40-BCB3-C7FE2980C99C}"/>
    <hyperlink ref="K11" r:id="rId14" xr:uid="{7935B691-F7B5-5E42-B85F-95F3752162A2}"/>
    <hyperlink ref="K12" r:id="rId15" xr:uid="{C8D261E2-3AC3-5648-AED1-734FA7B3F149}"/>
    <hyperlink ref="K18" r:id="rId16" xr:uid="{1503F055-C0EA-AD49-A240-8D57280378F1}"/>
    <hyperlink ref="K47" r:id="rId17" xr:uid="{43EB1CF5-14D3-AF4E-96DC-A79DF7B7643B}"/>
    <hyperlink ref="K106" r:id="rId18" xr:uid="{B6E7FB4F-80A5-4F47-893B-A25CA4E40690}"/>
    <hyperlink ref="K128" r:id="rId19" xr:uid="{7DA37FFC-8F7C-1D48-B798-A9AD58B4F94F}"/>
    <hyperlink ref="J243" r:id="rId20" xr:uid="{8C5A1FA0-8EED-EF4A-862A-CE06DB0485FE}"/>
    <hyperlink ref="K243" r:id="rId21" xr:uid="{6B961846-430B-0C4F-B95E-71A01DF8CB33}"/>
    <hyperlink ref="K245" r:id="rId22" xr:uid="{652C5A53-426F-1F4B-BAEC-FC0AA150FB4C}"/>
    <hyperlink ref="K248" r:id="rId23" xr:uid="{18E657BB-7CEC-E24C-ADC7-550BD5E66A80}"/>
    <hyperlink ref="K251" r:id="rId24" xr:uid="{0B4AFE6C-3794-A142-85B6-A2CDFE916F50}"/>
    <hyperlink ref="K246" r:id="rId25" xr:uid="{80CD9C7C-3ADC-3F49-81F0-4183510E115A}"/>
    <hyperlink ref="K381" r:id="rId26" xr:uid="{5838EA5B-AC2D-E140-BFD7-726DEBEE04FE}"/>
    <hyperlink ref="J305" r:id="rId27" xr:uid="{DFAAB668-6CCF-954C-A353-9358BB769EF3}"/>
    <hyperlink ref="K400" r:id="rId28" xr:uid="{6D02962E-3C3F-5848-977B-CB1B77202436}"/>
    <hyperlink ref="K403" r:id="rId29" xr:uid="{A4A21CC8-F746-1947-81EC-42FB2F839817}"/>
    <hyperlink ref="K411" r:id="rId30" xr:uid="{05DFF950-7292-DE49-BF08-5FA60D595798}"/>
    <hyperlink ref="K461" r:id="rId31" xr:uid="{35E9E5C3-5FD1-A64E-AF86-9A4AB9F09045}"/>
    <hyperlink ref="K469" r:id="rId32" xr:uid="{5DAB047A-61BC-E146-8256-4FA747733822}"/>
    <hyperlink ref="K470" r:id="rId33" xr:uid="{76975B6D-2538-F546-8B0C-3CDB103CC2E1}"/>
    <hyperlink ref="K483" r:id="rId34" xr:uid="{D08C7134-29E9-CE49-AF6E-E0B4BFD1FEB1}"/>
    <hyperlink ref="K499" r:id="rId35" display="mailto:8676-Institsales@homedepot.com.mx" xr:uid="{08F00438-9F7B-0347-8CAC-1F1C3F17C2F9}"/>
    <hyperlink ref="K519" r:id="rId36" xr:uid="{05F69EAA-8872-6C4F-9A8A-675029E7C79C}"/>
    <hyperlink ref="K536" r:id="rId37" xr:uid="{96B64E6B-E18E-DE4A-AB7E-A5E2917B3445}"/>
    <hyperlink ref="K544" r:id="rId38" xr:uid="{C535107A-490E-F74E-9A3A-AD143AF11E34}"/>
    <hyperlink ref="K560" r:id="rId39" xr:uid="{A91F3EE5-6E3B-F741-BDFE-ADB9B05E142C}"/>
    <hyperlink ref="K570" r:id="rId40" xr:uid="{F5650AEB-F225-634E-BCFE-FCBE95B4EA0D}"/>
    <hyperlink ref="K676" r:id="rId41" display="mailto:8720-RepresentantePyme@homedepot.com.mx" xr:uid="{185E0AC4-21EE-7048-B5FD-5FEFC9394827}"/>
    <hyperlink ref="J676" r:id="rId42" display="mailto:8720-RepresentantePyme@homedepot.com.mx" xr:uid="{B321E12B-81F4-474D-8D43-B7F822617A79}"/>
    <hyperlink ref="K707" r:id="rId43" display="mailto:8725-RepresentantePyme@homedepot.com.mx" xr:uid="{C92BC5D0-1272-CD41-A7C6-7DB6E15AE94B}"/>
    <hyperlink ref="K722" r:id="rId44" xr:uid="{6487B5A5-5241-A547-9DD3-60B925AF5A53}"/>
    <hyperlink ref="K728" r:id="rId45" xr:uid="{53161610-4557-AA43-92A5-86BD4320DEF1}"/>
    <hyperlink ref="K793" r:id="rId46" xr:uid="{F3F59BFA-A5D4-DD4E-BB32-95A831119612}"/>
    <hyperlink ref="K822" r:id="rId47" xr:uid="{AEA1C09F-7119-A84E-BEDC-C898657775EC}"/>
    <hyperlink ref="K877" r:id="rId48" xr:uid="{BE4694B5-1BED-B34E-92B5-BDB34EF94D08}"/>
    <hyperlink ref="K1031" r:id="rId49" xr:uid="{27F2763D-2BFE-F844-8731-8777BADB60EC}"/>
    <hyperlink ref="K1037" r:id="rId50" xr:uid="{CB324B3C-F853-294D-8F13-54D7D1F376F7}"/>
    <hyperlink ref="K1111" r:id="rId51" xr:uid="{2649FCD1-9C7A-9349-A1AF-4354DC61492B}"/>
    <hyperlink ref="J223" r:id="rId52" xr:uid="{DFDF0BE5-3E22-5544-B07E-942B33CF6760}"/>
    <hyperlink ref="J1031" r:id="rId53" xr:uid="{D4091CC8-84CB-A748-9C6E-E358F95C1732}"/>
    <hyperlink ref="J1148" r:id="rId54" xr:uid="{0B8E0515-90AD-A848-AE4F-56CFEF9D61C3}"/>
    <hyperlink ref="K1148" r:id="rId55" tooltip="mailto:8799-kpi@homedepot.com.mx" display="mailto:8799-kpi@homedepot.com.mx" xr:uid="{75652FE7-5ABA-344B-94B1-0619278F16BE}"/>
    <hyperlink ref="J1248" r:id="rId56" xr:uid="{1CA20BD0-50EE-9748-A857-DCC2452586F2}"/>
    <hyperlink ref="K1248" r:id="rId57" xr:uid="{53D82B98-03ED-814D-AB63-DBBA4CDC9815}"/>
    <hyperlink ref="J1625" r:id="rId58" xr:uid="{BC01CB80-FB19-FD4F-BC4C-81F337205AAD}"/>
    <hyperlink ref="K1625" r:id="rId59" xr:uid="{00E8B534-7EF1-B145-BAAA-4242D6F3D4A1}"/>
    <hyperlink ref="J1627" r:id="rId60" display="mailto:8670-Storemgr@homedepot.com.mx" xr:uid="{4C1070DD-6D35-4F44-A10F-AF6EB9950FA8}"/>
    <hyperlink ref="K1627" r:id="rId61" display="mailto:8670-Storemgr@homedepot.com.mx" xr:uid="{3739702F-E927-B34C-8202-A9F39F6460DE}"/>
  </hyperlinks>
  <pageMargins left="0.7" right="0.7" top="0.75" bottom="0.75" header="0.3" footer="0.3"/>
  <pageSetup orientation="portrait" r:id="rId62"/>
  <tableParts count="1">
    <tablePart r:id="rId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JAGG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ROBERTO ADOLFO ESQUIVEL SEGOVIA</dc:creator>
  <cp:lastModifiedBy>Juan Roberto Adolfo  Esquivel Segovia</cp:lastModifiedBy>
  <dcterms:created xsi:type="dcterms:W3CDTF">2026-02-25T16:07:05Z</dcterms:created>
  <dcterms:modified xsi:type="dcterms:W3CDTF">2026-03-04T03:05:12Z</dcterms:modified>
</cp:coreProperties>
</file>